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146EF509-81EC-4D9B-AD61-F3592115740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7" i="2" l="1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R198" i="4" s="1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P204" i="4"/>
  <c r="O205" i="4"/>
  <c r="P205" i="4"/>
  <c r="O206" i="4"/>
  <c r="P206" i="4"/>
  <c r="O207" i="4"/>
  <c r="P207" i="4"/>
  <c r="O208" i="4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O242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03" i="4" l="1"/>
  <c r="S203" i="2"/>
  <c r="S202" i="2"/>
  <c r="S201" i="2"/>
  <c r="S200" i="2"/>
  <c r="S202" i="4"/>
  <c r="S201" i="4"/>
  <c r="R200" i="4"/>
  <c r="S199" i="4"/>
  <c r="S198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<sst xmlns="http://schemas.openxmlformats.org/spreadsheetml/2006/main" count="135" uniqueCount="74">
  <si>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</si>
  <si>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</si>
  <si>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</si>
  <si>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</si>
  <si>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</si>
  <si>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</si>
  <si>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</si>
  <si>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</si>
  <si>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</si>
  <si>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</si>
  <si>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</si>
  <si>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</si>
  <si>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</si>
  <si>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</si>
  <si>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</si>
  <si>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</si>
  <si>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</si>
  <si>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</si>
  <si>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</si>
  <si>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</si>
  <si>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</si>
  <si>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</si>
  <si>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</si>
  <si>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</si>
  <si>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</si>
  <si>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</si>
  <si>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</si>
  <si>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</si>
  <si>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</si>
  <si>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</si>
  <si>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</si>
  <si>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</si>
  <si>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</si>
  <si>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</si>
  <si>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</si>
  <si>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</si>
  <si>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</si>
  <si>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</si>
  <si>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</si>
  <si>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</si>
  <si>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</si>
  <si>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</si>
  <si>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</si>
  <si>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</si>
  <si>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</si>
  <si>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</si>
  <si>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</si>
  <si>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</si>
  <si>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</si>
  <si>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</si>
  <si>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</si>
  <si>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</si>
  <si>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</si>
  <si>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</si>
  <si>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</si>
  <si>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</si>
  <si>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</si>
  <si>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</si>
  <si>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</si>
  <si>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</si>
  <si>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</si>
  <si>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</si>
  <si>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</si>
  <si>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</si>
  <si>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</si>
  <si>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</si>
  <si>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67% trn</t>
  </si>
  <si>
    <t>85% trn</t>
  </si>
  <si>
    <t>80% trn</t>
  </si>
  <si>
    <t>70% trn</t>
  </si>
  <si>
    <t>75% trn</t>
  </si>
  <si>
    <t>68.5% trn</t>
  </si>
  <si>
    <t>all</t>
  </si>
  <si>
    <t>77.6% trn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</si>
</sst>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657" activePane="bottomLeft" state="frozen"/>
      <selection pane="bottomLeft" activeCell="A657" sqref="A1:J717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20.3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27.5</v>
      </c>
      <c r="F619" s="8">
        <v>0.66900000000000004</v>
      </c>
      <c r="G619" s="8">
        <v>9</v>
      </c>
      <c r="H619" s="8">
        <v>9.6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11.4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10.8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15.2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25.7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12.1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17.100000000000001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39.9</v>
      </c>
      <c r="F645" s="8">
        <v>0</v>
      </c>
      <c r="G645" s="8">
        <v>0</v>
      </c>
      <c r="H645" s="8">
        <v>10.8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0.23200000000000001</v>
      </c>
      <c r="G646" s="8">
        <v>0</v>
      </c>
      <c r="H646" s="8">
        <v>8.8000000000000007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41.4</v>
      </c>
      <c r="F647" s="8">
        <v>0</v>
      </c>
      <c r="G647" s="8">
        <v>0</v>
      </c>
      <c r="H647" s="8">
        <v>7.5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43.2</v>
      </c>
      <c r="F648" s="8">
        <v>1.524</v>
      </c>
      <c r="G648" s="8">
        <v>0</v>
      </c>
      <c r="H648" s="8">
        <v>11.1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23.4</v>
      </c>
      <c r="F649" s="8">
        <v>7.4999999999999997E-2</v>
      </c>
      <c r="G649" s="8">
        <v>1.8</v>
      </c>
      <c r="H649" s="8">
        <v>15.8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23.5</v>
      </c>
      <c r="F650" s="8">
        <v>4.7E-2</v>
      </c>
      <c r="G650" s="8">
        <v>0.2</v>
      </c>
      <c r="H650" s="8">
        <v>11.4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29.5</v>
      </c>
      <c r="F651" s="8">
        <v>0.02</v>
      </c>
      <c r="G651" s="8">
        <v>0.3</v>
      </c>
      <c r="H651" s="8">
        <v>11.4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28.9</v>
      </c>
      <c r="F652" s="8">
        <v>0</v>
      </c>
      <c r="G652" s="8">
        <v>0</v>
      </c>
      <c r="H652" s="8">
        <v>10.8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30.4</v>
      </c>
      <c r="F653" s="8">
        <v>0</v>
      </c>
      <c r="G653" s="8">
        <v>0</v>
      </c>
      <c r="H653" s="8">
        <v>9.6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30.7</v>
      </c>
      <c r="F654" s="8">
        <v>0</v>
      </c>
      <c r="G654" s="8">
        <v>0</v>
      </c>
      <c r="H654" s="8">
        <v>11.4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29.2</v>
      </c>
      <c r="F655" s="8">
        <v>0</v>
      </c>
      <c r="G655" s="8">
        <v>0</v>
      </c>
      <c r="H655" s="8">
        <v>14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37.1</v>
      </c>
      <c r="F656" s="8">
        <v>0</v>
      </c>
      <c r="G656" s="8">
        <v>0</v>
      </c>
      <c r="H656" s="8">
        <v>15</v>
      </c>
    </row>
    <row r="657" spans="1:10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39.700000000000003</v>
      </c>
      <c r="F657" s="8">
        <v>0</v>
      </c>
      <c r="G657" s="8">
        <v>0</v>
      </c>
      <c r="H657" s="8">
        <v>14</v>
      </c>
    </row>
    <row r="658" spans="1:10" ht="15" customHeight="1" x14ac:dyDescent="0.25">
      <c r="A658" s="5">
        <v>4</v>
      </c>
      <c r="B658" s="5">
        <v>657</v>
      </c>
      <c r="C658" s="51">
        <v>46029</v>
      </c>
      <c r="D658" s="13">
        <v>46.5</v>
      </c>
      <c r="E658" s="8">
        <v>35.6</v>
      </c>
      <c r="F658" s="8">
        <v>0</v>
      </c>
      <c r="G658" s="8">
        <v>0</v>
      </c>
      <c r="H658" s="8">
        <v>8</v>
      </c>
      <c r="J658" s="8">
        <v>8.77</v>
      </c>
    </row>
    <row r="659" spans="1:10" ht="15" customHeight="1" x14ac:dyDescent="0.25">
      <c r="A659" s="5">
        <v>5</v>
      </c>
      <c r="B659" s="5">
        <v>658</v>
      </c>
      <c r="C659" s="51">
        <v>46030</v>
      </c>
      <c r="D659" s="13">
        <v>85</v>
      </c>
      <c r="E659" s="8">
        <v>50</v>
      </c>
      <c r="F659" s="8">
        <v>0.49</v>
      </c>
      <c r="G659" s="8">
        <v>0</v>
      </c>
      <c r="H659" s="8">
        <v>13</v>
      </c>
      <c r="J659" s="8">
        <v>23.545000000000002</v>
      </c>
    </row>
    <row r="660" spans="1:10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40.5</v>
      </c>
      <c r="F660" s="8">
        <v>0.01</v>
      </c>
      <c r="G660" s="8">
        <v>0</v>
      </c>
      <c r="H660" s="8">
        <v>10</v>
      </c>
      <c r="J660" s="8">
        <v>13.745000000000001</v>
      </c>
    </row>
    <row r="661" spans="1:10" ht="15" customHeight="1" x14ac:dyDescent="0.25">
      <c r="A661" s="5">
        <v>7</v>
      </c>
      <c r="B661" s="5">
        <v>660</v>
      </c>
      <c r="C661" s="51">
        <v>46032</v>
      </c>
      <c r="D661" s="13">
        <v>127.5</v>
      </c>
      <c r="E661" s="8">
        <v>30.5</v>
      </c>
      <c r="F661" s="8">
        <v>0.13</v>
      </c>
      <c r="G661" s="8">
        <v>0.5</v>
      </c>
      <c r="H661" s="8">
        <v>12</v>
      </c>
      <c r="J661" s="8">
        <v>16.829999999999998</v>
      </c>
    </row>
    <row r="662" spans="1:10" ht="15" customHeight="1" x14ac:dyDescent="0.25">
      <c r="A662" s="5">
        <v>1</v>
      </c>
      <c r="B662" s="5">
        <v>661</v>
      </c>
      <c r="C662" s="51">
        <v>46033</v>
      </c>
      <c r="D662" s="13">
        <v>45</v>
      </c>
      <c r="E662" s="8">
        <v>25</v>
      </c>
      <c r="F662" s="8">
        <v>0</v>
      </c>
      <c r="G662" s="8">
        <v>0</v>
      </c>
      <c r="H662" s="8">
        <v>15</v>
      </c>
      <c r="J662" s="8">
        <v>10.530000000000001</v>
      </c>
    </row>
    <row r="663" spans="1:10" ht="15" customHeight="1" x14ac:dyDescent="0.25">
      <c r="A663" s="5">
        <v>2</v>
      </c>
      <c r="B663" s="5">
        <v>662</v>
      </c>
      <c r="C663" s="51">
        <v>46034</v>
      </c>
      <c r="D663" s="13">
        <v>37</v>
      </c>
      <c r="E663" s="8">
        <v>33.5</v>
      </c>
      <c r="F663" s="8">
        <v>0</v>
      </c>
      <c r="G663" s="8">
        <v>0</v>
      </c>
      <c r="H663" s="8">
        <v>13</v>
      </c>
      <c r="J663" s="8">
        <v>7.94</v>
      </c>
    </row>
    <row r="664" spans="1:10" ht="15" customHeight="1" x14ac:dyDescent="0.25">
      <c r="A664" s="5">
        <v>3</v>
      </c>
      <c r="B664" s="5">
        <v>663</v>
      </c>
      <c r="C664" s="51">
        <v>46035</v>
      </c>
      <c r="D664" s="13">
        <v>42.5</v>
      </c>
      <c r="E664" s="8">
        <v>35</v>
      </c>
      <c r="F664" s="8">
        <v>0.1</v>
      </c>
      <c r="G664" s="8">
        <v>0</v>
      </c>
      <c r="H664" s="8">
        <v>10</v>
      </c>
      <c r="J664" s="8">
        <v>5.2249999999999996</v>
      </c>
    </row>
    <row r="665" spans="1:10" ht="15" customHeight="1" x14ac:dyDescent="0.25">
      <c r="A665" s="5">
        <v>4</v>
      </c>
      <c r="B665" s="5">
        <v>664</v>
      </c>
      <c r="C665" s="51">
        <v>46036</v>
      </c>
      <c r="D665" s="13">
        <v>49.5</v>
      </c>
      <c r="E665" s="8">
        <v>28.5</v>
      </c>
      <c r="F665" s="8">
        <v>0.05</v>
      </c>
      <c r="G665" s="8">
        <v>0.7</v>
      </c>
      <c r="H665" s="8">
        <v>9</v>
      </c>
      <c r="J665" s="8">
        <v>12.955</v>
      </c>
    </row>
    <row r="666" spans="1:10" ht="15" customHeight="1" x14ac:dyDescent="0.25">
      <c r="A666" s="5">
        <v>5</v>
      </c>
      <c r="B666" s="5">
        <v>665</v>
      </c>
      <c r="C666" s="51">
        <v>46037</v>
      </c>
      <c r="D666" s="13">
        <v>80</v>
      </c>
      <c r="E666" s="8">
        <v>28.5</v>
      </c>
      <c r="F666" s="8">
        <v>0.08</v>
      </c>
      <c r="G666" s="8">
        <v>1.2</v>
      </c>
      <c r="H666" s="8">
        <v>6</v>
      </c>
      <c r="J666" s="8">
        <v>21.13</v>
      </c>
    </row>
    <row r="667" spans="1:10" ht="15" customHeight="1" x14ac:dyDescent="0.25">
      <c r="A667" s="5">
        <v>6</v>
      </c>
      <c r="B667" s="5">
        <v>666</v>
      </c>
      <c r="C667" s="51">
        <v>46038</v>
      </c>
      <c r="D667" s="13">
        <v>133</v>
      </c>
      <c r="E667" s="8">
        <v>21.5</v>
      </c>
      <c r="F667" s="8">
        <v>0.26</v>
      </c>
      <c r="G667" s="8">
        <v>3.9</v>
      </c>
      <c r="H667" s="8">
        <v>8</v>
      </c>
      <c r="J667" s="8">
        <v>36.905000000000001</v>
      </c>
    </row>
    <row r="668" spans="1:10" ht="15" customHeight="1" x14ac:dyDescent="0.25">
      <c r="A668" s="5">
        <v>7</v>
      </c>
      <c r="B668" s="5">
        <v>667</v>
      </c>
      <c r="C668" s="51">
        <v>46039</v>
      </c>
      <c r="D668" s="13">
        <v>151.5</v>
      </c>
      <c r="E668" s="8">
        <v>23</v>
      </c>
      <c r="F668" s="8">
        <v>0.05</v>
      </c>
      <c r="G668" s="8">
        <v>0.9</v>
      </c>
      <c r="H668" s="8">
        <v>10</v>
      </c>
      <c r="J668" s="8">
        <v>22.42</v>
      </c>
    </row>
    <row r="669" spans="1:10" ht="15" customHeight="1" x14ac:dyDescent="0.25">
      <c r="A669" s="5">
        <v>1</v>
      </c>
      <c r="B669" s="5">
        <v>668</v>
      </c>
      <c r="C669" s="51">
        <v>46040</v>
      </c>
      <c r="D669" s="13">
        <v>53</v>
      </c>
      <c r="E669" s="8">
        <v>19.5</v>
      </c>
      <c r="F669" s="8">
        <v>0</v>
      </c>
      <c r="G669" s="8">
        <v>0</v>
      </c>
      <c r="H669" s="8">
        <v>13</v>
      </c>
      <c r="J669" s="8">
        <v>10.675000000000001</v>
      </c>
    </row>
    <row r="670" spans="1:10" ht="15" customHeight="1" x14ac:dyDescent="0.25">
      <c r="A670" s="5">
        <v>2</v>
      </c>
      <c r="B670" s="5">
        <v>669</v>
      </c>
      <c r="C670" s="51">
        <v>46041</v>
      </c>
      <c r="D670" s="13">
        <v>28</v>
      </c>
      <c r="E670" s="8">
        <v>19.5</v>
      </c>
      <c r="F670" s="8">
        <v>0</v>
      </c>
      <c r="G670" s="8">
        <v>0</v>
      </c>
      <c r="H670" s="8">
        <v>9</v>
      </c>
      <c r="I670" t="s">
        <v>32</v>
      </c>
      <c r="J670" s="8">
        <v>16.21</v>
      </c>
    </row>
    <row r="671" spans="1:10" ht="15" customHeight="1" x14ac:dyDescent="0.25">
      <c r="A671" s="5">
        <v>3</v>
      </c>
      <c r="B671" s="5">
        <v>670</v>
      </c>
      <c r="C671" s="51">
        <v>46042</v>
      </c>
      <c r="D671" s="13">
        <v>54.5</v>
      </c>
      <c r="E671" s="8">
        <v>21.5</v>
      </c>
      <c r="F671" s="8">
        <v>0</v>
      </c>
      <c r="G671" s="8">
        <v>0</v>
      </c>
      <c r="H671" s="8">
        <v>8</v>
      </c>
      <c r="J671" s="8">
        <v>12.065</v>
      </c>
    </row>
    <row r="672" spans="1:10" ht="15" customHeight="1" x14ac:dyDescent="0.25">
      <c r="A672" s="5">
        <v>4</v>
      </c>
      <c r="B672" s="5">
        <v>671</v>
      </c>
      <c r="C672" s="51">
        <v>46043</v>
      </c>
      <c r="D672" s="13">
        <v>43.5</v>
      </c>
      <c r="E672" s="8">
        <v>30.5</v>
      </c>
      <c r="F672" s="8">
        <v>0</v>
      </c>
      <c r="G672" s="8">
        <v>0</v>
      </c>
      <c r="H672" s="8">
        <v>12</v>
      </c>
      <c r="J672" s="8">
        <v>4.9749999999999996</v>
      </c>
    </row>
    <row r="673" spans="1:10" ht="15" customHeight="1" x14ac:dyDescent="0.25">
      <c r="A673" s="5">
        <v>5</v>
      </c>
      <c r="B673" s="5">
        <v>672</v>
      </c>
      <c r="C673" s="51">
        <v>46044</v>
      </c>
      <c r="D673" s="13">
        <v>61</v>
      </c>
      <c r="E673" s="8">
        <v>26.5</v>
      </c>
      <c r="F673" s="8">
        <v>0</v>
      </c>
      <c r="G673" s="8">
        <v>0</v>
      </c>
      <c r="H673" s="8">
        <v>9</v>
      </c>
      <c r="J673" s="8">
        <v>14.819999999999999</v>
      </c>
    </row>
    <row r="674" spans="1:10" ht="15" customHeight="1" x14ac:dyDescent="0.25">
      <c r="A674" s="5">
        <v>6</v>
      </c>
      <c r="B674" s="5">
        <v>673</v>
      </c>
      <c r="C674" s="51">
        <v>46045</v>
      </c>
      <c r="D674" s="13">
        <v>119</v>
      </c>
      <c r="E674" s="8">
        <v>24</v>
      </c>
      <c r="F674" s="8">
        <v>0</v>
      </c>
      <c r="G674" s="8">
        <v>0</v>
      </c>
      <c r="H674" s="8">
        <v>13</v>
      </c>
      <c r="J674" s="8">
        <v>23.6</v>
      </c>
    </row>
    <row r="675" spans="1:10" ht="15" customHeight="1" x14ac:dyDescent="0.25">
      <c r="A675" s="5">
        <v>7</v>
      </c>
      <c r="B675" s="5">
        <v>674</v>
      </c>
      <c r="C675" s="51">
        <v>46046</v>
      </c>
      <c r="D675" s="13">
        <v>145</v>
      </c>
      <c r="E675" s="8">
        <v>22</v>
      </c>
      <c r="F675" s="8">
        <v>0</v>
      </c>
      <c r="G675" s="8">
        <v>0</v>
      </c>
      <c r="H675" s="8">
        <v>12</v>
      </c>
      <c r="J675" s="8">
        <v>23.684999999999999</v>
      </c>
    </row>
    <row r="676" spans="1:10" ht="15" customHeight="1" x14ac:dyDescent="0.25">
      <c r="A676" s="5">
        <v>1</v>
      </c>
      <c r="B676" s="5">
        <v>675</v>
      </c>
      <c r="C676" s="51">
        <v>46047</v>
      </c>
      <c r="D676" s="13">
        <v>48.5</v>
      </c>
      <c r="E676" s="8">
        <v>15</v>
      </c>
      <c r="F676" s="8">
        <v>0.02</v>
      </c>
      <c r="G676" s="8">
        <v>0.2</v>
      </c>
      <c r="H676" s="8">
        <v>4</v>
      </c>
      <c r="J676" s="8">
        <v>26.77</v>
      </c>
    </row>
    <row r="677" spans="1:10" ht="15" customHeight="1" x14ac:dyDescent="0.25">
      <c r="A677" s="5">
        <v>2</v>
      </c>
      <c r="B677" s="5">
        <v>676</v>
      </c>
      <c r="C677" s="51">
        <v>46048</v>
      </c>
      <c r="D677" s="13">
        <v>59</v>
      </c>
      <c r="E677" s="8">
        <v>15</v>
      </c>
      <c r="F677" s="8">
        <v>0.06</v>
      </c>
      <c r="G677" s="8">
        <v>1.2</v>
      </c>
      <c r="H677" s="8">
        <v>5</v>
      </c>
      <c r="J677" s="8">
        <v>27.07</v>
      </c>
    </row>
    <row r="678" spans="1:10" ht="15" customHeight="1" x14ac:dyDescent="0.25">
      <c r="A678" s="5">
        <v>3</v>
      </c>
      <c r="B678" s="5">
        <v>677</v>
      </c>
      <c r="C678" s="51">
        <v>46049</v>
      </c>
      <c r="D678" s="13">
        <v>61.5</v>
      </c>
      <c r="E678" s="8">
        <v>15</v>
      </c>
      <c r="F678" s="8">
        <v>0</v>
      </c>
      <c r="G678" s="8">
        <v>0</v>
      </c>
      <c r="H678" s="8">
        <v>6</v>
      </c>
      <c r="J678" s="8">
        <v>21.645</v>
      </c>
    </row>
    <row r="679" spans="1:10" ht="15" customHeight="1" x14ac:dyDescent="0.25">
      <c r="A679" s="5">
        <v>4</v>
      </c>
      <c r="B679" s="5">
        <v>678</v>
      </c>
      <c r="C679" s="51">
        <v>46050</v>
      </c>
      <c r="D679" s="13">
        <v>44.5</v>
      </c>
      <c r="E679" s="8">
        <v>25</v>
      </c>
      <c r="F679" s="8">
        <v>0</v>
      </c>
      <c r="G679" s="8">
        <v>0</v>
      </c>
      <c r="H679" s="8">
        <v>13</v>
      </c>
      <c r="J679" s="8">
        <v>5.4649999999999999</v>
      </c>
    </row>
    <row r="680" spans="1:10" ht="15" customHeight="1" x14ac:dyDescent="0.25">
      <c r="A680" s="5">
        <v>5</v>
      </c>
      <c r="B680" s="5">
        <v>679</v>
      </c>
      <c r="C680" s="51">
        <v>46051</v>
      </c>
      <c r="D680" s="13">
        <v>63.5</v>
      </c>
      <c r="E680" s="8">
        <v>31</v>
      </c>
      <c r="F680" s="8">
        <v>0.28999999999999998</v>
      </c>
      <c r="G680" s="8">
        <v>0.08</v>
      </c>
      <c r="H680" s="8">
        <v>9</v>
      </c>
      <c r="J680" s="8">
        <v>10.54</v>
      </c>
    </row>
    <row r="681" spans="1:10" ht="15" customHeight="1" x14ac:dyDescent="0.25">
      <c r="A681" s="5">
        <v>6</v>
      </c>
      <c r="B681" s="5">
        <v>680</v>
      </c>
      <c r="C681" s="51">
        <v>46052</v>
      </c>
      <c r="D681" s="13">
        <v>129</v>
      </c>
      <c r="E681" s="8">
        <v>24</v>
      </c>
      <c r="F681" s="8">
        <v>0</v>
      </c>
      <c r="G681" s="8">
        <v>0</v>
      </c>
      <c r="H681" s="8">
        <v>17</v>
      </c>
      <c r="J681" s="8">
        <v>44.05</v>
      </c>
    </row>
    <row r="682" spans="1:10" ht="15" customHeight="1" x14ac:dyDescent="0.25">
      <c r="A682" s="5">
        <v>7</v>
      </c>
      <c r="B682" s="5">
        <v>681</v>
      </c>
      <c r="C682" s="51">
        <v>46053</v>
      </c>
      <c r="D682" s="13">
        <v>157</v>
      </c>
      <c r="E682" s="8">
        <v>14.5</v>
      </c>
      <c r="F682" s="8">
        <v>0</v>
      </c>
      <c r="G682" s="8">
        <v>0</v>
      </c>
      <c r="H682" s="8">
        <v>9</v>
      </c>
      <c r="J682" s="8">
        <v>27.130000000000003</v>
      </c>
    </row>
    <row r="683" spans="1:10" ht="15" customHeight="1" x14ac:dyDescent="0.25">
      <c r="A683" s="5">
        <v>1</v>
      </c>
      <c r="B683" s="5">
        <v>682</v>
      </c>
      <c r="C683" s="51">
        <v>46054</v>
      </c>
      <c r="D683" s="13">
        <v>52</v>
      </c>
      <c r="E683" s="8">
        <v>22.5</v>
      </c>
      <c r="F683" s="8">
        <v>0</v>
      </c>
      <c r="G683" s="8">
        <v>0</v>
      </c>
      <c r="H683" s="8">
        <v>13</v>
      </c>
      <c r="J683" s="8">
        <v>11.195</v>
      </c>
    </row>
    <row r="684" spans="1:10" ht="15" customHeight="1" x14ac:dyDescent="0.25">
      <c r="A684" s="5">
        <v>2</v>
      </c>
      <c r="B684" s="5">
        <v>683</v>
      </c>
      <c r="C684" s="51">
        <v>46055</v>
      </c>
      <c r="D684" s="13">
        <v>44</v>
      </c>
      <c r="E684" s="8">
        <v>23</v>
      </c>
      <c r="F684" s="8">
        <v>0</v>
      </c>
      <c r="G684" s="8">
        <v>0</v>
      </c>
      <c r="H684" s="8">
        <v>15</v>
      </c>
      <c r="J684" s="8">
        <v>6.81</v>
      </c>
    </row>
    <row r="685" spans="1:10" ht="15" customHeight="1" x14ac:dyDescent="0.25">
      <c r="A685" s="5">
        <v>3</v>
      </c>
      <c r="B685" s="5">
        <v>684</v>
      </c>
      <c r="C685" s="51">
        <v>46056</v>
      </c>
      <c r="D685" s="13">
        <v>63</v>
      </c>
      <c r="E685" s="8">
        <v>17</v>
      </c>
      <c r="F685" s="8">
        <v>0</v>
      </c>
      <c r="G685" s="8">
        <v>0</v>
      </c>
      <c r="H685" s="8">
        <v>5</v>
      </c>
      <c r="J685" s="8">
        <v>21.18</v>
      </c>
    </row>
    <row r="686" spans="1:10" ht="15" customHeight="1" x14ac:dyDescent="0.25">
      <c r="A686" s="5">
        <v>4</v>
      </c>
      <c r="B686" s="5">
        <v>685</v>
      </c>
      <c r="C686" s="51">
        <v>46057</v>
      </c>
      <c r="D686" s="13">
        <v>46.5</v>
      </c>
      <c r="E686" s="8">
        <v>18</v>
      </c>
      <c r="F686" s="8">
        <v>0</v>
      </c>
      <c r="G686" s="8">
        <v>0</v>
      </c>
      <c r="H686" s="8">
        <v>14</v>
      </c>
      <c r="J686" s="8">
        <v>5.2249999999999996</v>
      </c>
    </row>
    <row r="687" spans="1:10" ht="15" customHeight="1" x14ac:dyDescent="0.25">
      <c r="A687" s="5">
        <v>5</v>
      </c>
      <c r="B687" s="5">
        <v>686</v>
      </c>
      <c r="C687" s="51">
        <v>46058</v>
      </c>
      <c r="D687" s="13">
        <v>75.5</v>
      </c>
      <c r="E687" s="8">
        <v>16</v>
      </c>
      <c r="F687" s="8">
        <v>0</v>
      </c>
      <c r="G687" s="8">
        <v>0</v>
      </c>
      <c r="H687" s="8">
        <v>8</v>
      </c>
      <c r="J687" s="8">
        <v>23.375</v>
      </c>
    </row>
    <row r="688" spans="1:10" ht="15" customHeight="1" x14ac:dyDescent="0.25">
      <c r="A688" s="5">
        <v>6</v>
      </c>
      <c r="B688" s="5">
        <v>687</v>
      </c>
      <c r="C688" s="51">
        <v>46059</v>
      </c>
      <c r="D688" s="13">
        <v>155.5</v>
      </c>
      <c r="E688" s="8">
        <v>18.5</v>
      </c>
      <c r="F688" s="8">
        <v>0.12</v>
      </c>
      <c r="G688" s="8">
        <v>2.4</v>
      </c>
      <c r="H688" s="8">
        <v>6</v>
      </c>
      <c r="J688" s="8">
        <v>29.189999999999998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177.5</v>
      </c>
      <c r="E689" s="8">
        <v>17</v>
      </c>
      <c r="F689" s="8">
        <v>0.11</v>
      </c>
      <c r="G689" s="8">
        <v>2.4</v>
      </c>
      <c r="H689" s="8">
        <v>10</v>
      </c>
      <c r="J689" s="8">
        <v>32.155000000000001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25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11.7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39</v>
      </c>
      <c r="E691" s="8">
        <v>14.5</v>
      </c>
      <c r="F691" s="8">
        <v>0.06</v>
      </c>
      <c r="G691" s="8">
        <v>1.5</v>
      </c>
      <c r="H691" s="8">
        <v>16</v>
      </c>
      <c r="J691" s="8">
        <v>7.5350000000000001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44</v>
      </c>
      <c r="E692" s="8">
        <v>16.5</v>
      </c>
      <c r="F692" s="8">
        <v>0</v>
      </c>
      <c r="G692" s="8">
        <v>0</v>
      </c>
      <c r="H692" s="8">
        <v>13</v>
      </c>
      <c r="J692" s="8">
        <v>4.1950000000000003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64.5</v>
      </c>
      <c r="E693" s="8">
        <v>16.5</v>
      </c>
      <c r="F693" s="8">
        <v>0</v>
      </c>
      <c r="G693" s="8">
        <v>0</v>
      </c>
      <c r="H693" s="8">
        <v>6</v>
      </c>
      <c r="J693" s="8">
        <v>24.19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90</v>
      </c>
      <c r="E694" s="8">
        <v>17</v>
      </c>
      <c r="F694" s="8">
        <v>0</v>
      </c>
      <c r="G694" s="8">
        <v>0</v>
      </c>
      <c r="H694" s="8">
        <v>5</v>
      </c>
      <c r="J694" s="8">
        <v>26.004999999999999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136</v>
      </c>
      <c r="E695" s="8">
        <v>17</v>
      </c>
      <c r="F695" s="8">
        <v>0</v>
      </c>
      <c r="G695" s="8">
        <v>0</v>
      </c>
      <c r="H695" s="8">
        <v>6</v>
      </c>
      <c r="J695" s="8">
        <v>22.6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203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42.284999999999997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54</v>
      </c>
      <c r="E697" s="8">
        <v>19.5</v>
      </c>
      <c r="F697" s="8">
        <v>0</v>
      </c>
      <c r="G697" s="8">
        <v>0</v>
      </c>
      <c r="H697" s="8">
        <v>12</v>
      </c>
      <c r="J697" s="8">
        <v>8.51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48.5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10.005000000000001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65</v>
      </c>
      <c r="E699" s="8">
        <v>18.5</v>
      </c>
      <c r="F699" s="8">
        <v>0</v>
      </c>
      <c r="G699" s="8">
        <v>0</v>
      </c>
      <c r="H699" s="8">
        <v>4</v>
      </c>
      <c r="J699" s="8">
        <v>20.98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83.5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28.405000000000001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66.5</v>
      </c>
      <c r="E701" s="8">
        <v>27.5</v>
      </c>
      <c r="F701" s="8">
        <v>0</v>
      </c>
      <c r="G701" s="8">
        <v>0</v>
      </c>
      <c r="H701" s="8">
        <v>6</v>
      </c>
      <c r="J701" s="8">
        <v>21.880000000000003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80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16.97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144</v>
      </c>
      <c r="E703" s="8">
        <v>18.5</v>
      </c>
      <c r="F703" s="8">
        <v>0</v>
      </c>
      <c r="G703" s="8">
        <v>0</v>
      </c>
      <c r="H703" s="8">
        <v>13</v>
      </c>
      <c r="J703" s="8">
        <v>25.495000000000001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51.5</v>
      </c>
      <c r="E704" s="8">
        <v>20</v>
      </c>
      <c r="F704" s="8">
        <v>0.09</v>
      </c>
      <c r="G704" s="8">
        <v>1.5</v>
      </c>
      <c r="H704" s="8">
        <v>8</v>
      </c>
      <c r="J704" s="8">
        <v>13.54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50.5</v>
      </c>
      <c r="E705" s="8">
        <v>22.5</v>
      </c>
      <c r="F705" s="8">
        <v>0</v>
      </c>
      <c r="G705" s="8">
        <v>0</v>
      </c>
      <c r="H705" s="8">
        <v>12</v>
      </c>
      <c r="J705" s="8">
        <v>7.6349999999999998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65.5</v>
      </c>
      <c r="E706" s="8">
        <v>22.5</v>
      </c>
      <c r="F706" s="8">
        <v>0.05</v>
      </c>
      <c r="G706" s="8">
        <v>0.8</v>
      </c>
      <c r="H706" s="8">
        <v>5</v>
      </c>
      <c r="J706" s="8">
        <v>19.350000000000001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39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5.8149999999999995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67.5</v>
      </c>
      <c r="E708" s="8">
        <v>20</v>
      </c>
      <c r="F708" s="8">
        <v>0</v>
      </c>
      <c r="G708" s="8">
        <v>0</v>
      </c>
      <c r="H708" s="8">
        <v>9</v>
      </c>
      <c r="J708" s="8">
        <v>20.245000000000001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76.5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12.734999999999999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155</v>
      </c>
      <c r="E710" s="8">
        <v>25</v>
      </c>
      <c r="F710" s="8">
        <v>0</v>
      </c>
      <c r="G710" s="8">
        <v>0</v>
      </c>
      <c r="H710" s="8">
        <v>7</v>
      </c>
      <c r="J710" s="8">
        <v>18.98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42.5</v>
      </c>
      <c r="E711" s="8">
        <v>34</v>
      </c>
      <c r="F711" s="8">
        <v>0.26</v>
      </c>
      <c r="G711" s="8">
        <v>0.1</v>
      </c>
      <c r="H711" s="8">
        <v>14</v>
      </c>
      <c r="J711" s="8">
        <v>7.9050000000000002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52</v>
      </c>
      <c r="E712" s="8">
        <v>30</v>
      </c>
      <c r="F712" s="8">
        <v>0.03</v>
      </c>
      <c r="G712" s="8">
        <v>0.12</v>
      </c>
      <c r="H712" s="8">
        <v>9</v>
      </c>
      <c r="J712" s="8">
        <v>4.8650000000000002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58</v>
      </c>
      <c r="E713" s="8">
        <v>31</v>
      </c>
      <c r="F713" s="8">
        <v>0.08</v>
      </c>
      <c r="G713" s="8">
        <v>0.11</v>
      </c>
      <c r="H713" s="8">
        <v>8</v>
      </c>
      <c r="J713" s="8">
        <v>6.7250000000000005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44.5</v>
      </c>
      <c r="E714" s="8">
        <v>31</v>
      </c>
      <c r="F714" s="8">
        <v>0</v>
      </c>
      <c r="G714" s="8">
        <v>0</v>
      </c>
      <c r="H714" s="8">
        <v>22</v>
      </c>
      <c r="J714" s="8">
        <v>10.41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54</v>
      </c>
      <c r="E715" s="8">
        <v>32</v>
      </c>
      <c r="F715" s="8">
        <v>0</v>
      </c>
      <c r="G715" s="8">
        <v>0</v>
      </c>
      <c r="H715" s="8">
        <v>8</v>
      </c>
      <c r="J715" s="8">
        <v>13.540000000000001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70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  <c r="J716" s="8">
        <v>13.675000000000001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140</v>
      </c>
      <c r="E717" s="8">
        <v>39</v>
      </c>
      <c r="F717" s="8">
        <v>0.28000000000000003</v>
      </c>
      <c r="G717" s="8">
        <v>0.04</v>
      </c>
      <c r="H717" s="8">
        <v>16</v>
      </c>
      <c r="J717" s="8">
        <v>29.02</v>
      </c>
    </row>
  </sheetData>
  <conditionalFormatting sqref="A2:A717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A190" zoomScaleNormal="100" workbookViewId="0">
      <selection activeCell="O204" sqref="O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4" t="s">
        <v>60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 t="e">
        <f t="shared" si="37"/>
        <v>#DIV/0!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49</v>
      </c>
      <c r="F204" s="27">
        <v>42</v>
      </c>
      <c r="G204" s="27">
        <v>53</v>
      </c>
      <c r="H204" s="27">
        <v>53</v>
      </c>
      <c r="I204" s="27">
        <v>52</v>
      </c>
      <c r="J204" s="27">
        <v>41</v>
      </c>
      <c r="K204" s="27">
        <v>47</v>
      </c>
      <c r="L204" s="27">
        <v>36</v>
      </c>
      <c r="M204" s="27">
        <v>54</v>
      </c>
      <c r="N204" s="27">
        <v>38</v>
      </c>
      <c r="O204" s="28">
        <f t="shared" si="38"/>
        <v>45</v>
      </c>
      <c r="P204" s="28">
        <f t="shared" si="39"/>
        <v>7.01</v>
      </c>
      <c r="T204" s="27">
        <v>49</v>
      </c>
      <c r="U204" s="27">
        <v>42</v>
      </c>
    </row>
    <row r="205" spans="1:21" x14ac:dyDescent="0.25"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T205">
        <v>89</v>
      </c>
      <c r="U205">
        <v>90</v>
      </c>
    </row>
    <row r="206" spans="1:21" x14ac:dyDescent="0.25"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T206">
        <v>113</v>
      </c>
      <c r="U206">
        <v>106</v>
      </c>
    </row>
    <row r="207" spans="1:21" x14ac:dyDescent="0.25"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T207">
        <v>125</v>
      </c>
      <c r="U207">
        <v>122</v>
      </c>
    </row>
    <row r="208" spans="1:21" x14ac:dyDescent="0.25"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T208">
        <v>47</v>
      </c>
      <c r="U208">
        <v>44</v>
      </c>
    </row>
    <row r="209" spans="2:21" x14ac:dyDescent="0.25"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49</v>
      </c>
      <c r="I209">
        <v>50</v>
      </c>
      <c r="J209">
        <v>39</v>
      </c>
      <c r="K209">
        <v>29</v>
      </c>
      <c r="L209">
        <v>38</v>
      </c>
      <c r="M209">
        <v>24</v>
      </c>
      <c r="N209">
        <v>38</v>
      </c>
      <c r="O209" s="19">
        <f t="shared" si="38"/>
        <v>40</v>
      </c>
      <c r="P209" s="19">
        <f t="shared" si="39"/>
        <v>7</v>
      </c>
      <c r="T209">
        <v>41</v>
      </c>
      <c r="U209">
        <v>40</v>
      </c>
    </row>
    <row r="210" spans="2:21" x14ac:dyDescent="0.25"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44</v>
      </c>
      <c r="I210">
        <v>53</v>
      </c>
      <c r="J210">
        <v>40</v>
      </c>
      <c r="K210">
        <v>44</v>
      </c>
      <c r="L210">
        <v>43</v>
      </c>
      <c r="M210">
        <v>37</v>
      </c>
      <c r="N210">
        <v>42</v>
      </c>
      <c r="O210" s="19">
        <f t="shared" si="38"/>
        <v>44</v>
      </c>
      <c r="P210" s="19">
        <f t="shared" si="39"/>
        <v>4.21</v>
      </c>
      <c r="T210">
        <v>49</v>
      </c>
      <c r="U210">
        <v>40</v>
      </c>
    </row>
    <row r="211" spans="2:21" x14ac:dyDescent="0.25"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49</v>
      </c>
      <c r="I211">
        <v>51</v>
      </c>
      <c r="J211">
        <v>42</v>
      </c>
      <c r="K211">
        <v>45</v>
      </c>
      <c r="L211">
        <v>37</v>
      </c>
      <c r="M211">
        <v>42</v>
      </c>
      <c r="N211">
        <v>39</v>
      </c>
      <c r="O211" s="19">
        <f t="shared" si="38"/>
        <v>45</v>
      </c>
      <c r="P211" s="19">
        <f t="shared" si="39"/>
        <v>5.61</v>
      </c>
      <c r="T211">
        <v>55</v>
      </c>
      <c r="U211">
        <v>43</v>
      </c>
    </row>
    <row r="212" spans="2:21" x14ac:dyDescent="0.25"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70</v>
      </c>
      <c r="I212">
        <v>80</v>
      </c>
      <c r="J212">
        <v>65</v>
      </c>
      <c r="K212">
        <v>66</v>
      </c>
      <c r="L212">
        <v>57</v>
      </c>
      <c r="M212">
        <v>58</v>
      </c>
      <c r="N212">
        <v>77</v>
      </c>
      <c r="O212" s="19">
        <f t="shared" si="38"/>
        <v>68</v>
      </c>
      <c r="P212" s="19">
        <f t="shared" si="39"/>
        <v>8.0299999999999994</v>
      </c>
      <c r="T212">
        <v>63</v>
      </c>
      <c r="U212">
        <v>68</v>
      </c>
    </row>
    <row r="213" spans="2:21" x14ac:dyDescent="0.25"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98</v>
      </c>
      <c r="I213">
        <v>171</v>
      </c>
      <c r="J213">
        <v>116</v>
      </c>
      <c r="K213">
        <v>38</v>
      </c>
      <c r="L213">
        <v>140</v>
      </c>
      <c r="M213">
        <v>150</v>
      </c>
      <c r="N213">
        <v>132</v>
      </c>
      <c r="O213" s="19">
        <f t="shared" si="38"/>
        <v>129</v>
      </c>
      <c r="P213" s="19">
        <f t="shared" si="39"/>
        <v>33.42</v>
      </c>
      <c r="T213">
        <v>101</v>
      </c>
      <c r="U213">
        <v>131</v>
      </c>
    </row>
    <row r="214" spans="2:21" x14ac:dyDescent="0.25">
      <c r="B214" s="21">
        <v>46039</v>
      </c>
      <c r="C214">
        <v>148</v>
      </c>
      <c r="D214">
        <v>151</v>
      </c>
      <c r="E214">
        <v>141</v>
      </c>
      <c r="F214">
        <v>130</v>
      </c>
      <c r="G214">
        <v>129</v>
      </c>
      <c r="H214">
        <v>116</v>
      </c>
      <c r="I214">
        <v>148</v>
      </c>
      <c r="J214">
        <v>129</v>
      </c>
      <c r="K214">
        <v>160</v>
      </c>
      <c r="L214">
        <v>156</v>
      </c>
      <c r="M214">
        <v>170</v>
      </c>
      <c r="N214">
        <v>152</v>
      </c>
      <c r="O214" s="19">
        <f t="shared" si="38"/>
        <v>144</v>
      </c>
      <c r="P214" s="19">
        <f t="shared" si="39"/>
        <v>14.15</v>
      </c>
      <c r="T214">
        <v>152</v>
      </c>
      <c r="U214">
        <v>135</v>
      </c>
    </row>
    <row r="215" spans="2:21" x14ac:dyDescent="0.25">
      <c r="B215" s="21">
        <v>46040</v>
      </c>
      <c r="C215">
        <v>51</v>
      </c>
      <c r="D215">
        <v>50</v>
      </c>
      <c r="E215">
        <v>58</v>
      </c>
      <c r="F215">
        <v>53</v>
      </c>
      <c r="G215">
        <v>58</v>
      </c>
      <c r="H215">
        <v>55</v>
      </c>
      <c r="I215">
        <v>53</v>
      </c>
      <c r="J215">
        <v>56</v>
      </c>
      <c r="K215">
        <v>70</v>
      </c>
      <c r="L215">
        <v>48</v>
      </c>
      <c r="M215">
        <v>78</v>
      </c>
      <c r="N215">
        <v>57</v>
      </c>
      <c r="O215" s="19">
        <f t="shared" si="38"/>
        <v>57</v>
      </c>
      <c r="P215" s="19">
        <f t="shared" si="39"/>
        <v>7.74</v>
      </c>
      <c r="T215">
        <v>57</v>
      </c>
      <c r="U215">
        <v>52</v>
      </c>
    </row>
    <row r="216" spans="2:21" x14ac:dyDescent="0.25">
      <c r="B216" s="21">
        <v>46041</v>
      </c>
      <c r="C216">
        <v>12</v>
      </c>
      <c r="D216">
        <v>12</v>
      </c>
      <c r="E216">
        <v>37</v>
      </c>
      <c r="F216">
        <v>24</v>
      </c>
      <c r="G216">
        <v>47</v>
      </c>
      <c r="H216">
        <v>42</v>
      </c>
      <c r="I216">
        <v>34</v>
      </c>
      <c r="J216">
        <v>29</v>
      </c>
      <c r="K216">
        <v>10</v>
      </c>
      <c r="L216">
        <v>14</v>
      </c>
      <c r="M216">
        <v>15</v>
      </c>
      <c r="N216">
        <v>12</v>
      </c>
      <c r="O216" s="19">
        <f t="shared" si="38"/>
        <v>24</v>
      </c>
      <c r="P216" s="19">
        <f t="shared" si="39"/>
        <v>11.85</v>
      </c>
      <c r="T216">
        <v>22</v>
      </c>
      <c r="U216">
        <v>21</v>
      </c>
    </row>
    <row r="217" spans="2:21" x14ac:dyDescent="0.25">
      <c r="B217" s="21">
        <v>46042</v>
      </c>
      <c r="C217">
        <v>47</v>
      </c>
      <c r="D217">
        <v>48</v>
      </c>
      <c r="E217">
        <v>52</v>
      </c>
      <c r="F217">
        <v>53</v>
      </c>
      <c r="G217">
        <v>47</v>
      </c>
      <c r="H217">
        <v>57</v>
      </c>
      <c r="I217">
        <v>52</v>
      </c>
      <c r="J217">
        <v>50</v>
      </c>
      <c r="K217">
        <v>51</v>
      </c>
      <c r="L217">
        <v>47</v>
      </c>
      <c r="M217">
        <v>47</v>
      </c>
      <c r="N217">
        <v>50</v>
      </c>
      <c r="O217" s="19">
        <f t="shared" si="38"/>
        <v>50</v>
      </c>
      <c r="P217" s="19">
        <f t="shared" si="39"/>
        <v>2.77</v>
      </c>
      <c r="T217">
        <v>50</v>
      </c>
      <c r="U217">
        <v>51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44</v>
      </c>
      <c r="G218">
        <v>48</v>
      </c>
      <c r="H218">
        <v>51</v>
      </c>
      <c r="I218">
        <v>53</v>
      </c>
      <c r="J218">
        <v>41</v>
      </c>
      <c r="K218">
        <v>43</v>
      </c>
      <c r="L218">
        <v>39</v>
      </c>
      <c r="M218">
        <v>40</v>
      </c>
      <c r="N218">
        <v>40</v>
      </c>
      <c r="O218" s="19">
        <f t="shared" si="38"/>
        <v>45</v>
      </c>
      <c r="P218" s="19">
        <f t="shared" si="39"/>
        <v>4.88</v>
      </c>
      <c r="T218">
        <v>42</v>
      </c>
      <c r="U218">
        <v>43</v>
      </c>
    </row>
    <row r="219" spans="2:21" x14ac:dyDescent="0.25">
      <c r="B219" s="21">
        <v>46044</v>
      </c>
      <c r="C219">
        <v>53</v>
      </c>
      <c r="D219">
        <v>50</v>
      </c>
      <c r="E219">
        <v>56</v>
      </c>
      <c r="F219">
        <v>56</v>
      </c>
      <c r="G219">
        <v>63</v>
      </c>
      <c r="H219">
        <v>69</v>
      </c>
      <c r="I219">
        <v>67</v>
      </c>
      <c r="J219">
        <v>57</v>
      </c>
      <c r="K219">
        <v>52</v>
      </c>
      <c r="L219">
        <v>51</v>
      </c>
      <c r="M219">
        <v>53</v>
      </c>
      <c r="N219">
        <v>51</v>
      </c>
      <c r="O219" s="19">
        <f t="shared" si="38"/>
        <v>56</v>
      </c>
      <c r="P219" s="19">
        <f t="shared" si="39"/>
        <v>5.81</v>
      </c>
      <c r="T219">
        <v>53</v>
      </c>
      <c r="U219">
        <v>54</v>
      </c>
    </row>
    <row r="220" spans="2:21" x14ac:dyDescent="0.25">
      <c r="B220" s="21">
        <v>46045</v>
      </c>
      <c r="C220">
        <v>141</v>
      </c>
      <c r="D220">
        <v>140</v>
      </c>
      <c r="E220">
        <v>121</v>
      </c>
      <c r="F220">
        <v>113</v>
      </c>
      <c r="G220">
        <v>89</v>
      </c>
      <c r="H220">
        <v>93</v>
      </c>
      <c r="I220">
        <v>117</v>
      </c>
      <c r="J220">
        <v>118</v>
      </c>
      <c r="K220">
        <v>128</v>
      </c>
      <c r="L220">
        <v>148</v>
      </c>
      <c r="M220">
        <v>139</v>
      </c>
      <c r="N220">
        <v>144</v>
      </c>
      <c r="O220" s="19">
        <f t="shared" si="38"/>
        <v>123</v>
      </c>
      <c r="P220" s="19">
        <f t="shared" si="39"/>
        <v>17.48</v>
      </c>
      <c r="T220">
        <v>113</v>
      </c>
      <c r="U220">
        <v>123</v>
      </c>
    </row>
    <row r="221" spans="2:21" x14ac:dyDescent="0.25">
      <c r="B221" s="21">
        <v>46046</v>
      </c>
      <c r="C221">
        <v>159</v>
      </c>
      <c r="D221">
        <v>151</v>
      </c>
      <c r="E221">
        <v>136</v>
      </c>
      <c r="F221">
        <v>135</v>
      </c>
      <c r="G221">
        <v>115</v>
      </c>
      <c r="H221">
        <v>123</v>
      </c>
      <c r="I221">
        <v>140</v>
      </c>
      <c r="J221">
        <v>140</v>
      </c>
      <c r="K221">
        <v>154</v>
      </c>
      <c r="L221">
        <v>157</v>
      </c>
      <c r="M221">
        <v>159</v>
      </c>
      <c r="N221">
        <v>157</v>
      </c>
      <c r="O221" s="19">
        <f t="shared" si="38"/>
        <v>143</v>
      </c>
      <c r="P221" s="19">
        <f t="shared" si="39"/>
        <v>13.5</v>
      </c>
      <c r="T221">
        <v>131</v>
      </c>
      <c r="U221">
        <v>141</v>
      </c>
    </row>
    <row r="222" spans="2:21" x14ac:dyDescent="0.25">
      <c r="B222" s="21">
        <v>46047</v>
      </c>
      <c r="C222">
        <v>36</v>
      </c>
      <c r="D222">
        <v>40</v>
      </c>
      <c r="E222">
        <v>47</v>
      </c>
      <c r="F222">
        <v>50</v>
      </c>
      <c r="G222">
        <v>63</v>
      </c>
      <c r="H222">
        <v>64</v>
      </c>
      <c r="I222">
        <v>47</v>
      </c>
      <c r="J222">
        <v>46</v>
      </c>
      <c r="K222">
        <v>26</v>
      </c>
      <c r="L222">
        <v>32</v>
      </c>
      <c r="M222">
        <v>10</v>
      </c>
      <c r="N222">
        <v>34</v>
      </c>
      <c r="O222" s="19">
        <f t="shared" si="38"/>
        <v>41</v>
      </c>
      <c r="P222" s="19">
        <f t="shared" si="39"/>
        <v>13.46</v>
      </c>
      <c r="T222">
        <v>40</v>
      </c>
      <c r="U222">
        <v>43</v>
      </c>
    </row>
    <row r="223" spans="2:21" x14ac:dyDescent="0.25">
      <c r="B223" s="21">
        <v>46048</v>
      </c>
      <c r="C223">
        <v>53</v>
      </c>
      <c r="D223">
        <v>49</v>
      </c>
      <c r="E223">
        <v>48</v>
      </c>
      <c r="F223">
        <v>54</v>
      </c>
      <c r="G223">
        <v>67</v>
      </c>
      <c r="H223">
        <v>63</v>
      </c>
      <c r="I223">
        <v>52</v>
      </c>
      <c r="J223">
        <v>48</v>
      </c>
      <c r="K223">
        <v>33</v>
      </c>
      <c r="L223">
        <v>47</v>
      </c>
      <c r="M223">
        <v>30</v>
      </c>
      <c r="N223">
        <v>40</v>
      </c>
      <c r="O223" s="19">
        <f t="shared" si="38"/>
        <v>49</v>
      </c>
      <c r="P223" s="19">
        <f t="shared" si="39"/>
        <v>9.56</v>
      </c>
      <c r="T223">
        <v>48</v>
      </c>
      <c r="U223">
        <v>51</v>
      </c>
    </row>
    <row r="224" spans="2:21" x14ac:dyDescent="0.25">
      <c r="B224" s="21">
        <v>46049</v>
      </c>
      <c r="C224">
        <v>50</v>
      </c>
      <c r="D224">
        <v>52</v>
      </c>
      <c r="E224">
        <v>51</v>
      </c>
      <c r="F224">
        <v>58</v>
      </c>
      <c r="G224">
        <v>56</v>
      </c>
      <c r="H224">
        <v>67</v>
      </c>
      <c r="I224">
        <v>55</v>
      </c>
      <c r="J224">
        <v>56</v>
      </c>
      <c r="K224">
        <v>49</v>
      </c>
      <c r="L224">
        <v>47</v>
      </c>
      <c r="M224">
        <v>50</v>
      </c>
      <c r="N224">
        <v>48</v>
      </c>
      <c r="O224" s="19">
        <f t="shared" si="38"/>
        <v>53</v>
      </c>
      <c r="P224" s="19">
        <f t="shared" si="39"/>
        <v>5.13</v>
      </c>
      <c r="T224">
        <v>48</v>
      </c>
      <c r="U224">
        <v>52</v>
      </c>
    </row>
    <row r="225" spans="2:21" x14ac:dyDescent="0.25">
      <c r="B225" s="21">
        <v>46050</v>
      </c>
      <c r="C225">
        <v>46</v>
      </c>
      <c r="D225">
        <v>42</v>
      </c>
      <c r="E225">
        <v>56</v>
      </c>
      <c r="F225">
        <v>46</v>
      </c>
      <c r="G225">
        <v>49</v>
      </c>
      <c r="H225">
        <v>53</v>
      </c>
      <c r="I225">
        <v>55</v>
      </c>
      <c r="J225">
        <v>44</v>
      </c>
      <c r="K225">
        <v>48</v>
      </c>
      <c r="L225">
        <v>42</v>
      </c>
      <c r="M225">
        <v>50</v>
      </c>
      <c r="N225">
        <v>42</v>
      </c>
      <c r="O225" s="19">
        <f t="shared" si="38"/>
        <v>47</v>
      </c>
      <c r="P225" s="19">
        <f t="shared" si="39"/>
        <v>4.63</v>
      </c>
      <c r="T225">
        <v>45</v>
      </c>
      <c r="U225">
        <v>43</v>
      </c>
    </row>
    <row r="226" spans="2:21" x14ac:dyDescent="0.25">
      <c r="B226" s="21">
        <v>46051</v>
      </c>
      <c r="C226">
        <v>58</v>
      </c>
      <c r="D226">
        <v>61</v>
      </c>
      <c r="E226">
        <v>56</v>
      </c>
      <c r="F226">
        <v>60</v>
      </c>
      <c r="G226">
        <v>76</v>
      </c>
      <c r="H226">
        <v>57</v>
      </c>
      <c r="I226">
        <v>62</v>
      </c>
      <c r="J226">
        <v>58</v>
      </c>
      <c r="K226">
        <v>54</v>
      </c>
      <c r="L226">
        <v>62</v>
      </c>
      <c r="M226">
        <v>60</v>
      </c>
      <c r="N226">
        <v>60</v>
      </c>
      <c r="O226" s="19">
        <f t="shared" si="38"/>
        <v>59</v>
      </c>
      <c r="P226" s="19">
        <f t="shared" si="39"/>
        <v>5.6</v>
      </c>
      <c r="T226">
        <v>52</v>
      </c>
      <c r="U226">
        <v>53</v>
      </c>
    </row>
    <row r="227" spans="2:21" x14ac:dyDescent="0.25">
      <c r="B227" s="21">
        <v>46052</v>
      </c>
      <c r="C227">
        <v>163</v>
      </c>
      <c r="D227">
        <v>152</v>
      </c>
      <c r="E227">
        <v>135</v>
      </c>
      <c r="F227">
        <v>119</v>
      </c>
      <c r="G227">
        <v>96</v>
      </c>
      <c r="H227">
        <v>91</v>
      </c>
      <c r="I227">
        <v>121</v>
      </c>
      <c r="J227">
        <v>122</v>
      </c>
      <c r="K227">
        <v>170</v>
      </c>
      <c r="L227">
        <v>154</v>
      </c>
      <c r="M227">
        <v>232</v>
      </c>
      <c r="N227">
        <v>152</v>
      </c>
      <c r="O227" s="19">
        <f t="shared" si="38"/>
        <v>140</v>
      </c>
      <c r="P227" s="19">
        <f t="shared" si="39"/>
        <v>34.299999999999997</v>
      </c>
      <c r="T227">
        <v>117</v>
      </c>
      <c r="U227">
        <v>131</v>
      </c>
    </row>
    <row r="228" spans="2:21" x14ac:dyDescent="0.25">
      <c r="B228" s="21">
        <v>46053</v>
      </c>
      <c r="C228">
        <v>153</v>
      </c>
      <c r="D228">
        <v>156</v>
      </c>
      <c r="E228">
        <v>125</v>
      </c>
      <c r="F228">
        <v>138</v>
      </c>
      <c r="G228">
        <v>126</v>
      </c>
      <c r="H228">
        <v>126</v>
      </c>
      <c r="I228">
        <v>141</v>
      </c>
      <c r="J228">
        <v>139</v>
      </c>
      <c r="K228">
        <v>163</v>
      </c>
      <c r="L228">
        <v>153</v>
      </c>
      <c r="M228">
        <v>179</v>
      </c>
      <c r="N228">
        <v>155</v>
      </c>
      <c r="O228" s="19">
        <f t="shared" si="38"/>
        <v>146</v>
      </c>
      <c r="P228" s="19">
        <f t="shared" si="39"/>
        <v>14.81</v>
      </c>
      <c r="T228">
        <v>146</v>
      </c>
      <c r="U228">
        <v>140</v>
      </c>
    </row>
    <row r="229" spans="2:21" x14ac:dyDescent="0.25">
      <c r="B229" s="21">
        <v>46054</v>
      </c>
      <c r="C229">
        <v>51</v>
      </c>
      <c r="D229">
        <v>49</v>
      </c>
      <c r="E229">
        <v>58</v>
      </c>
      <c r="F229">
        <v>52</v>
      </c>
      <c r="G229">
        <v>57</v>
      </c>
      <c r="H229">
        <v>54</v>
      </c>
      <c r="I229">
        <v>53</v>
      </c>
      <c r="J229">
        <v>55</v>
      </c>
      <c r="K229">
        <v>70</v>
      </c>
      <c r="L229">
        <v>46</v>
      </c>
      <c r="M229">
        <v>78</v>
      </c>
      <c r="N229">
        <v>54</v>
      </c>
      <c r="O229" s="19">
        <f t="shared" si="38"/>
        <v>56</v>
      </c>
      <c r="P229" s="19">
        <f t="shared" si="39"/>
        <v>8.1</v>
      </c>
      <c r="T229">
        <v>56</v>
      </c>
      <c r="U229">
        <v>51</v>
      </c>
    </row>
    <row r="230" spans="2:21" x14ac:dyDescent="0.25">
      <c r="B230" s="21">
        <v>46055</v>
      </c>
      <c r="C230">
        <v>45</v>
      </c>
      <c r="D230">
        <v>42</v>
      </c>
      <c r="E230">
        <v>54</v>
      </c>
      <c r="F230">
        <v>43</v>
      </c>
      <c r="G230">
        <v>49</v>
      </c>
      <c r="H230">
        <v>48</v>
      </c>
      <c r="I230">
        <v>50</v>
      </c>
      <c r="J230">
        <v>45</v>
      </c>
      <c r="K230">
        <v>50</v>
      </c>
      <c r="L230">
        <v>46</v>
      </c>
      <c r="M230">
        <v>48</v>
      </c>
      <c r="N230">
        <v>47</v>
      </c>
      <c r="O230" s="19">
        <f t="shared" si="38"/>
        <v>47</v>
      </c>
      <c r="P230" s="19">
        <f t="shared" si="39"/>
        <v>3.17</v>
      </c>
      <c r="T230">
        <v>50</v>
      </c>
      <c r="U230">
        <v>44</v>
      </c>
    </row>
    <row r="231" spans="2:21" x14ac:dyDescent="0.25">
      <c r="B231" s="21">
        <v>46056</v>
      </c>
      <c r="C231">
        <v>52</v>
      </c>
      <c r="D231">
        <v>53</v>
      </c>
      <c r="E231">
        <v>52</v>
      </c>
      <c r="F231">
        <v>57</v>
      </c>
      <c r="G231">
        <v>59</v>
      </c>
      <c r="H231">
        <v>67</v>
      </c>
      <c r="I231">
        <v>57</v>
      </c>
      <c r="J231">
        <v>58</v>
      </c>
      <c r="K231">
        <v>52</v>
      </c>
      <c r="L231">
        <v>49</v>
      </c>
      <c r="M231">
        <v>53</v>
      </c>
      <c r="N231">
        <v>51</v>
      </c>
      <c r="O231" s="19">
        <f t="shared" si="38"/>
        <v>54</v>
      </c>
      <c r="P231" s="19">
        <f t="shared" si="39"/>
        <v>4.62</v>
      </c>
      <c r="T231">
        <v>49</v>
      </c>
      <c r="U231">
        <v>53</v>
      </c>
    </row>
    <row r="232" spans="2:21" x14ac:dyDescent="0.25">
      <c r="B232" s="21">
        <v>46057</v>
      </c>
      <c r="C232">
        <v>46</v>
      </c>
      <c r="D232">
        <v>45</v>
      </c>
      <c r="E232">
        <v>56</v>
      </c>
      <c r="F232">
        <v>48</v>
      </c>
      <c r="G232">
        <v>50</v>
      </c>
      <c r="H232">
        <v>54</v>
      </c>
      <c r="I232">
        <v>55</v>
      </c>
      <c r="J232">
        <v>45</v>
      </c>
      <c r="K232">
        <v>50</v>
      </c>
      <c r="L232">
        <v>46</v>
      </c>
      <c r="M232">
        <v>56</v>
      </c>
      <c r="N232">
        <v>45</v>
      </c>
      <c r="O232" s="19">
        <f t="shared" si="38"/>
        <v>49</v>
      </c>
      <c r="P232" s="19">
        <f t="shared" si="39"/>
        <v>4.25</v>
      </c>
      <c r="T232">
        <v>50</v>
      </c>
      <c r="U232">
        <v>44</v>
      </c>
    </row>
    <row r="233" spans="2:21" x14ac:dyDescent="0.25">
      <c r="B233" s="21">
        <v>46058</v>
      </c>
      <c r="C233">
        <v>62</v>
      </c>
      <c r="D233">
        <v>62</v>
      </c>
      <c r="E233">
        <v>63</v>
      </c>
      <c r="F233">
        <v>67</v>
      </c>
      <c r="G233">
        <v>75</v>
      </c>
      <c r="H233">
        <v>78</v>
      </c>
      <c r="I233">
        <v>79</v>
      </c>
      <c r="J233">
        <v>67</v>
      </c>
      <c r="K233">
        <v>60</v>
      </c>
      <c r="L233">
        <v>55</v>
      </c>
      <c r="M233">
        <v>67</v>
      </c>
      <c r="N233">
        <v>62</v>
      </c>
      <c r="O233" s="19">
        <f t="shared" si="38"/>
        <v>66</v>
      </c>
      <c r="P233" s="19">
        <f t="shared" si="39"/>
        <v>6.84</v>
      </c>
      <c r="T233">
        <v>60</v>
      </c>
      <c r="U233">
        <v>63</v>
      </c>
    </row>
    <row r="234" spans="2:21" x14ac:dyDescent="0.25">
      <c r="B234" s="21">
        <v>46059</v>
      </c>
      <c r="C234">
        <v>163</v>
      </c>
      <c r="D234">
        <v>159</v>
      </c>
      <c r="E234">
        <v>151</v>
      </c>
      <c r="F234">
        <v>129</v>
      </c>
      <c r="G234">
        <v>126</v>
      </c>
      <c r="H234">
        <v>103</v>
      </c>
      <c r="I234">
        <v>174</v>
      </c>
      <c r="J234">
        <v>132</v>
      </c>
      <c r="K234">
        <v>118</v>
      </c>
      <c r="L234">
        <v>155</v>
      </c>
      <c r="M234">
        <v>136</v>
      </c>
      <c r="N234">
        <v>162</v>
      </c>
      <c r="O234" s="19">
        <f t="shared" si="38"/>
        <v>142</v>
      </c>
      <c r="P234" s="19">
        <f t="shared" si="39"/>
        <v>19.09</v>
      </c>
      <c r="T234">
        <v>138</v>
      </c>
      <c r="U234">
        <v>147</v>
      </c>
    </row>
    <row r="235" spans="2:21" x14ac:dyDescent="0.25">
      <c r="B235" s="21">
        <v>46060</v>
      </c>
      <c r="C235">
        <v>180</v>
      </c>
      <c r="D235">
        <v>190</v>
      </c>
      <c r="E235">
        <v>182</v>
      </c>
      <c r="F235">
        <v>147</v>
      </c>
      <c r="G235">
        <v>144</v>
      </c>
      <c r="H235">
        <v>117</v>
      </c>
      <c r="I235">
        <v>193</v>
      </c>
      <c r="J235">
        <v>148</v>
      </c>
      <c r="K235">
        <v>161</v>
      </c>
      <c r="L235">
        <v>190</v>
      </c>
      <c r="M235">
        <v>206</v>
      </c>
      <c r="N235">
        <v>187</v>
      </c>
      <c r="O235" s="19">
        <f t="shared" si="38"/>
        <v>170</v>
      </c>
      <c r="P235" s="19">
        <f t="shared" si="39"/>
        <v>23.6</v>
      </c>
      <c r="T235">
        <v>175</v>
      </c>
      <c r="U235">
        <v>164</v>
      </c>
    </row>
    <row r="236" spans="2:21" x14ac:dyDescent="0.25">
      <c r="B236" s="21">
        <v>46061</v>
      </c>
      <c r="C236">
        <v>13</v>
      </c>
      <c r="D236">
        <v>11</v>
      </c>
      <c r="E236">
        <v>40</v>
      </c>
      <c r="F236">
        <v>24</v>
      </c>
      <c r="G236">
        <v>52</v>
      </c>
      <c r="H236">
        <v>39</v>
      </c>
      <c r="I236">
        <v>37</v>
      </c>
      <c r="J236">
        <v>32</v>
      </c>
      <c r="K236">
        <v>17</v>
      </c>
      <c r="L236">
        <v>16</v>
      </c>
      <c r="M236">
        <v>21</v>
      </c>
      <c r="N236">
        <v>14</v>
      </c>
      <c r="O236" s="19">
        <f t="shared" si="38"/>
        <v>27</v>
      </c>
      <c r="P236" s="19">
        <f t="shared" si="39"/>
        <v>12.34</v>
      </c>
      <c r="T236">
        <v>38</v>
      </c>
      <c r="U236">
        <v>19</v>
      </c>
    </row>
    <row r="237" spans="2:21" x14ac:dyDescent="0.25">
      <c r="B237" s="21">
        <v>46062</v>
      </c>
      <c r="C237">
        <v>40</v>
      </c>
      <c r="D237">
        <v>26</v>
      </c>
      <c r="E237">
        <v>49</v>
      </c>
      <c r="F237">
        <v>35</v>
      </c>
      <c r="G237">
        <v>40</v>
      </c>
      <c r="H237">
        <v>44</v>
      </c>
      <c r="I237">
        <v>47</v>
      </c>
      <c r="J237">
        <v>42</v>
      </c>
      <c r="K237">
        <v>44</v>
      </c>
      <c r="L237">
        <v>32</v>
      </c>
      <c r="M237">
        <v>39</v>
      </c>
      <c r="N237">
        <v>35</v>
      </c>
      <c r="O237" s="19">
        <f t="shared" si="38"/>
        <v>40</v>
      </c>
      <c r="P237" s="19">
        <f t="shared" si="39"/>
        <v>6.61</v>
      </c>
      <c r="T237">
        <v>50</v>
      </c>
      <c r="U237">
        <v>34</v>
      </c>
    </row>
    <row r="238" spans="2:21" x14ac:dyDescent="0.25">
      <c r="B238" s="21">
        <v>46063</v>
      </c>
      <c r="C238">
        <v>48</v>
      </c>
      <c r="D238">
        <v>42</v>
      </c>
      <c r="E238">
        <v>49</v>
      </c>
      <c r="F238">
        <v>44</v>
      </c>
      <c r="G238">
        <v>44</v>
      </c>
      <c r="H238">
        <v>47</v>
      </c>
      <c r="I238">
        <v>44</v>
      </c>
      <c r="J238">
        <v>45</v>
      </c>
      <c r="K238">
        <v>50</v>
      </c>
      <c r="L238">
        <v>44</v>
      </c>
      <c r="M238">
        <v>47</v>
      </c>
      <c r="N238">
        <v>43</v>
      </c>
      <c r="O238" s="19">
        <f t="shared" si="38"/>
        <v>45</v>
      </c>
      <c r="P238" s="19">
        <f t="shared" si="39"/>
        <v>2.79</v>
      </c>
      <c r="T238">
        <v>40</v>
      </c>
      <c r="U238">
        <v>42</v>
      </c>
    </row>
    <row r="239" spans="2:21" x14ac:dyDescent="0.25">
      <c r="B239" s="21">
        <v>46064</v>
      </c>
      <c r="C239">
        <v>50</v>
      </c>
      <c r="D239">
        <v>52</v>
      </c>
      <c r="E239">
        <v>54</v>
      </c>
      <c r="F239">
        <v>60</v>
      </c>
      <c r="G239">
        <v>63</v>
      </c>
      <c r="H239">
        <v>70</v>
      </c>
      <c r="I239">
        <v>62</v>
      </c>
      <c r="J239">
        <v>58</v>
      </c>
      <c r="K239">
        <v>50</v>
      </c>
      <c r="L239">
        <v>43</v>
      </c>
      <c r="M239">
        <v>52</v>
      </c>
      <c r="N239">
        <v>50</v>
      </c>
      <c r="O239" s="19">
        <f t="shared" si="38"/>
        <v>55</v>
      </c>
      <c r="P239" s="19">
        <f t="shared" si="39"/>
        <v>6.86</v>
      </c>
      <c r="T239">
        <v>48</v>
      </c>
      <c r="U239">
        <v>54</v>
      </c>
    </row>
    <row r="240" spans="2:21" x14ac:dyDescent="0.25">
      <c r="B240" s="21">
        <v>46065</v>
      </c>
      <c r="C240">
        <v>67</v>
      </c>
      <c r="D240">
        <v>73</v>
      </c>
      <c r="E240">
        <v>81</v>
      </c>
      <c r="F240">
        <v>75</v>
      </c>
      <c r="G240">
        <v>88</v>
      </c>
      <c r="H240">
        <v>82</v>
      </c>
      <c r="I240">
        <v>86</v>
      </c>
      <c r="J240">
        <v>78</v>
      </c>
      <c r="K240">
        <v>74</v>
      </c>
      <c r="L240">
        <v>63</v>
      </c>
      <c r="M240">
        <v>76</v>
      </c>
      <c r="N240">
        <v>71</v>
      </c>
      <c r="O240" s="19">
        <f t="shared" si="38"/>
        <v>75</v>
      </c>
      <c r="P240" s="19">
        <f t="shared" si="39"/>
        <v>6.83</v>
      </c>
      <c r="T240">
        <v>71</v>
      </c>
      <c r="U240">
        <v>70</v>
      </c>
    </row>
    <row r="241" spans="2:21" x14ac:dyDescent="0.25">
      <c r="B241" s="21">
        <v>46066</v>
      </c>
      <c r="C241">
        <v>126</v>
      </c>
      <c r="D241">
        <v>132</v>
      </c>
      <c r="E241">
        <v>107</v>
      </c>
      <c r="F241">
        <v>111</v>
      </c>
      <c r="G241">
        <v>114</v>
      </c>
      <c r="H241">
        <v>101</v>
      </c>
      <c r="I241">
        <v>125</v>
      </c>
      <c r="J241">
        <v>117</v>
      </c>
      <c r="K241">
        <v>143</v>
      </c>
      <c r="L241">
        <v>124</v>
      </c>
      <c r="M241">
        <v>128</v>
      </c>
      <c r="N241">
        <v>128</v>
      </c>
      <c r="O241" s="19">
        <f t="shared" si="38"/>
        <v>121</v>
      </c>
      <c r="P241" s="19">
        <f t="shared" si="39"/>
        <v>10.68</v>
      </c>
      <c r="T241">
        <v>128</v>
      </c>
      <c r="U241">
        <v>115</v>
      </c>
    </row>
    <row r="242" spans="2:21" x14ac:dyDescent="0.25">
      <c r="B242" s="21">
        <v>46067</v>
      </c>
      <c r="C242">
        <v>219</v>
      </c>
      <c r="D242">
        <v>192</v>
      </c>
      <c r="E242">
        <v>152</v>
      </c>
      <c r="F242">
        <v>174</v>
      </c>
      <c r="G242">
        <v>139</v>
      </c>
      <c r="H242">
        <v>120</v>
      </c>
      <c r="I242">
        <v>178</v>
      </c>
      <c r="J242">
        <v>176</v>
      </c>
      <c r="K242">
        <v>261</v>
      </c>
      <c r="L242">
        <v>249</v>
      </c>
      <c r="M242">
        <v>162</v>
      </c>
      <c r="N242">
        <v>228</v>
      </c>
      <c r="O242" s="19">
        <f t="shared" si="38"/>
        <v>190</v>
      </c>
      <c r="P242" s="19">
        <f t="shared" si="39"/>
        <v>39.380000000000003</v>
      </c>
      <c r="T242">
        <v>214</v>
      </c>
      <c r="U242">
        <v>192</v>
      </c>
    </row>
    <row r="243" spans="2:21" x14ac:dyDescent="0.25">
      <c r="B243" s="21">
        <v>46068</v>
      </c>
      <c r="C243">
        <v>59</v>
      </c>
      <c r="D243">
        <v>48</v>
      </c>
      <c r="E243">
        <v>61</v>
      </c>
      <c r="F243">
        <v>54</v>
      </c>
      <c r="G243">
        <v>58</v>
      </c>
      <c r="H243">
        <v>54</v>
      </c>
      <c r="I243">
        <v>53</v>
      </c>
      <c r="J243">
        <v>58</v>
      </c>
      <c r="K243">
        <v>66</v>
      </c>
      <c r="L243">
        <v>49</v>
      </c>
      <c r="M243">
        <v>69</v>
      </c>
      <c r="N243">
        <v>60</v>
      </c>
      <c r="O243" s="19">
        <f t="shared" si="38"/>
        <v>57</v>
      </c>
      <c r="P243" s="19">
        <f t="shared" si="39"/>
        <v>5.64</v>
      </c>
      <c r="T243">
        <v>60</v>
      </c>
      <c r="U243">
        <v>55</v>
      </c>
    </row>
    <row r="244" spans="2:21" x14ac:dyDescent="0.25">
      <c r="B244" s="21">
        <v>46069</v>
      </c>
      <c r="C244">
        <v>37</v>
      </c>
      <c r="D244">
        <v>37</v>
      </c>
      <c r="E244">
        <v>50</v>
      </c>
      <c r="F244">
        <v>39</v>
      </c>
      <c r="G244">
        <v>49</v>
      </c>
      <c r="H244">
        <v>45</v>
      </c>
      <c r="I244">
        <v>54</v>
      </c>
      <c r="J244">
        <v>45</v>
      </c>
      <c r="K244">
        <v>71</v>
      </c>
      <c r="L244">
        <v>48</v>
      </c>
      <c r="M244">
        <v>54</v>
      </c>
      <c r="N244">
        <v>41</v>
      </c>
      <c r="O244" s="19">
        <f t="shared" si="38"/>
        <v>46</v>
      </c>
      <c r="P244" s="19">
        <f t="shared" si="39"/>
        <v>8.8800000000000008</v>
      </c>
      <c r="T244">
        <v>40</v>
      </c>
      <c r="U244">
        <v>39</v>
      </c>
    </row>
    <row r="245" spans="2:21" x14ac:dyDescent="0.25">
      <c r="B245" s="21">
        <v>46070</v>
      </c>
      <c r="C245">
        <v>56</v>
      </c>
      <c r="D245">
        <v>54</v>
      </c>
      <c r="E245">
        <v>51</v>
      </c>
      <c r="F245">
        <v>58</v>
      </c>
      <c r="G245">
        <v>61</v>
      </c>
      <c r="H245">
        <v>64</v>
      </c>
      <c r="I245">
        <v>58</v>
      </c>
      <c r="J245">
        <v>59</v>
      </c>
      <c r="K245">
        <v>56</v>
      </c>
      <c r="L245">
        <v>50</v>
      </c>
      <c r="M245">
        <v>56</v>
      </c>
      <c r="N245">
        <v>52</v>
      </c>
      <c r="O245" s="19">
        <f t="shared" si="38"/>
        <v>56</v>
      </c>
      <c r="P245" s="19">
        <f t="shared" si="39"/>
        <v>3.92</v>
      </c>
      <c r="T245">
        <v>51</v>
      </c>
      <c r="U245">
        <v>54</v>
      </c>
    </row>
    <row r="246" spans="2:21" x14ac:dyDescent="0.25">
      <c r="B246" s="21">
        <v>46071</v>
      </c>
      <c r="C246">
        <v>88</v>
      </c>
      <c r="D246">
        <v>72</v>
      </c>
      <c r="E246">
        <v>62</v>
      </c>
      <c r="F246">
        <v>80</v>
      </c>
      <c r="G246">
        <v>70</v>
      </c>
      <c r="H246">
        <v>67</v>
      </c>
      <c r="I246">
        <v>71</v>
      </c>
      <c r="J246">
        <v>68</v>
      </c>
      <c r="K246">
        <v>60</v>
      </c>
      <c r="L246">
        <v>74</v>
      </c>
      <c r="M246">
        <v>53</v>
      </c>
      <c r="N246">
        <v>74</v>
      </c>
      <c r="O246" s="19">
        <f t="shared" si="38"/>
        <v>71</v>
      </c>
      <c r="P246" s="19">
        <f t="shared" si="39"/>
        <v>8.3000000000000007</v>
      </c>
      <c r="T246">
        <v>76</v>
      </c>
      <c r="U246">
        <v>72</v>
      </c>
    </row>
    <row r="247" spans="2:21" x14ac:dyDescent="0.25">
      <c r="B247" s="21">
        <v>46072</v>
      </c>
      <c r="C247">
        <v>45</v>
      </c>
      <c r="D247">
        <v>45</v>
      </c>
      <c r="E247">
        <v>59</v>
      </c>
      <c r="F247">
        <v>57</v>
      </c>
      <c r="G247">
        <v>74</v>
      </c>
      <c r="H247">
        <v>72</v>
      </c>
      <c r="I247">
        <v>68</v>
      </c>
      <c r="J247">
        <v>58</v>
      </c>
      <c r="K247">
        <v>55</v>
      </c>
      <c r="L247">
        <v>45</v>
      </c>
      <c r="M247">
        <v>48</v>
      </c>
      <c r="N247">
        <v>51</v>
      </c>
      <c r="O247" s="19">
        <f t="shared" si="38"/>
        <v>56</v>
      </c>
      <c r="P247" s="19">
        <f t="shared" si="39"/>
        <v>9.23</v>
      </c>
      <c r="T247">
        <v>55</v>
      </c>
      <c r="U247">
        <v>55</v>
      </c>
    </row>
    <row r="248" spans="2:21" x14ac:dyDescent="0.25">
      <c r="B248" s="21">
        <v>46073</v>
      </c>
      <c r="C248">
        <v>76</v>
      </c>
      <c r="D248">
        <v>68</v>
      </c>
      <c r="E248">
        <v>105</v>
      </c>
      <c r="F248">
        <v>72</v>
      </c>
      <c r="G248">
        <v>99</v>
      </c>
      <c r="H248">
        <v>64</v>
      </c>
      <c r="I248">
        <v>84</v>
      </c>
      <c r="J248">
        <v>75</v>
      </c>
      <c r="K248">
        <v>68</v>
      </c>
      <c r="L248">
        <v>83</v>
      </c>
      <c r="M248">
        <v>93</v>
      </c>
      <c r="N248">
        <v>72</v>
      </c>
      <c r="O248" s="19">
        <f t="shared" si="38"/>
        <v>81</v>
      </c>
      <c r="P248" s="19">
        <f t="shared" si="39"/>
        <v>13.28</v>
      </c>
      <c r="T248">
        <v>102</v>
      </c>
      <c r="U248">
        <v>70</v>
      </c>
    </row>
    <row r="249" spans="2:21" x14ac:dyDescent="0.25">
      <c r="B249" s="21">
        <v>46074</v>
      </c>
      <c r="C249">
        <v>162</v>
      </c>
      <c r="D249">
        <v>154</v>
      </c>
      <c r="E249">
        <v>139</v>
      </c>
      <c r="F249">
        <v>138</v>
      </c>
      <c r="G249">
        <v>115</v>
      </c>
      <c r="H249">
        <v>128</v>
      </c>
      <c r="I249">
        <v>139</v>
      </c>
      <c r="J249">
        <v>142</v>
      </c>
      <c r="K249">
        <v>137</v>
      </c>
      <c r="L249">
        <v>161</v>
      </c>
      <c r="M249">
        <v>166</v>
      </c>
      <c r="N249">
        <v>161</v>
      </c>
      <c r="O249" s="19">
        <f t="shared" si="38"/>
        <v>144</v>
      </c>
      <c r="P249" s="19">
        <f t="shared" si="39"/>
        <v>14.93</v>
      </c>
      <c r="T249">
        <v>124</v>
      </c>
      <c r="U249">
        <v>144</v>
      </c>
    </row>
    <row r="250" spans="2:21" x14ac:dyDescent="0.25">
      <c r="B250" s="21">
        <v>46075</v>
      </c>
      <c r="C250">
        <v>46</v>
      </c>
      <c r="D250">
        <v>41</v>
      </c>
      <c r="E250">
        <v>48</v>
      </c>
      <c r="F250">
        <v>48</v>
      </c>
      <c r="G250">
        <v>55</v>
      </c>
      <c r="H250">
        <v>55</v>
      </c>
      <c r="I250">
        <v>48</v>
      </c>
      <c r="J250">
        <v>42</v>
      </c>
      <c r="K250">
        <v>45</v>
      </c>
      <c r="L250">
        <v>40</v>
      </c>
      <c r="M250">
        <v>65</v>
      </c>
      <c r="N250">
        <v>37</v>
      </c>
      <c r="O250" s="19">
        <f t="shared" si="38"/>
        <v>47</v>
      </c>
      <c r="P250" s="19">
        <f t="shared" si="39"/>
        <v>7</v>
      </c>
      <c r="T250">
        <v>47</v>
      </c>
      <c r="U250">
        <v>43</v>
      </c>
    </row>
    <row r="251" spans="2:21" x14ac:dyDescent="0.25">
      <c r="B251" s="21">
        <v>46076</v>
      </c>
      <c r="C251">
        <v>54</v>
      </c>
      <c r="D251">
        <v>50</v>
      </c>
      <c r="E251">
        <v>49</v>
      </c>
      <c r="F251">
        <v>50</v>
      </c>
      <c r="G251">
        <v>52</v>
      </c>
      <c r="H251">
        <v>49</v>
      </c>
      <c r="I251">
        <v>51</v>
      </c>
      <c r="J251">
        <v>51</v>
      </c>
      <c r="K251">
        <v>64</v>
      </c>
      <c r="L251">
        <v>52</v>
      </c>
      <c r="M251">
        <v>66</v>
      </c>
      <c r="N251">
        <v>55</v>
      </c>
      <c r="O251" s="19">
        <f t="shared" si="38"/>
        <v>53</v>
      </c>
      <c r="P251" s="19">
        <f t="shared" si="39"/>
        <v>5.24</v>
      </c>
      <c r="T251">
        <v>48</v>
      </c>
      <c r="U251">
        <v>51</v>
      </c>
    </row>
    <row r="252" spans="2:21" x14ac:dyDescent="0.25">
      <c r="B252" s="21">
        <v>46077</v>
      </c>
      <c r="C252">
        <v>67</v>
      </c>
      <c r="D252">
        <v>60</v>
      </c>
      <c r="E252">
        <v>51</v>
      </c>
      <c r="F252">
        <v>60</v>
      </c>
      <c r="G252">
        <v>61</v>
      </c>
      <c r="H252">
        <v>59</v>
      </c>
      <c r="I252">
        <v>58</v>
      </c>
      <c r="J252">
        <v>55</v>
      </c>
      <c r="K252">
        <v>48</v>
      </c>
      <c r="L252">
        <v>57</v>
      </c>
      <c r="M252">
        <v>53</v>
      </c>
      <c r="N252">
        <v>59</v>
      </c>
      <c r="O252" s="19">
        <f t="shared" si="38"/>
        <v>58</v>
      </c>
      <c r="P252" s="19">
        <f t="shared" si="39"/>
        <v>4.5599999999999996</v>
      </c>
      <c r="T252">
        <v>60</v>
      </c>
      <c r="U252">
        <v>60</v>
      </c>
    </row>
    <row r="253" spans="2:21" x14ac:dyDescent="0.25">
      <c r="B253" s="21">
        <v>46078</v>
      </c>
      <c r="C253">
        <v>37</v>
      </c>
      <c r="D253">
        <v>37</v>
      </c>
      <c r="E253">
        <v>53</v>
      </c>
      <c r="F253">
        <v>35</v>
      </c>
      <c r="G253">
        <v>44</v>
      </c>
      <c r="H253">
        <v>44</v>
      </c>
      <c r="I253">
        <v>49</v>
      </c>
      <c r="J253">
        <v>37</v>
      </c>
      <c r="K253">
        <v>42</v>
      </c>
      <c r="L253">
        <v>39</v>
      </c>
      <c r="M253">
        <v>33</v>
      </c>
      <c r="N253">
        <v>31</v>
      </c>
      <c r="O253" s="19">
        <f t="shared" si="38"/>
        <v>40</v>
      </c>
      <c r="P253" s="19">
        <f t="shared" si="39"/>
        <v>6.1</v>
      </c>
      <c r="T253">
        <v>42</v>
      </c>
      <c r="U253">
        <v>33</v>
      </c>
    </row>
    <row r="254" spans="2:21" x14ac:dyDescent="0.25">
      <c r="B254" s="21">
        <v>46079</v>
      </c>
      <c r="C254">
        <v>55</v>
      </c>
      <c r="D254">
        <v>54</v>
      </c>
      <c r="E254">
        <v>60</v>
      </c>
      <c r="F254">
        <v>62</v>
      </c>
      <c r="G254">
        <v>68</v>
      </c>
      <c r="H254">
        <v>74</v>
      </c>
      <c r="I254">
        <v>85</v>
      </c>
      <c r="J254">
        <v>59</v>
      </c>
      <c r="K254">
        <v>57</v>
      </c>
      <c r="L254">
        <v>51</v>
      </c>
      <c r="M254">
        <v>77</v>
      </c>
      <c r="N254">
        <v>55</v>
      </c>
      <c r="O254" s="19">
        <f t="shared" si="38"/>
        <v>62</v>
      </c>
      <c r="P254" s="19">
        <f t="shared" si="39"/>
        <v>9.76</v>
      </c>
      <c r="T254">
        <v>54</v>
      </c>
      <c r="U254">
        <v>58</v>
      </c>
    </row>
    <row r="255" spans="2:21" x14ac:dyDescent="0.25">
      <c r="B255" s="21">
        <v>46080</v>
      </c>
      <c r="C255">
        <v>88</v>
      </c>
      <c r="D255">
        <v>78</v>
      </c>
      <c r="E255">
        <v>82</v>
      </c>
      <c r="F255">
        <v>78</v>
      </c>
      <c r="G255">
        <v>85</v>
      </c>
      <c r="H255">
        <v>73</v>
      </c>
      <c r="I255">
        <v>79</v>
      </c>
      <c r="J255">
        <v>80</v>
      </c>
      <c r="K255">
        <v>70</v>
      </c>
      <c r="L255">
        <v>85</v>
      </c>
      <c r="M255">
        <v>102</v>
      </c>
      <c r="N255">
        <v>80</v>
      </c>
      <c r="O255" s="19">
        <f t="shared" si="38"/>
        <v>81</v>
      </c>
      <c r="P255" s="19">
        <f t="shared" si="39"/>
        <v>7.32</v>
      </c>
      <c r="T255">
        <v>78</v>
      </c>
      <c r="U255">
        <v>78</v>
      </c>
    </row>
    <row r="256" spans="2:21" x14ac:dyDescent="0.25">
      <c r="B256" s="21">
        <v>46081</v>
      </c>
      <c r="C256">
        <v>146</v>
      </c>
      <c r="D256">
        <v>154</v>
      </c>
      <c r="E256">
        <v>120</v>
      </c>
      <c r="F256">
        <v>136</v>
      </c>
      <c r="G256">
        <v>133</v>
      </c>
      <c r="H256">
        <v>130</v>
      </c>
      <c r="I256">
        <v>143</v>
      </c>
      <c r="J256">
        <v>137</v>
      </c>
      <c r="K256">
        <v>162</v>
      </c>
      <c r="L256">
        <v>149</v>
      </c>
      <c r="M256">
        <v>155</v>
      </c>
      <c r="N256">
        <v>146</v>
      </c>
      <c r="O256" s="19">
        <f t="shared" si="38"/>
        <v>142</v>
      </c>
      <c r="P256" s="19">
        <f t="shared" si="39"/>
        <v>10.6</v>
      </c>
      <c r="T256">
        <v>141</v>
      </c>
      <c r="U256">
        <v>139</v>
      </c>
    </row>
    <row r="257" spans="2:21" x14ac:dyDescent="0.25">
      <c r="B257" s="21">
        <v>46082</v>
      </c>
      <c r="C257">
        <v>47</v>
      </c>
      <c r="D257">
        <v>44</v>
      </c>
      <c r="E257">
        <v>57</v>
      </c>
      <c r="F257">
        <v>44</v>
      </c>
      <c r="G257">
        <v>47</v>
      </c>
      <c r="H257">
        <v>45</v>
      </c>
      <c r="I257">
        <v>48</v>
      </c>
      <c r="J257">
        <v>43</v>
      </c>
      <c r="K257">
        <v>48</v>
      </c>
      <c r="L257">
        <v>42</v>
      </c>
      <c r="M257">
        <v>48</v>
      </c>
      <c r="N257">
        <v>45</v>
      </c>
      <c r="O257" s="19">
        <f t="shared" si="38"/>
        <v>46</v>
      </c>
      <c r="P257" s="19">
        <f t="shared" si="39"/>
        <v>3.58</v>
      </c>
      <c r="T257">
        <v>45</v>
      </c>
      <c r="U257">
        <v>43</v>
      </c>
    </row>
    <row r="258" spans="2:21" x14ac:dyDescent="0.25">
      <c r="B258" s="21">
        <v>46083</v>
      </c>
      <c r="C258">
        <v>51</v>
      </c>
      <c r="D258">
        <v>48</v>
      </c>
      <c r="E258">
        <v>49</v>
      </c>
      <c r="F258">
        <v>53</v>
      </c>
      <c r="G258">
        <v>48</v>
      </c>
      <c r="H258">
        <v>52</v>
      </c>
      <c r="I258">
        <v>55</v>
      </c>
      <c r="J258">
        <v>52</v>
      </c>
      <c r="K258">
        <v>56</v>
      </c>
      <c r="L258">
        <v>59</v>
      </c>
      <c r="M258">
        <v>52</v>
      </c>
      <c r="N258">
        <v>58</v>
      </c>
      <c r="O258" s="19">
        <f t="shared" si="38"/>
        <v>52</v>
      </c>
      <c r="P258" s="19">
        <f t="shared" si="39"/>
        <v>3.46</v>
      </c>
      <c r="T258">
        <v>48</v>
      </c>
      <c r="U258">
        <v>53</v>
      </c>
    </row>
    <row r="259" spans="2:21" x14ac:dyDescent="0.25">
      <c r="B259" s="21">
        <v>46084</v>
      </c>
      <c r="C259">
        <v>59</v>
      </c>
      <c r="D259">
        <v>58</v>
      </c>
      <c r="E259">
        <v>52</v>
      </c>
      <c r="F259">
        <v>53</v>
      </c>
      <c r="G259">
        <v>46</v>
      </c>
      <c r="H259">
        <v>50</v>
      </c>
      <c r="I259">
        <v>59</v>
      </c>
      <c r="J259">
        <v>52</v>
      </c>
      <c r="K259">
        <v>60</v>
      </c>
      <c r="L259">
        <v>60</v>
      </c>
      <c r="M259">
        <v>60</v>
      </c>
      <c r="N259">
        <v>61</v>
      </c>
      <c r="O259" s="19">
        <f t="shared" si="38"/>
        <v>56</v>
      </c>
      <c r="P259" s="19">
        <f t="shared" si="39"/>
        <v>4.49</v>
      </c>
      <c r="T259">
        <v>59</v>
      </c>
      <c r="U259">
        <v>55</v>
      </c>
    </row>
    <row r="260" spans="2:21" x14ac:dyDescent="0.25">
      <c r="B260" s="21">
        <v>46085</v>
      </c>
      <c r="C260">
        <v>48</v>
      </c>
      <c r="D260">
        <v>42</v>
      </c>
      <c r="E260">
        <v>62</v>
      </c>
      <c r="F260">
        <v>48</v>
      </c>
      <c r="G260">
        <v>65</v>
      </c>
      <c r="H260">
        <v>58</v>
      </c>
      <c r="I260">
        <v>50</v>
      </c>
      <c r="J260">
        <v>48</v>
      </c>
      <c r="K260">
        <v>37</v>
      </c>
      <c r="L260">
        <v>50</v>
      </c>
      <c r="M260">
        <v>41</v>
      </c>
      <c r="N260">
        <v>45</v>
      </c>
      <c r="O260" s="19">
        <f t="shared" si="38"/>
        <v>50</v>
      </c>
      <c r="P260" s="19">
        <f t="shared" si="39"/>
        <v>8.4</v>
      </c>
      <c r="T260">
        <v>64</v>
      </c>
      <c r="U260">
        <v>47</v>
      </c>
    </row>
    <row r="261" spans="2:21" x14ac:dyDescent="0.25">
      <c r="B261" s="21">
        <v>46086</v>
      </c>
      <c r="C261">
        <v>42</v>
      </c>
      <c r="D261">
        <v>41</v>
      </c>
      <c r="E261">
        <v>53</v>
      </c>
      <c r="F261">
        <v>51</v>
      </c>
      <c r="G261">
        <v>60</v>
      </c>
      <c r="H261">
        <v>64</v>
      </c>
      <c r="I261">
        <v>60</v>
      </c>
      <c r="J261">
        <v>50</v>
      </c>
      <c r="K261">
        <v>46</v>
      </c>
      <c r="L261">
        <v>40</v>
      </c>
      <c r="M261">
        <v>48</v>
      </c>
      <c r="N261">
        <v>41</v>
      </c>
      <c r="O261" s="19">
        <f t="shared" si="38"/>
        <v>50</v>
      </c>
      <c r="P261" s="19">
        <f t="shared" si="39"/>
        <v>7.37</v>
      </c>
      <c r="T261">
        <v>51</v>
      </c>
      <c r="U261">
        <v>47</v>
      </c>
    </row>
    <row r="262" spans="2:21" x14ac:dyDescent="0.25">
      <c r="B262" s="21">
        <v>46087</v>
      </c>
      <c r="C262">
        <v>63</v>
      </c>
      <c r="D262">
        <v>65</v>
      </c>
      <c r="E262">
        <v>73</v>
      </c>
      <c r="F262">
        <v>64</v>
      </c>
      <c r="G262">
        <v>100</v>
      </c>
      <c r="H262">
        <v>72</v>
      </c>
      <c r="I262">
        <v>74</v>
      </c>
      <c r="J262">
        <v>66</v>
      </c>
      <c r="K262">
        <v>60</v>
      </c>
      <c r="L262">
        <v>61</v>
      </c>
      <c r="M262">
        <v>67</v>
      </c>
      <c r="N262">
        <v>62</v>
      </c>
      <c r="O262" s="19">
        <f t="shared" ref="O262:O263" si="40">ROUND(AVERAGE(C262:N262,T262:U262),0)</f>
        <v>68</v>
      </c>
      <c r="P262" s="19">
        <f t="shared" ref="P262:P263" si="41">ROUND(_xlfn.STDEV.P(C262:N262,T262:U262),2)</f>
        <v>9.8000000000000007</v>
      </c>
      <c r="T262">
        <v>63</v>
      </c>
      <c r="U262">
        <v>64</v>
      </c>
    </row>
    <row r="263" spans="2:21" x14ac:dyDescent="0.25">
      <c r="B263" s="21">
        <v>46088</v>
      </c>
      <c r="C263">
        <v>168</v>
      </c>
      <c r="D263">
        <v>155</v>
      </c>
      <c r="E263">
        <v>156</v>
      </c>
      <c r="F263">
        <v>139</v>
      </c>
      <c r="G263">
        <v>141</v>
      </c>
      <c r="H263">
        <v>123</v>
      </c>
      <c r="I263">
        <v>165</v>
      </c>
      <c r="J263">
        <v>135</v>
      </c>
      <c r="K263">
        <v>153</v>
      </c>
      <c r="L263">
        <v>166</v>
      </c>
      <c r="M263">
        <v>138</v>
      </c>
      <c r="N263">
        <v>165</v>
      </c>
      <c r="O263" s="19">
        <f t="shared" si="40"/>
        <v>151</v>
      </c>
      <c r="P263" s="19">
        <f t="shared" si="41"/>
        <v>13.62</v>
      </c>
      <c r="T263">
        <v>164</v>
      </c>
      <c r="U263">
        <v>146</v>
      </c>
    </row>
    <row r="264" spans="2:21" x14ac:dyDescent="0.25">
      <c r="B264" s="31" t="s">
        <v>40</v>
      </c>
      <c r="C264">
        <v>26.54</v>
      </c>
      <c r="D264">
        <v>28.27</v>
      </c>
      <c r="E264">
        <v>23.82</v>
      </c>
      <c r="F264" s="14">
        <v>22.99</v>
      </c>
      <c r="G264" s="14">
        <v>22.15</v>
      </c>
      <c r="H264" s="14">
        <v>20.46</v>
      </c>
      <c r="I264" s="14">
        <v>23.93</v>
      </c>
      <c r="J264" s="14">
        <v>22.01</v>
      </c>
      <c r="K264" s="14">
        <v>22.37</v>
      </c>
      <c r="L264" s="14">
        <v>25.33</v>
      </c>
      <c r="M264" s="14">
        <v>32.619999999999997</v>
      </c>
      <c r="N264" s="15">
        <v>24.5</v>
      </c>
      <c r="O264" s="32">
        <f>ROUND(AVERAGE(C264:N264,T264:U264),2)</f>
        <v>24.37</v>
      </c>
      <c r="P264" s="32">
        <f>ROUND(_xlfn.STDEV.P(C264:N264,T264:U264),2)</f>
        <v>2.98</v>
      </c>
      <c r="T264">
        <v>22.77</v>
      </c>
      <c r="U264">
        <v>23.47</v>
      </c>
    </row>
    <row r="265" spans="2:21" x14ac:dyDescent="0.25">
      <c r="B265" s="18" t="s">
        <v>41</v>
      </c>
      <c r="C265">
        <v>25.96</v>
      </c>
      <c r="D265">
        <v>25.22</v>
      </c>
      <c r="E265">
        <v>29.33</v>
      </c>
      <c r="F265">
        <v>28.93</v>
      </c>
      <c r="G265">
        <v>31.1</v>
      </c>
      <c r="H265">
        <v>33.6</v>
      </c>
      <c r="I265">
        <v>32.85</v>
      </c>
      <c r="J265">
        <v>31.65</v>
      </c>
      <c r="K265">
        <v>33.380000000000003</v>
      </c>
      <c r="L265">
        <v>27.63</v>
      </c>
      <c r="M265" s="14">
        <v>24.91</v>
      </c>
      <c r="N265" s="14">
        <v>30.48</v>
      </c>
      <c r="O265" s="32">
        <f>ROUND(AVERAGE(C265:N265,T265:U265),2)</f>
        <v>29.49</v>
      </c>
      <c r="P265" s="32">
        <f>ROUND(_xlfn.STDEV.P(C265:N265,T265:U265),2)</f>
        <v>2.78</v>
      </c>
      <c r="T265">
        <v>29.54</v>
      </c>
      <c r="U265">
        <v>28.25</v>
      </c>
    </row>
    <row r="266" spans="2:21" x14ac:dyDescent="0.25">
      <c r="C266" s="53" t="s">
        <v>53</v>
      </c>
      <c r="D266" s="53"/>
      <c r="E266" s="53" t="s">
        <v>57</v>
      </c>
      <c r="F266" s="53"/>
      <c r="G266" s="53" t="s">
        <v>54</v>
      </c>
      <c r="H266" s="53"/>
      <c r="I266" s="53" t="s">
        <v>58</v>
      </c>
      <c r="J266" s="53"/>
      <c r="K266" s="58" t="s">
        <v>55</v>
      </c>
      <c r="L266" s="58"/>
      <c r="M266" s="58" t="s">
        <v>56</v>
      </c>
      <c r="N266" s="58"/>
      <c r="T266" s="53" t="s">
        <v>72</v>
      </c>
      <c r="U266" s="53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D268">
        <v>71</v>
      </c>
      <c r="E268">
        <v>101</v>
      </c>
      <c r="F268">
        <v>98.6</v>
      </c>
      <c r="G268">
        <v>21</v>
      </c>
      <c r="H268">
        <v>21</v>
      </c>
      <c r="I268">
        <v>133</v>
      </c>
      <c r="J268">
        <v>142</v>
      </c>
      <c r="K268">
        <v>118</v>
      </c>
      <c r="L268">
        <v>93</v>
      </c>
      <c r="M268">
        <v>165</v>
      </c>
      <c r="N268">
        <v>159</v>
      </c>
      <c r="T268">
        <v>203</v>
      </c>
      <c r="U268">
        <v>181</v>
      </c>
    </row>
    <row r="269" spans="2:21" x14ac:dyDescent="0.25">
      <c r="I269" t="s">
        <v>68</v>
      </c>
      <c r="J269" t="s">
        <v>67</v>
      </c>
      <c r="K269" t="s">
        <v>67</v>
      </c>
      <c r="L269" t="s">
        <v>66</v>
      </c>
      <c r="M269" t="s">
        <v>69</v>
      </c>
      <c r="N269" t="s">
        <v>70</v>
      </c>
      <c r="T269" t="s">
        <v>71</v>
      </c>
      <c r="U269" t="s">
        <v>73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114:N135">
    <cfRule type="expression" dxfId="8" priority="2">
      <formula>ABS(C114-$A114)&lt;=10</formula>
    </cfRule>
  </conditionalFormatting>
  <conditionalFormatting sqref="C264:N264">
    <cfRule type="cellIs" dxfId="7" priority="5" operator="between">
      <formula>$O$264-$P$264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265:N265">
    <cfRule type="cellIs" dxfId="4" priority="1" operator="lessThan">
      <formula>20</formula>
    </cfRule>
  </conditionalFormatting>
  <conditionalFormatting sqref="F191:G197 F264:G264 I191:I197 I264 L191:L197 L264">
    <cfRule type="aboveAverage" dxfId="3" priority="27" stopIfTrue="1"/>
  </conditionalFormatting>
  <conditionalFormatting sqref="R3:R79 R81:R203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188" zoomScaleNormal="100" workbookViewId="0">
      <selection activeCell="P204" sqref="O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8" t="s">
        <v>59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67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3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3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3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3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3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3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3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3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3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3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3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3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3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3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5">ROUND(AVERAGE(C67:N67),0)</f>
        <v>189</v>
      </c>
      <c r="P67" s="19">
        <f t="shared" ref="P67:P130" si="6">ROUND(_xlfn.STDEV.P(C67:N67),2)</f>
        <v>16.18</v>
      </c>
      <c r="R67" s="25">
        <f t="shared" si="4"/>
        <v>-27</v>
      </c>
      <c r="S67">
        <f t="shared" si="3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5"/>
        <v>71</v>
      </c>
      <c r="P68" s="19">
        <f t="shared" si="6"/>
        <v>7.29</v>
      </c>
      <c r="R68" s="25">
        <f t="shared" si="4"/>
        <v>0</v>
      </c>
      <c r="S68">
        <f t="shared" ref="S68" si="7">O68/A68</f>
        <v>1</v>
      </c>
    </row>
    <row r="69" spans="1:19" x14ac:dyDescent="0.25">
      <c r="A69" s="13">
        <v>34</v>
      </c>
      <c r="B69" s="21">
        <v>45894</v>
      </c>
      <c r="O69" s="19" t="e">
        <f t="shared" si="5"/>
        <v>#DIV/0!</v>
      </c>
      <c r="P69" s="19" t="e">
        <f t="shared" si="6"/>
        <v>#DIV/0!</v>
      </c>
      <c r="R69" s="25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3">
        <v>77</v>
      </c>
      <c r="B70" s="21">
        <v>45895</v>
      </c>
      <c r="O70" s="19" t="e">
        <f t="shared" si="5"/>
        <v>#DIV/0!</v>
      </c>
      <c r="P70" s="19" t="e">
        <f t="shared" si="6"/>
        <v>#DIV/0!</v>
      </c>
      <c r="R70" s="25" t="e">
        <f t="shared" si="8"/>
        <v>#DIV/0!</v>
      </c>
      <c r="S70" t="e">
        <f t="shared" si="9"/>
        <v>#DIV/0!</v>
      </c>
    </row>
    <row r="71" spans="1:19" x14ac:dyDescent="0.25">
      <c r="A71" s="13">
        <v>102</v>
      </c>
      <c r="B71" s="21">
        <v>45896</v>
      </c>
      <c r="O71" s="19" t="e">
        <f t="shared" si="5"/>
        <v>#DIV/0!</v>
      </c>
      <c r="P71" s="19" t="e">
        <f t="shared" si="6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5"/>
        <v>#DIV/0!</v>
      </c>
      <c r="P72" s="19" t="e">
        <f t="shared" si="6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5"/>
        <v>#DIV/0!</v>
      </c>
      <c r="P73" s="19" t="e">
        <f t="shared" si="6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5"/>
        <v>#DIV/0!</v>
      </c>
      <c r="P74" s="19" t="e">
        <f t="shared" si="6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5"/>
        <v>67</v>
      </c>
      <c r="P75" s="19">
        <f t="shared" si="6"/>
        <v>10.42</v>
      </c>
      <c r="R75" s="25">
        <f>O75-A75</f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5"/>
        <v>68</v>
      </c>
      <c r="P76" s="19">
        <f t="shared" si="6"/>
        <v>10.16</v>
      </c>
      <c r="R76" s="25">
        <f t="shared" si="8"/>
        <v>68</v>
      </c>
      <c r="S76" t="e">
        <f t="shared" si="9"/>
        <v>#DIV/0!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5"/>
        <v>76</v>
      </c>
      <c r="P77" s="19">
        <f t="shared" si="6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5"/>
        <v>78</v>
      </c>
      <c r="P78" s="19">
        <f t="shared" si="6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5"/>
        <v>118</v>
      </c>
      <c r="P79" s="19">
        <f t="shared" si="6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5"/>
        <v>168</v>
      </c>
      <c r="P80" s="19">
        <f t="shared" si="6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5"/>
        <v>189</v>
      </c>
      <c r="P81" s="19">
        <f t="shared" si="6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5"/>
        <v>64</v>
      </c>
      <c r="P82" s="19">
        <f t="shared" si="6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5"/>
        <v>65</v>
      </c>
      <c r="P83" s="19">
        <f t="shared" si="6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5"/>
        <v>60</v>
      </c>
      <c r="P84" s="19">
        <f t="shared" si="6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5"/>
        <v>70</v>
      </c>
      <c r="P85" s="19">
        <f t="shared" si="6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5"/>
        <v>67</v>
      </c>
      <c r="P86" s="19">
        <f t="shared" si="6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5"/>
        <v>123</v>
      </c>
      <c r="P87" s="19">
        <f t="shared" si="6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5"/>
        <v>193</v>
      </c>
      <c r="P88" s="19">
        <f t="shared" si="6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5"/>
        <v>55</v>
      </c>
      <c r="P89" s="19">
        <f t="shared" si="6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5"/>
        <v>51</v>
      </c>
      <c r="P90" s="19">
        <f t="shared" si="6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5"/>
        <v>88</v>
      </c>
      <c r="P91" s="19">
        <f t="shared" si="6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5"/>
        <v>59</v>
      </c>
      <c r="P92" s="19">
        <f t="shared" si="6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5"/>
        <v>95</v>
      </c>
      <c r="P93" s="19">
        <f t="shared" si="6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5"/>
        <v>184</v>
      </c>
      <c r="P94" s="19">
        <f t="shared" si="6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5"/>
        <v>#DIV/0!</v>
      </c>
      <c r="P95" s="19" t="e">
        <f t="shared" si="6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5"/>
        <v>#DIV/0!</v>
      </c>
      <c r="P96" s="19" t="e">
        <f t="shared" si="6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5"/>
        <v>#DIV/0!</v>
      </c>
      <c r="P97" s="19" t="e">
        <f t="shared" si="6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5"/>
        <v>49</v>
      </c>
      <c r="P98" s="19">
        <f t="shared" si="6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5"/>
        <v>57</v>
      </c>
      <c r="P99" s="19">
        <f t="shared" si="6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5"/>
        <v>57</v>
      </c>
      <c r="P100" s="19">
        <f t="shared" si="6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5"/>
        <v>125</v>
      </c>
      <c r="P101" s="19">
        <f t="shared" si="6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5"/>
        <v>149</v>
      </c>
      <c r="P102" s="19">
        <f t="shared" si="6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5"/>
        <v>50</v>
      </c>
      <c r="P103" s="19">
        <f t="shared" si="6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5"/>
        <v>81</v>
      </c>
      <c r="P104" s="19">
        <f t="shared" si="6"/>
        <v>23.51</v>
      </c>
      <c r="R104" s="25">
        <f>O104-A104</f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5"/>
        <v>57</v>
      </c>
      <c r="P105" s="19">
        <f t="shared" si="6"/>
        <v>6.5</v>
      </c>
      <c r="R105" s="25">
        <f t="shared" si="8"/>
        <v>2</v>
      </c>
      <c r="S105">
        <f t="shared" si="9"/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5"/>
        <v>58</v>
      </c>
      <c r="P106" s="19">
        <f t="shared" si="6"/>
        <v>7.95</v>
      </c>
      <c r="R106" s="25">
        <f t="shared" si="8"/>
        <v>-17</v>
      </c>
      <c r="S106">
        <f t="shared" si="9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5"/>
        <v>77</v>
      </c>
      <c r="P107" s="19">
        <f t="shared" si="6"/>
        <v>18.7</v>
      </c>
      <c r="R107" s="25">
        <f t="shared" si="8"/>
        <v>-5</v>
      </c>
      <c r="S107">
        <f t="shared" si="9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5"/>
        <v>113</v>
      </c>
      <c r="P108" s="19">
        <f t="shared" si="6"/>
        <v>36.229999999999997</v>
      </c>
      <c r="R108" s="25">
        <f t="shared" si="8"/>
        <v>-31</v>
      </c>
      <c r="S108">
        <f t="shared" si="9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5"/>
        <v>148</v>
      </c>
      <c r="P109" s="19">
        <f t="shared" si="6"/>
        <v>47.16</v>
      </c>
      <c r="R109" s="25">
        <f t="shared" si="8"/>
        <v>-42</v>
      </c>
      <c r="S109">
        <f t="shared" si="9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5"/>
        <v>61</v>
      </c>
      <c r="P110" s="19">
        <f t="shared" si="6"/>
        <v>10.35</v>
      </c>
      <c r="R110" s="25">
        <f t="shared" si="8"/>
        <v>11</v>
      </c>
      <c r="S110">
        <f t="shared" si="9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5"/>
        <v>52</v>
      </c>
      <c r="P111" s="19">
        <f t="shared" si="6"/>
        <v>6.59</v>
      </c>
      <c r="R111" s="25">
        <f t="shared" si="8"/>
        <v>14</v>
      </c>
      <c r="S111">
        <f t="shared" si="9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5"/>
        <v>51</v>
      </c>
      <c r="P112" s="19">
        <f t="shared" si="6"/>
        <v>6.49</v>
      </c>
      <c r="R112" s="25">
        <f t="shared" si="8"/>
        <v>-54</v>
      </c>
      <c r="S112">
        <f t="shared" si="9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5"/>
        <v>58</v>
      </c>
      <c r="P113" s="19">
        <f t="shared" si="6"/>
        <v>6.16</v>
      </c>
      <c r="R113" s="25">
        <f t="shared" si="8"/>
        <v>20</v>
      </c>
      <c r="S113">
        <f t="shared" si="9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5"/>
        <v>55</v>
      </c>
      <c r="P114" s="19">
        <f t="shared" si="6"/>
        <v>6.54</v>
      </c>
      <c r="R114" s="25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5"/>
        <v>130</v>
      </c>
      <c r="P115" s="19">
        <f t="shared" si="6"/>
        <v>15.97</v>
      </c>
      <c r="R115" s="25">
        <f t="shared" si="10"/>
        <v>39</v>
      </c>
      <c r="S115">
        <f t="shared" si="11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5"/>
        <v>176</v>
      </c>
      <c r="P116" s="19">
        <f t="shared" si="6"/>
        <v>10.89</v>
      </c>
      <c r="R116" s="25">
        <f t="shared" si="10"/>
        <v>38</v>
      </c>
      <c r="S116">
        <f t="shared" si="11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5"/>
        <v>49</v>
      </c>
      <c r="P117" s="19">
        <f t="shared" si="6"/>
        <v>5.84</v>
      </c>
      <c r="R117" s="25">
        <f t="shared" si="10"/>
        <v>30</v>
      </c>
      <c r="S117">
        <f t="shared" si="11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5"/>
        <v>44</v>
      </c>
      <c r="P118" s="19">
        <f t="shared" si="6"/>
        <v>9.85</v>
      </c>
      <c r="R118" s="25">
        <f t="shared" si="10"/>
        <v>11</v>
      </c>
      <c r="S118">
        <f t="shared" si="11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5"/>
        <v>58</v>
      </c>
      <c r="P119" s="19">
        <f t="shared" si="6"/>
        <v>15.07</v>
      </c>
      <c r="R119" s="25">
        <f t="shared" si="10"/>
        <v>33</v>
      </c>
      <c r="S119">
        <f t="shared" si="11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5"/>
        <v>49</v>
      </c>
      <c r="P120" s="19">
        <f t="shared" si="6"/>
        <v>11.13</v>
      </c>
      <c r="R120" s="25">
        <f>O120-A120</f>
        <v>12</v>
      </c>
      <c r="S120">
        <f t="shared" si="11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5"/>
        <v>72</v>
      </c>
      <c r="P121" s="19">
        <f t="shared" si="6"/>
        <v>13.89</v>
      </c>
      <c r="R121" s="25">
        <f t="shared" si="10"/>
        <v>10</v>
      </c>
      <c r="S121">
        <f t="shared" si="11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5"/>
        <v>134</v>
      </c>
      <c r="P122" s="19">
        <f t="shared" si="6"/>
        <v>25.42</v>
      </c>
      <c r="R122" s="25">
        <f t="shared" si="10"/>
        <v>8</v>
      </c>
      <c r="S122">
        <f t="shared" si="11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5"/>
        <v>163</v>
      </c>
      <c r="P123" s="19">
        <f t="shared" si="6"/>
        <v>17.72</v>
      </c>
      <c r="R123" s="25">
        <f t="shared" si="10"/>
        <v>22</v>
      </c>
      <c r="S123">
        <f t="shared" si="11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5"/>
        <v>49</v>
      </c>
      <c r="P124" s="19">
        <f t="shared" si="6"/>
        <v>9.67</v>
      </c>
      <c r="R124" s="25">
        <f t="shared" si="10"/>
        <v>-16</v>
      </c>
      <c r="S124">
        <f t="shared" si="11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5"/>
        <v>37</v>
      </c>
      <c r="P125" s="19">
        <f t="shared" si="6"/>
        <v>19.34</v>
      </c>
      <c r="R125" s="25">
        <f t="shared" si="10"/>
        <v>-9</v>
      </c>
      <c r="S125">
        <f t="shared" si="11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5"/>
        <v>43</v>
      </c>
      <c r="P126" s="19">
        <f t="shared" si="6"/>
        <v>13.22</v>
      </c>
      <c r="R126" s="25">
        <f t="shared" si="10"/>
        <v>12</v>
      </c>
      <c r="S126">
        <f t="shared" si="11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5"/>
        <v>58</v>
      </c>
      <c r="P127" s="19">
        <f t="shared" si="6"/>
        <v>9.17</v>
      </c>
      <c r="R127" s="25">
        <f t="shared" si="10"/>
        <v>-26</v>
      </c>
      <c r="S127">
        <f t="shared" si="11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5"/>
        <v>78</v>
      </c>
      <c r="P128" s="19">
        <f t="shared" si="6"/>
        <v>12.09</v>
      </c>
      <c r="R128" s="25">
        <f t="shared" si="10"/>
        <v>50</v>
      </c>
      <c r="S128">
        <f t="shared" si="11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5"/>
        <v>130</v>
      </c>
      <c r="P129" s="19">
        <f t="shared" si="6"/>
        <v>24.1</v>
      </c>
      <c r="R129" s="25">
        <f t="shared" si="10"/>
        <v>-1</v>
      </c>
      <c r="S129">
        <f t="shared" si="11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5"/>
        <v>157</v>
      </c>
      <c r="P130" s="19">
        <f t="shared" si="6"/>
        <v>15.82</v>
      </c>
      <c r="R130" s="25">
        <f t="shared" si="10"/>
        <v>-42</v>
      </c>
      <c r="S130">
        <f t="shared" si="11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2">ROUND(AVERAGE(C131:N131),0)</f>
        <v>57</v>
      </c>
      <c r="P131" s="19">
        <f t="shared" ref="P131:P165" si="13">ROUND(_xlfn.STDEV.P(C131:N131),2)</f>
        <v>10.59</v>
      </c>
      <c r="R131" s="25">
        <f t="shared" si="10"/>
        <v>8</v>
      </c>
      <c r="S131">
        <f t="shared" si="11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2"/>
        <v>37</v>
      </c>
      <c r="P132" s="19">
        <f t="shared" si="13"/>
        <v>8.11</v>
      </c>
      <c r="R132" s="25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2"/>
        <v>36</v>
      </c>
      <c r="P133" s="19">
        <f t="shared" si="13"/>
        <v>10.53</v>
      </c>
      <c r="R133" s="25">
        <f t="shared" si="10"/>
        <v>-22</v>
      </c>
      <c r="S133">
        <f t="shared" si="11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2"/>
        <v>46</v>
      </c>
      <c r="P134" s="19">
        <f t="shared" si="13"/>
        <v>11.88</v>
      </c>
      <c r="R134" s="25">
        <f t="shared" si="10"/>
        <v>12</v>
      </c>
      <c r="S134">
        <f t="shared" si="11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2"/>
        <v>81</v>
      </c>
      <c r="P135" s="19">
        <f t="shared" si="13"/>
        <v>11.17</v>
      </c>
      <c r="R135" s="25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2"/>
        <v>86</v>
      </c>
      <c r="P136" s="19">
        <f t="shared" si="13"/>
        <v>14.08</v>
      </c>
      <c r="R136" s="25">
        <f t="shared" si="10"/>
        <v>48</v>
      </c>
      <c r="S136">
        <f t="shared" ref="S136:S150" si="14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2"/>
        <v>158</v>
      </c>
      <c r="P137" s="19">
        <f t="shared" si="13"/>
        <v>17.88</v>
      </c>
      <c r="R137" s="25">
        <f t="shared" si="10"/>
        <v>-4</v>
      </c>
      <c r="S137">
        <f t="shared" si="14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2"/>
        <v>44</v>
      </c>
      <c r="P138" s="19">
        <f t="shared" si="13"/>
        <v>16.04</v>
      </c>
      <c r="R138" s="25">
        <f t="shared" si="10"/>
        <v>9</v>
      </c>
      <c r="S138">
        <f t="shared" si="14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2"/>
        <v>50</v>
      </c>
      <c r="P139" s="19">
        <f t="shared" si="13"/>
        <v>18.489999999999998</v>
      </c>
      <c r="R139" s="25">
        <f t="shared" si="10"/>
        <v>-11</v>
      </c>
      <c r="S139">
        <f t="shared" si="14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2"/>
        <v>25</v>
      </c>
      <c r="P140" s="19">
        <f t="shared" si="13"/>
        <v>9.91</v>
      </c>
      <c r="R140" s="25">
        <f t="shared" si="10"/>
        <v>-16</v>
      </c>
      <c r="S140">
        <f t="shared" si="14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2"/>
        <v>56</v>
      </c>
      <c r="P141" s="19">
        <f t="shared" si="13"/>
        <v>16.399999999999999</v>
      </c>
      <c r="R141" s="25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2"/>
        <v>72</v>
      </c>
      <c r="P142" s="19">
        <f t="shared" si="13"/>
        <v>12.6</v>
      </c>
      <c r="R142" s="25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2"/>
        <v>127</v>
      </c>
      <c r="P143" s="19">
        <f t="shared" si="13"/>
        <v>36.29</v>
      </c>
      <c r="R143" s="25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2"/>
        <v>142</v>
      </c>
      <c r="P144" s="19">
        <f t="shared" si="13"/>
        <v>31.65</v>
      </c>
      <c r="R144" s="25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2"/>
        <v>45</v>
      </c>
      <c r="P145" s="19">
        <f t="shared" si="13"/>
        <v>19.29</v>
      </c>
      <c r="R145" s="25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2"/>
        <v>33</v>
      </c>
      <c r="P146" s="19">
        <f t="shared" si="13"/>
        <v>14.54</v>
      </c>
      <c r="R146" s="25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2"/>
        <v>38</v>
      </c>
      <c r="P147" s="19">
        <f t="shared" si="13"/>
        <v>18.399999999999999</v>
      </c>
      <c r="R147" s="25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2"/>
        <v>54</v>
      </c>
      <c r="P148" s="19">
        <f t="shared" si="13"/>
        <v>17.989999999999998</v>
      </c>
      <c r="R148" s="25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2"/>
        <v>84</v>
      </c>
      <c r="P149" s="19">
        <f t="shared" si="13"/>
        <v>27.26</v>
      </c>
      <c r="R149" s="25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2"/>
        <v>135</v>
      </c>
      <c r="P150" s="19">
        <f t="shared" si="13"/>
        <v>19.149999999999999</v>
      </c>
      <c r="R150" s="25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3"/>
        <v>20.75</v>
      </c>
      <c r="R151" s="25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7">ROUND(AVERAGE(C152:N152,T152,U152),0)</f>
        <v>50</v>
      </c>
      <c r="P152" s="19">
        <f t="shared" si="13"/>
        <v>17.61</v>
      </c>
      <c r="R152" s="25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7"/>
        <v>33</v>
      </c>
      <c r="P153" s="19">
        <f t="shared" si="13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7"/>
        <v>41</v>
      </c>
      <c r="P154" s="19">
        <f t="shared" si="13"/>
        <v>14.13</v>
      </c>
      <c r="R154" s="25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7"/>
        <v>61</v>
      </c>
      <c r="P155" s="19">
        <f t="shared" si="13"/>
        <v>20.52</v>
      </c>
      <c r="R155" s="25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7"/>
        <v>81</v>
      </c>
      <c r="P156" s="19">
        <f t="shared" si="13"/>
        <v>25.35</v>
      </c>
      <c r="R156" s="25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7"/>
        <v>123</v>
      </c>
      <c r="P157" s="19">
        <f t="shared" si="13"/>
        <v>35.19</v>
      </c>
      <c r="R157" s="25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7"/>
        <v>166</v>
      </c>
      <c r="P158" s="19">
        <f t="shared" si="13"/>
        <v>30.87</v>
      </c>
      <c r="R158" s="25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7"/>
        <v>43</v>
      </c>
      <c r="P159" s="19">
        <f t="shared" si="13"/>
        <v>14.53</v>
      </c>
      <c r="R159" s="25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7"/>
        <v>47</v>
      </c>
      <c r="P160" s="19">
        <f t="shared" si="13"/>
        <v>18.04</v>
      </c>
      <c r="R160" s="25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7"/>
        <v>55</v>
      </c>
      <c r="P161" s="19">
        <f t="shared" si="13"/>
        <v>20.16</v>
      </c>
      <c r="R161" s="25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7"/>
        <v>61</v>
      </c>
      <c r="P162" s="19">
        <f t="shared" si="13"/>
        <v>22.78</v>
      </c>
      <c r="R162" s="25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7"/>
        <v>70</v>
      </c>
      <c r="P163" s="19">
        <f t="shared" si="13"/>
        <v>23.41</v>
      </c>
      <c r="R163" s="25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7"/>
        <v>115</v>
      </c>
      <c r="P164" s="19">
        <f t="shared" si="13"/>
        <v>29.07</v>
      </c>
      <c r="R164" s="25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7"/>
        <v>148</v>
      </c>
      <c r="P165" s="19">
        <f t="shared" si="13"/>
        <v>27.85</v>
      </c>
      <c r="R165" s="25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18">O166-A166</f>
        <v>14</v>
      </c>
      <c r="S166">
        <f t="shared" ref="S166:S174" si="19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7"/>
        <v>72</v>
      </c>
      <c r="P167" s="19">
        <f>ROUND(_xlfn.STDEV.P(C167:N167,T167,U167),2)</f>
        <v>25.75</v>
      </c>
      <c r="R167" s="25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7"/>
        <v>79</v>
      </c>
      <c r="P168" s="19">
        <f t="shared" ref="P168:P197" si="20">ROUND(_xlfn.STDEV.P(C168:N168,T168,U168),2)</f>
        <v>19.13</v>
      </c>
      <c r="R168" s="25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7"/>
        <v>94</v>
      </c>
      <c r="P169" s="19">
        <f t="shared" si="20"/>
        <v>6.9</v>
      </c>
      <c r="R169" s="25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7"/>
        <v>98</v>
      </c>
      <c r="P170" s="19">
        <f t="shared" si="20"/>
        <v>7.83</v>
      </c>
      <c r="R170" s="25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7"/>
        <v>129</v>
      </c>
      <c r="P171" s="19">
        <f t="shared" si="20"/>
        <v>5.07</v>
      </c>
      <c r="R171" s="25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7"/>
        <v>170</v>
      </c>
      <c r="P172" s="19">
        <f t="shared" si="20"/>
        <v>4.78</v>
      </c>
      <c r="R172" s="25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7"/>
        <v>88</v>
      </c>
      <c r="P173" s="19">
        <f t="shared" si="20"/>
        <v>6.23</v>
      </c>
      <c r="R173" s="25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7"/>
        <v>63</v>
      </c>
      <c r="P174" s="19">
        <f t="shared" si="20"/>
        <v>7.57</v>
      </c>
      <c r="R174" s="25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7"/>
        <v>56</v>
      </c>
      <c r="P175" s="19">
        <f t="shared" si="20"/>
        <v>9.08</v>
      </c>
      <c r="R175" s="25">
        <f t="shared" ref="R175:R203" si="21">O175-A175</f>
        <v>-16</v>
      </c>
      <c r="S175">
        <f t="shared" ref="S175:S203" si="22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7"/>
        <v>80</v>
      </c>
      <c r="P176" s="19">
        <f t="shared" si="20"/>
        <v>18.34</v>
      </c>
      <c r="R176" s="25">
        <f t="shared" si="21"/>
        <v>37</v>
      </c>
      <c r="S176">
        <f t="shared" si="22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7"/>
        <v>94</v>
      </c>
      <c r="P177" s="19">
        <f t="shared" si="20"/>
        <v>17.98</v>
      </c>
      <c r="R177" s="25">
        <f t="shared" si="21"/>
        <v>-6</v>
      </c>
      <c r="S177">
        <f t="shared" si="22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7"/>
        <v>122</v>
      </c>
      <c r="P178" s="19">
        <f t="shared" si="20"/>
        <v>25.09</v>
      </c>
      <c r="R178" s="25">
        <f t="shared" si="21"/>
        <v>-54</v>
      </c>
      <c r="S178">
        <f t="shared" si="22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7"/>
        <v>184</v>
      </c>
      <c r="P179" s="19">
        <f t="shared" si="20"/>
        <v>34.020000000000003</v>
      </c>
      <c r="R179" s="25">
        <f t="shared" si="21"/>
        <v>32</v>
      </c>
      <c r="S179">
        <f t="shared" si="22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7"/>
        <v>66</v>
      </c>
      <c r="P180" s="19">
        <f t="shared" si="20"/>
        <v>17.91</v>
      </c>
      <c r="R180" s="25">
        <f t="shared" si="21"/>
        <v>24</v>
      </c>
      <c r="S180">
        <f t="shared" si="22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7"/>
        <v>59</v>
      </c>
      <c r="P181" s="19">
        <f t="shared" si="20"/>
        <v>11.89</v>
      </c>
      <c r="R181" s="25">
        <f t="shared" si="21"/>
        <v>33</v>
      </c>
      <c r="S181">
        <f t="shared" si="22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7"/>
        <v>58</v>
      </c>
      <c r="P182" s="19">
        <f t="shared" si="20"/>
        <v>10.9</v>
      </c>
      <c r="R182" s="25">
        <f t="shared" si="21"/>
        <v>0</v>
      </c>
      <c r="S182">
        <f t="shared" si="22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7"/>
        <v>96</v>
      </c>
      <c r="P183" s="19">
        <f t="shared" si="20"/>
        <v>22.31</v>
      </c>
      <c r="R183" s="25">
        <f t="shared" si="21"/>
        <v>29</v>
      </c>
      <c r="S183">
        <f t="shared" si="22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7"/>
        <v>142</v>
      </c>
      <c r="P184" s="19">
        <f t="shared" si="20"/>
        <v>28.19</v>
      </c>
      <c r="R184" s="25">
        <f t="shared" si="21"/>
        <v>61</v>
      </c>
      <c r="S184">
        <f t="shared" si="22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7"/>
        <v>190</v>
      </c>
      <c r="P185" s="19">
        <f t="shared" si="20"/>
        <v>15.26</v>
      </c>
      <c r="R185" s="25">
        <f t="shared" si="21"/>
        <v>14</v>
      </c>
      <c r="S185">
        <f t="shared" si="22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7"/>
        <v>185</v>
      </c>
      <c r="P186" s="19">
        <f t="shared" si="20"/>
        <v>30.19</v>
      </c>
      <c r="R186" s="25">
        <f t="shared" si="21"/>
        <v>33</v>
      </c>
      <c r="S186">
        <f t="shared" si="22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7"/>
        <v>110</v>
      </c>
      <c r="P187" s="19">
        <f t="shared" si="20"/>
        <v>25.21</v>
      </c>
      <c r="R187" s="25">
        <f t="shared" si="21"/>
        <v>41</v>
      </c>
      <c r="S187">
        <f t="shared" si="22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7"/>
        <v>97</v>
      </c>
      <c r="P188" s="19">
        <f t="shared" si="20"/>
        <v>27.42</v>
      </c>
      <c r="R188" s="25">
        <f t="shared" si="21"/>
        <v>3</v>
      </c>
      <c r="S188">
        <f t="shared" si="22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7"/>
        <v>90</v>
      </c>
      <c r="P189" s="19">
        <f t="shared" si="20"/>
        <v>19.77</v>
      </c>
      <c r="R189" s="25">
        <f t="shared" si="21"/>
        <v>14</v>
      </c>
      <c r="S189">
        <f t="shared" si="22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7"/>
        <v>108</v>
      </c>
      <c r="P190" s="19">
        <f t="shared" si="20"/>
        <v>29.73</v>
      </c>
      <c r="R190" s="25">
        <f t="shared" si="21"/>
        <v>-29</v>
      </c>
      <c r="S190">
        <f t="shared" si="22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7"/>
        <v>41</v>
      </c>
      <c r="P191" s="19">
        <f t="shared" si="20"/>
        <v>22.51</v>
      </c>
      <c r="R191" s="25">
        <f t="shared" si="21"/>
        <v>41</v>
      </c>
      <c r="S191" t="e">
        <f t="shared" si="22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7"/>
        <v>111</v>
      </c>
      <c r="P192" s="19">
        <f t="shared" si="20"/>
        <v>38.450000000000003</v>
      </c>
      <c r="R192" s="25">
        <f t="shared" si="21"/>
        <v>-27</v>
      </c>
      <c r="S192">
        <f t="shared" si="22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7"/>
        <v>198</v>
      </c>
      <c r="P193" s="19">
        <f>ROUND(_xlfn.STDEV.P(C193:N193,T193,U193),2)</f>
        <v>35.15</v>
      </c>
      <c r="R193" s="25">
        <f t="shared" si="21"/>
        <v>46</v>
      </c>
      <c r="S193">
        <f t="shared" si="22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0"/>
        <v>12.74</v>
      </c>
      <c r="R194" s="25">
        <f t="shared" si="21"/>
        <v>-7</v>
      </c>
      <c r="S194">
        <f t="shared" si="22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7"/>
        <v>104</v>
      </c>
      <c r="P195" s="19">
        <f t="shared" si="20"/>
        <v>22.48</v>
      </c>
      <c r="R195" s="25">
        <f t="shared" si="21"/>
        <v>55</v>
      </c>
      <c r="S195">
        <f t="shared" si="22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7"/>
        <v>82</v>
      </c>
      <c r="P196" s="19">
        <f t="shared" si="20"/>
        <v>17.28</v>
      </c>
      <c r="R196" s="25">
        <f t="shared" si="21"/>
        <v>12</v>
      </c>
      <c r="S196">
        <f t="shared" si="22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7"/>
        <v>136</v>
      </c>
      <c r="P197" s="19">
        <f t="shared" si="20"/>
        <v>44.17</v>
      </c>
      <c r="R197" s="25">
        <f t="shared" si="21"/>
        <v>-63</v>
      </c>
      <c r="S197">
        <f t="shared" si="22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3">ROUND(AVERAGE(C198:N198,T198,U198),0)</f>
        <v>67</v>
      </c>
      <c r="P198" s="19">
        <f t="shared" ref="P198:P261" si="24">ROUND(_xlfn.STDEV.P(C198:N198,T198,U198),2)</f>
        <v>13.44</v>
      </c>
      <c r="R198" s="25">
        <f t="shared" si="21"/>
        <v>67</v>
      </c>
      <c r="S198" t="e">
        <f t="shared" si="22"/>
        <v>#DIV/0!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3"/>
        <v>120</v>
      </c>
      <c r="P199" s="19">
        <f t="shared" si="24"/>
        <v>21.18</v>
      </c>
      <c r="R199" s="25">
        <f t="shared" si="21"/>
        <v>7</v>
      </c>
      <c r="S199">
        <f t="shared" si="22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3"/>
        <v>154</v>
      </c>
      <c r="P200" s="19">
        <f t="shared" si="24"/>
        <v>30.74</v>
      </c>
      <c r="R200" s="25">
        <f t="shared" si="21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3"/>
        <v>36</v>
      </c>
      <c r="P201" s="19">
        <f t="shared" si="24"/>
        <v>9.83</v>
      </c>
      <c r="R201" s="25">
        <f>O201-A201</f>
        <v>-5</v>
      </c>
      <c r="S201">
        <f t="shared" si="22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3"/>
        <v>34</v>
      </c>
      <c r="P202" s="19">
        <f t="shared" si="24"/>
        <v>9.76</v>
      </c>
      <c r="R202" s="25">
        <f t="shared" si="21"/>
        <v>21</v>
      </c>
      <c r="S202">
        <f t="shared" si="22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37</v>
      </c>
      <c r="M203">
        <v>25</v>
      </c>
      <c r="N203">
        <v>40</v>
      </c>
      <c r="O203" s="19">
        <f t="shared" si="23"/>
        <v>36</v>
      </c>
      <c r="P203" s="19">
        <f t="shared" si="24"/>
        <v>9.66</v>
      </c>
      <c r="R203" s="25">
        <f t="shared" si="21"/>
        <v>18</v>
      </c>
      <c r="S203">
        <f t="shared" si="22"/>
        <v>2</v>
      </c>
      <c r="T203">
        <v>46</v>
      </c>
      <c r="U203">
        <v>36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45</v>
      </c>
      <c r="F204" s="27">
        <v>57</v>
      </c>
      <c r="G204" s="27">
        <v>42</v>
      </c>
      <c r="H204" s="27">
        <v>68</v>
      </c>
      <c r="I204" s="27">
        <v>53</v>
      </c>
      <c r="J204" s="27">
        <v>66</v>
      </c>
      <c r="K204" s="27">
        <v>47</v>
      </c>
      <c r="L204" s="27">
        <v>36</v>
      </c>
      <c r="M204" s="27">
        <v>54</v>
      </c>
      <c r="N204" s="27">
        <v>37</v>
      </c>
      <c r="O204" s="28">
        <f t="shared" si="23"/>
        <v>48</v>
      </c>
      <c r="P204" s="28">
        <f t="shared" si="24"/>
        <v>10.53</v>
      </c>
      <c r="T204" s="27">
        <v>46</v>
      </c>
      <c r="U204" s="27">
        <v>46</v>
      </c>
    </row>
    <row r="205" spans="1:21" x14ac:dyDescent="0.25"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89</v>
      </c>
      <c r="M205">
        <v>125</v>
      </c>
      <c r="N205">
        <v>88</v>
      </c>
      <c r="O205" s="19">
        <f t="shared" si="23"/>
        <v>77</v>
      </c>
      <c r="P205" s="19">
        <f t="shared" si="24"/>
        <v>30.81</v>
      </c>
      <c r="T205">
        <v>83</v>
      </c>
      <c r="U205">
        <v>71</v>
      </c>
    </row>
    <row r="206" spans="1:21" x14ac:dyDescent="0.25"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110</v>
      </c>
      <c r="M206">
        <v>119</v>
      </c>
      <c r="N206">
        <v>111</v>
      </c>
      <c r="O206" s="19">
        <f t="shared" si="23"/>
        <v>115</v>
      </c>
      <c r="P206" s="19">
        <f t="shared" si="24"/>
        <v>14.75</v>
      </c>
      <c r="T206">
        <v>124</v>
      </c>
      <c r="U206">
        <v>108</v>
      </c>
    </row>
    <row r="207" spans="1:21" x14ac:dyDescent="0.25"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141</v>
      </c>
      <c r="M207">
        <v>103</v>
      </c>
      <c r="N207">
        <v>140</v>
      </c>
      <c r="O207" s="19">
        <f t="shared" si="23"/>
        <v>127</v>
      </c>
      <c r="P207" s="19">
        <f t="shared" si="24"/>
        <v>24.34</v>
      </c>
      <c r="T207">
        <v>151</v>
      </c>
      <c r="U207">
        <v>123</v>
      </c>
    </row>
    <row r="208" spans="1:21" x14ac:dyDescent="0.25"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44</v>
      </c>
      <c r="M208">
        <v>67</v>
      </c>
      <c r="N208">
        <v>46</v>
      </c>
      <c r="O208" s="19">
        <f t="shared" si="23"/>
        <v>41</v>
      </c>
      <c r="P208" s="19">
        <f t="shared" si="24"/>
        <v>13.98</v>
      </c>
      <c r="T208">
        <v>45</v>
      </c>
      <c r="U208">
        <v>34</v>
      </c>
    </row>
    <row r="209" spans="2:21" x14ac:dyDescent="0.25"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17</v>
      </c>
      <c r="I209">
        <v>51</v>
      </c>
      <c r="J209">
        <v>20</v>
      </c>
      <c r="K209">
        <v>29</v>
      </c>
      <c r="L209">
        <v>39</v>
      </c>
      <c r="M209">
        <v>25</v>
      </c>
      <c r="N209">
        <v>38</v>
      </c>
      <c r="O209" s="19">
        <f t="shared" si="23"/>
        <v>34</v>
      </c>
      <c r="P209" s="19">
        <f t="shared" si="24"/>
        <v>8.8800000000000008</v>
      </c>
      <c r="T209">
        <v>41</v>
      </c>
      <c r="U209">
        <v>33</v>
      </c>
    </row>
    <row r="210" spans="2:21" x14ac:dyDescent="0.25"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28</v>
      </c>
      <c r="I210">
        <v>53</v>
      </c>
      <c r="J210">
        <v>37</v>
      </c>
      <c r="K210">
        <v>44</v>
      </c>
      <c r="L210">
        <v>43</v>
      </c>
      <c r="M210">
        <v>39</v>
      </c>
      <c r="N210">
        <v>41</v>
      </c>
      <c r="O210" s="19">
        <f t="shared" si="23"/>
        <v>41</v>
      </c>
      <c r="P210" s="19">
        <f t="shared" si="24"/>
        <v>6.24</v>
      </c>
      <c r="T210">
        <v>49</v>
      </c>
      <c r="U210">
        <v>36</v>
      </c>
    </row>
    <row r="211" spans="2:21" x14ac:dyDescent="0.25"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103</v>
      </c>
      <c r="I211">
        <v>50</v>
      </c>
      <c r="J211">
        <v>88</v>
      </c>
      <c r="K211">
        <v>45</v>
      </c>
      <c r="L211">
        <v>37</v>
      </c>
      <c r="M211">
        <v>42</v>
      </c>
      <c r="N211">
        <v>35</v>
      </c>
      <c r="O211" s="19">
        <f t="shared" si="23"/>
        <v>54</v>
      </c>
      <c r="P211" s="19">
        <f t="shared" si="24"/>
        <v>20.3</v>
      </c>
      <c r="T211">
        <v>49</v>
      </c>
      <c r="U211">
        <v>60</v>
      </c>
    </row>
    <row r="212" spans="2:21" x14ac:dyDescent="0.25"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176</v>
      </c>
      <c r="I212">
        <v>85</v>
      </c>
      <c r="J212">
        <v>134</v>
      </c>
      <c r="K212">
        <v>66</v>
      </c>
      <c r="L212">
        <v>57</v>
      </c>
      <c r="M212">
        <v>57</v>
      </c>
      <c r="N212">
        <v>77</v>
      </c>
      <c r="O212" s="19">
        <f t="shared" si="23"/>
        <v>92</v>
      </c>
      <c r="P212" s="19">
        <f t="shared" si="24"/>
        <v>34.229999999999997</v>
      </c>
      <c r="T212">
        <v>80</v>
      </c>
      <c r="U212">
        <v>115</v>
      </c>
    </row>
    <row r="213" spans="2:21" x14ac:dyDescent="0.25"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150</v>
      </c>
      <c r="I213">
        <v>125</v>
      </c>
      <c r="J213">
        <v>134</v>
      </c>
      <c r="K213">
        <v>38</v>
      </c>
      <c r="L213">
        <v>140</v>
      </c>
      <c r="M213">
        <v>173</v>
      </c>
      <c r="N213">
        <v>134</v>
      </c>
      <c r="O213" s="19">
        <f t="shared" si="23"/>
        <v>137</v>
      </c>
      <c r="P213" s="19">
        <f t="shared" si="24"/>
        <v>40.39</v>
      </c>
      <c r="T213">
        <v>137</v>
      </c>
      <c r="U213">
        <v>182</v>
      </c>
    </row>
    <row r="214" spans="2:21" x14ac:dyDescent="0.25">
      <c r="B214" s="21">
        <v>46039</v>
      </c>
      <c r="C214">
        <v>147</v>
      </c>
      <c r="D214">
        <v>151</v>
      </c>
      <c r="E214">
        <v>134</v>
      </c>
      <c r="F214">
        <v>182</v>
      </c>
      <c r="G214">
        <v>65</v>
      </c>
      <c r="H214">
        <v>185</v>
      </c>
      <c r="I214">
        <v>184</v>
      </c>
      <c r="J214">
        <v>180</v>
      </c>
      <c r="K214">
        <v>161</v>
      </c>
      <c r="L214">
        <v>156</v>
      </c>
      <c r="M214">
        <v>170</v>
      </c>
      <c r="N214">
        <v>152</v>
      </c>
      <c r="O214" s="19">
        <f t="shared" si="23"/>
        <v>159</v>
      </c>
      <c r="P214" s="19">
        <f t="shared" si="24"/>
        <v>30.69</v>
      </c>
      <c r="T214">
        <v>191</v>
      </c>
      <c r="U214">
        <v>165</v>
      </c>
    </row>
    <row r="215" spans="2:21" x14ac:dyDescent="0.25">
      <c r="B215" s="21">
        <v>46040</v>
      </c>
      <c r="C215">
        <v>51</v>
      </c>
      <c r="D215">
        <v>49</v>
      </c>
      <c r="E215">
        <v>58</v>
      </c>
      <c r="F215">
        <v>41</v>
      </c>
      <c r="G215">
        <v>35</v>
      </c>
      <c r="H215">
        <v>23</v>
      </c>
      <c r="I215">
        <v>53</v>
      </c>
      <c r="J215">
        <v>36</v>
      </c>
      <c r="K215">
        <v>70</v>
      </c>
      <c r="L215">
        <v>48</v>
      </c>
      <c r="M215">
        <v>77</v>
      </c>
      <c r="N215">
        <v>58</v>
      </c>
      <c r="O215" s="19">
        <f t="shared" si="23"/>
        <v>49</v>
      </c>
      <c r="P215" s="19">
        <f t="shared" si="24"/>
        <v>13.61</v>
      </c>
      <c r="T215">
        <v>49</v>
      </c>
      <c r="U215">
        <v>40</v>
      </c>
    </row>
    <row r="216" spans="2:21" x14ac:dyDescent="0.25">
      <c r="B216" s="21">
        <v>46041</v>
      </c>
      <c r="C216">
        <v>13</v>
      </c>
      <c r="D216">
        <v>11</v>
      </c>
      <c r="E216">
        <v>37</v>
      </c>
      <c r="F216">
        <v>57</v>
      </c>
      <c r="G216">
        <v>35</v>
      </c>
      <c r="H216">
        <v>75</v>
      </c>
      <c r="I216">
        <v>37</v>
      </c>
      <c r="J216">
        <v>62</v>
      </c>
      <c r="K216">
        <v>10</v>
      </c>
      <c r="L216">
        <v>14</v>
      </c>
      <c r="M216">
        <v>17</v>
      </c>
      <c r="N216">
        <v>10</v>
      </c>
      <c r="O216" s="19">
        <f t="shared" si="23"/>
        <v>32</v>
      </c>
      <c r="P216" s="19">
        <f t="shared" si="24"/>
        <v>20.57</v>
      </c>
      <c r="T216">
        <v>27</v>
      </c>
      <c r="U216">
        <v>44</v>
      </c>
    </row>
    <row r="217" spans="2:21" x14ac:dyDescent="0.25">
      <c r="B217" s="21">
        <v>46042</v>
      </c>
      <c r="C217">
        <v>47</v>
      </c>
      <c r="D217">
        <v>48</v>
      </c>
      <c r="E217">
        <v>53</v>
      </c>
      <c r="F217">
        <v>83</v>
      </c>
      <c r="G217">
        <v>35</v>
      </c>
      <c r="H217">
        <v>109</v>
      </c>
      <c r="I217">
        <v>52</v>
      </c>
      <c r="J217">
        <v>98</v>
      </c>
      <c r="K217">
        <v>51</v>
      </c>
      <c r="L217">
        <v>47</v>
      </c>
      <c r="M217">
        <v>46</v>
      </c>
      <c r="N217">
        <v>49</v>
      </c>
      <c r="O217" s="19">
        <f t="shared" si="23"/>
        <v>59</v>
      </c>
      <c r="P217" s="19">
        <f t="shared" si="24"/>
        <v>21.36</v>
      </c>
      <c r="T217">
        <v>42</v>
      </c>
      <c r="U217">
        <v>69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39</v>
      </c>
      <c r="G218">
        <v>40</v>
      </c>
      <c r="H218">
        <v>35</v>
      </c>
      <c r="I218">
        <v>47</v>
      </c>
      <c r="J218">
        <v>37</v>
      </c>
      <c r="K218">
        <v>43</v>
      </c>
      <c r="L218">
        <v>39</v>
      </c>
      <c r="M218">
        <v>42</v>
      </c>
      <c r="N218">
        <v>42</v>
      </c>
      <c r="O218" s="19">
        <f t="shared" si="23"/>
        <v>42</v>
      </c>
      <c r="P218" s="19">
        <f t="shared" si="24"/>
        <v>5.07</v>
      </c>
      <c r="T218">
        <v>37</v>
      </c>
      <c r="U218">
        <v>38</v>
      </c>
    </row>
    <row r="219" spans="2:21" x14ac:dyDescent="0.25">
      <c r="B219" s="21">
        <v>46044</v>
      </c>
      <c r="C219">
        <v>52</v>
      </c>
      <c r="D219">
        <v>50</v>
      </c>
      <c r="E219">
        <v>59</v>
      </c>
      <c r="F219">
        <v>84</v>
      </c>
      <c r="G219">
        <v>37</v>
      </c>
      <c r="H219">
        <v>118</v>
      </c>
      <c r="I219">
        <v>95</v>
      </c>
      <c r="J219">
        <v>105</v>
      </c>
      <c r="K219">
        <v>52</v>
      </c>
      <c r="L219">
        <v>51</v>
      </c>
      <c r="M219">
        <v>54</v>
      </c>
      <c r="N219">
        <v>52</v>
      </c>
      <c r="O219" s="19">
        <f t="shared" si="23"/>
        <v>66</v>
      </c>
      <c r="P219" s="19">
        <f t="shared" si="24"/>
        <v>23.83</v>
      </c>
      <c r="T219">
        <v>45</v>
      </c>
      <c r="U219">
        <v>70</v>
      </c>
    </row>
    <row r="220" spans="2:21" x14ac:dyDescent="0.25">
      <c r="B220" s="21">
        <v>46045</v>
      </c>
      <c r="C220">
        <v>143</v>
      </c>
      <c r="D220">
        <v>140</v>
      </c>
      <c r="E220">
        <v>117</v>
      </c>
      <c r="F220">
        <v>114</v>
      </c>
      <c r="G220">
        <v>37</v>
      </c>
      <c r="H220">
        <v>96</v>
      </c>
      <c r="I220">
        <v>82</v>
      </c>
      <c r="J220">
        <v>115</v>
      </c>
      <c r="K220">
        <v>128</v>
      </c>
      <c r="L220">
        <v>148</v>
      </c>
      <c r="M220">
        <v>141</v>
      </c>
      <c r="N220">
        <v>145</v>
      </c>
      <c r="O220" s="19">
        <f t="shared" si="23"/>
        <v>115</v>
      </c>
      <c r="P220" s="19">
        <f t="shared" si="24"/>
        <v>29.72</v>
      </c>
      <c r="T220">
        <v>91</v>
      </c>
      <c r="U220">
        <v>118</v>
      </c>
    </row>
    <row r="221" spans="2:21" x14ac:dyDescent="0.25">
      <c r="B221" s="21">
        <v>46046</v>
      </c>
      <c r="C221">
        <v>160</v>
      </c>
      <c r="D221">
        <v>151</v>
      </c>
      <c r="E221">
        <v>131</v>
      </c>
      <c r="F221">
        <v>148</v>
      </c>
      <c r="G221">
        <v>41</v>
      </c>
      <c r="H221">
        <v>150</v>
      </c>
      <c r="I221">
        <v>203</v>
      </c>
      <c r="J221">
        <v>166</v>
      </c>
      <c r="K221">
        <v>154</v>
      </c>
      <c r="L221">
        <v>158</v>
      </c>
      <c r="M221">
        <v>167</v>
      </c>
      <c r="N221">
        <v>156</v>
      </c>
      <c r="O221" s="19">
        <f t="shared" si="23"/>
        <v>147</v>
      </c>
      <c r="P221" s="19">
        <f t="shared" si="24"/>
        <v>33.869999999999997</v>
      </c>
      <c r="T221">
        <v>132</v>
      </c>
      <c r="U221">
        <v>147</v>
      </c>
    </row>
    <row r="222" spans="2:21" x14ac:dyDescent="0.25">
      <c r="B222" s="21">
        <v>46047</v>
      </c>
      <c r="C222">
        <v>34</v>
      </c>
      <c r="D222">
        <v>38</v>
      </c>
      <c r="E222">
        <v>39</v>
      </c>
      <c r="F222">
        <v>104</v>
      </c>
      <c r="G222">
        <v>35</v>
      </c>
      <c r="H222">
        <v>151</v>
      </c>
      <c r="I222">
        <v>45</v>
      </c>
      <c r="J222">
        <v>122</v>
      </c>
      <c r="K222">
        <v>27</v>
      </c>
      <c r="L222">
        <v>33</v>
      </c>
      <c r="M222">
        <v>12</v>
      </c>
      <c r="N222">
        <v>34</v>
      </c>
      <c r="O222" s="19">
        <f t="shared" si="23"/>
        <v>56</v>
      </c>
      <c r="P222" s="19">
        <f t="shared" si="24"/>
        <v>40.08</v>
      </c>
      <c r="T222">
        <v>30</v>
      </c>
      <c r="U222">
        <v>82</v>
      </c>
    </row>
    <row r="223" spans="2:21" x14ac:dyDescent="0.25">
      <c r="B223" s="21">
        <v>46048</v>
      </c>
      <c r="C223">
        <v>50</v>
      </c>
      <c r="D223">
        <v>48</v>
      </c>
      <c r="E223">
        <v>47</v>
      </c>
      <c r="F223">
        <v>120</v>
      </c>
      <c r="G223">
        <v>35</v>
      </c>
      <c r="H223">
        <v>178</v>
      </c>
      <c r="I223">
        <v>52</v>
      </c>
      <c r="J223">
        <v>138</v>
      </c>
      <c r="K223">
        <v>33</v>
      </c>
      <c r="L223">
        <v>47</v>
      </c>
      <c r="M223">
        <v>33</v>
      </c>
      <c r="N223">
        <v>42</v>
      </c>
      <c r="O223" s="19">
        <f t="shared" si="23"/>
        <v>69</v>
      </c>
      <c r="P223" s="19">
        <f t="shared" si="24"/>
        <v>44.58</v>
      </c>
      <c r="T223">
        <v>36</v>
      </c>
      <c r="U223">
        <v>100</v>
      </c>
    </row>
    <row r="224" spans="2:21" x14ac:dyDescent="0.25">
      <c r="B224" s="21">
        <v>46049</v>
      </c>
      <c r="C224">
        <v>50</v>
      </c>
      <c r="D224">
        <v>53</v>
      </c>
      <c r="E224">
        <v>51</v>
      </c>
      <c r="F224">
        <v>110</v>
      </c>
      <c r="G224">
        <v>35</v>
      </c>
      <c r="H224">
        <v>164</v>
      </c>
      <c r="I224">
        <v>60</v>
      </c>
      <c r="J224">
        <v>134</v>
      </c>
      <c r="K224">
        <v>50</v>
      </c>
      <c r="L224">
        <v>47</v>
      </c>
      <c r="M224">
        <v>50</v>
      </c>
      <c r="N224">
        <v>49</v>
      </c>
      <c r="O224" s="19">
        <f t="shared" si="23"/>
        <v>70</v>
      </c>
      <c r="P224" s="19">
        <f t="shared" si="24"/>
        <v>38.159999999999997</v>
      </c>
      <c r="T224">
        <v>35</v>
      </c>
      <c r="U224">
        <v>92</v>
      </c>
    </row>
    <row r="225" spans="2:21" x14ac:dyDescent="0.25">
      <c r="B225" s="21">
        <v>46050</v>
      </c>
      <c r="C225">
        <v>46</v>
      </c>
      <c r="D225">
        <v>41</v>
      </c>
      <c r="E225">
        <v>54</v>
      </c>
      <c r="F225">
        <v>41</v>
      </c>
      <c r="G225">
        <v>35</v>
      </c>
      <c r="H225">
        <v>29</v>
      </c>
      <c r="I225">
        <v>44</v>
      </c>
      <c r="J225">
        <v>39</v>
      </c>
      <c r="K225">
        <v>48</v>
      </c>
      <c r="L225">
        <v>42</v>
      </c>
      <c r="M225">
        <v>51</v>
      </c>
      <c r="N225">
        <v>44</v>
      </c>
      <c r="O225" s="19">
        <f t="shared" si="23"/>
        <v>42</v>
      </c>
      <c r="P225" s="19">
        <f t="shared" si="24"/>
        <v>6.3</v>
      </c>
      <c r="T225">
        <v>38</v>
      </c>
      <c r="U225">
        <v>37</v>
      </c>
    </row>
    <row r="226" spans="2:21" x14ac:dyDescent="0.25">
      <c r="B226" s="21">
        <v>46051</v>
      </c>
      <c r="C226">
        <v>58</v>
      </c>
      <c r="D226">
        <v>60</v>
      </c>
      <c r="E226">
        <v>53</v>
      </c>
      <c r="F226">
        <v>87</v>
      </c>
      <c r="G226">
        <v>62</v>
      </c>
      <c r="H226">
        <v>105</v>
      </c>
      <c r="I226">
        <v>72</v>
      </c>
      <c r="J226">
        <v>95</v>
      </c>
      <c r="K226">
        <v>54</v>
      </c>
      <c r="L226">
        <v>62</v>
      </c>
      <c r="M226">
        <v>62</v>
      </c>
      <c r="N226">
        <v>61</v>
      </c>
      <c r="O226" s="19">
        <f t="shared" si="23"/>
        <v>68</v>
      </c>
      <c r="P226" s="19">
        <f t="shared" si="24"/>
        <v>15.48</v>
      </c>
      <c r="T226">
        <v>57</v>
      </c>
      <c r="U226">
        <v>64</v>
      </c>
    </row>
    <row r="227" spans="2:21" x14ac:dyDescent="0.25">
      <c r="B227" s="21">
        <v>46052</v>
      </c>
      <c r="C227">
        <v>164</v>
      </c>
      <c r="D227">
        <v>150</v>
      </c>
      <c r="E227">
        <v>130</v>
      </c>
      <c r="F227">
        <v>97</v>
      </c>
      <c r="G227">
        <v>35</v>
      </c>
      <c r="H227">
        <v>34</v>
      </c>
      <c r="I227">
        <v>76</v>
      </c>
      <c r="J227">
        <v>77</v>
      </c>
      <c r="K227">
        <v>170</v>
      </c>
      <c r="L227">
        <v>154</v>
      </c>
      <c r="M227">
        <v>229</v>
      </c>
      <c r="N227">
        <v>153</v>
      </c>
      <c r="O227" s="19">
        <f t="shared" si="23"/>
        <v>118</v>
      </c>
      <c r="P227" s="19">
        <f t="shared" si="24"/>
        <v>53.8</v>
      </c>
      <c r="T227">
        <v>76</v>
      </c>
      <c r="U227">
        <v>108</v>
      </c>
    </row>
    <row r="228" spans="2:21" x14ac:dyDescent="0.25">
      <c r="B228" s="21">
        <v>46053</v>
      </c>
      <c r="C228">
        <v>152</v>
      </c>
      <c r="D228">
        <v>157</v>
      </c>
      <c r="E228">
        <v>131</v>
      </c>
      <c r="F228">
        <v>189</v>
      </c>
      <c r="G228">
        <v>64</v>
      </c>
      <c r="H228">
        <v>234</v>
      </c>
      <c r="I228">
        <v>210</v>
      </c>
      <c r="J228">
        <v>213</v>
      </c>
      <c r="K228">
        <v>163</v>
      </c>
      <c r="L228">
        <v>153</v>
      </c>
      <c r="M228">
        <v>181</v>
      </c>
      <c r="N228">
        <v>157</v>
      </c>
      <c r="O228" s="19">
        <f t="shared" si="23"/>
        <v>168</v>
      </c>
      <c r="P228" s="19">
        <f t="shared" si="24"/>
        <v>39.450000000000003</v>
      </c>
      <c r="T228">
        <v>169</v>
      </c>
      <c r="U228">
        <v>178</v>
      </c>
    </row>
    <row r="229" spans="2:21" x14ac:dyDescent="0.25">
      <c r="B229" s="21">
        <v>46054</v>
      </c>
      <c r="C229">
        <v>52</v>
      </c>
      <c r="D229">
        <v>49</v>
      </c>
      <c r="E229">
        <v>57</v>
      </c>
      <c r="F229">
        <v>36</v>
      </c>
      <c r="G229">
        <v>35</v>
      </c>
      <c r="H229">
        <v>21</v>
      </c>
      <c r="I229">
        <v>54</v>
      </c>
      <c r="J229">
        <v>33</v>
      </c>
      <c r="K229">
        <v>70</v>
      </c>
      <c r="L229">
        <v>46</v>
      </c>
      <c r="M229">
        <v>77</v>
      </c>
      <c r="N229">
        <v>56</v>
      </c>
      <c r="O229" s="19">
        <f t="shared" si="23"/>
        <v>48</v>
      </c>
      <c r="P229" s="19">
        <f t="shared" si="24"/>
        <v>14.29</v>
      </c>
      <c r="T229">
        <v>49</v>
      </c>
      <c r="U229">
        <v>40</v>
      </c>
    </row>
    <row r="230" spans="2:21" x14ac:dyDescent="0.25">
      <c r="B230" s="21">
        <v>46055</v>
      </c>
      <c r="C230">
        <v>45</v>
      </c>
      <c r="D230">
        <v>42</v>
      </c>
      <c r="E230">
        <v>53</v>
      </c>
      <c r="F230">
        <v>30</v>
      </c>
      <c r="G230">
        <v>35</v>
      </c>
      <c r="H230">
        <v>16</v>
      </c>
      <c r="I230">
        <v>52</v>
      </c>
      <c r="J230">
        <v>25</v>
      </c>
      <c r="K230">
        <v>50</v>
      </c>
      <c r="L230">
        <v>45</v>
      </c>
      <c r="M230">
        <v>48</v>
      </c>
      <c r="N230">
        <v>47</v>
      </c>
      <c r="O230" s="19">
        <f t="shared" si="23"/>
        <v>41</v>
      </c>
      <c r="P230" s="19">
        <f t="shared" si="24"/>
        <v>10.45</v>
      </c>
      <c r="T230">
        <v>43</v>
      </c>
      <c r="U230">
        <v>36</v>
      </c>
    </row>
    <row r="231" spans="2:21" x14ac:dyDescent="0.25">
      <c r="B231" s="21">
        <v>46056</v>
      </c>
      <c r="C231">
        <v>52</v>
      </c>
      <c r="D231">
        <v>54</v>
      </c>
      <c r="E231">
        <v>50</v>
      </c>
      <c r="F231">
        <v>110</v>
      </c>
      <c r="G231">
        <v>36</v>
      </c>
      <c r="H231">
        <v>166</v>
      </c>
      <c r="I231">
        <v>66</v>
      </c>
      <c r="J231">
        <v>134</v>
      </c>
      <c r="K231">
        <v>52</v>
      </c>
      <c r="L231">
        <v>49</v>
      </c>
      <c r="M231">
        <v>53</v>
      </c>
      <c r="N231">
        <v>53</v>
      </c>
      <c r="O231" s="19">
        <f t="shared" si="23"/>
        <v>72</v>
      </c>
      <c r="P231" s="19">
        <f t="shared" si="24"/>
        <v>37.74</v>
      </c>
      <c r="T231">
        <v>37</v>
      </c>
      <c r="U231">
        <v>92</v>
      </c>
    </row>
    <row r="232" spans="2:21" x14ac:dyDescent="0.25">
      <c r="B232" s="21">
        <v>46057</v>
      </c>
      <c r="C232">
        <v>46</v>
      </c>
      <c r="D232">
        <v>45</v>
      </c>
      <c r="E232">
        <v>55</v>
      </c>
      <c r="F232">
        <v>46</v>
      </c>
      <c r="G232">
        <v>35</v>
      </c>
      <c r="H232">
        <v>33</v>
      </c>
      <c r="I232">
        <v>40</v>
      </c>
      <c r="J232">
        <v>43</v>
      </c>
      <c r="K232">
        <v>51</v>
      </c>
      <c r="L232">
        <v>46</v>
      </c>
      <c r="M232">
        <v>54</v>
      </c>
      <c r="N232">
        <v>46</v>
      </c>
      <c r="O232" s="19">
        <f t="shared" si="23"/>
        <v>44</v>
      </c>
      <c r="P232" s="19">
        <f t="shared" si="24"/>
        <v>6.2</v>
      </c>
      <c r="T232">
        <v>41</v>
      </c>
      <c r="U232">
        <v>39</v>
      </c>
    </row>
    <row r="233" spans="2:21" x14ac:dyDescent="0.25">
      <c r="B233" s="21">
        <v>46058</v>
      </c>
      <c r="C233">
        <v>62</v>
      </c>
      <c r="D233">
        <v>62</v>
      </c>
      <c r="E233">
        <v>66</v>
      </c>
      <c r="F233">
        <v>118</v>
      </c>
      <c r="G233">
        <v>40</v>
      </c>
      <c r="H233">
        <v>183</v>
      </c>
      <c r="I233">
        <v>111</v>
      </c>
      <c r="J233">
        <v>146</v>
      </c>
      <c r="K233">
        <v>60</v>
      </c>
      <c r="L233">
        <v>55</v>
      </c>
      <c r="M233">
        <v>70</v>
      </c>
      <c r="N233">
        <v>62</v>
      </c>
      <c r="O233" s="19">
        <f t="shared" si="23"/>
        <v>85</v>
      </c>
      <c r="P233" s="19">
        <f t="shared" si="24"/>
        <v>39.909999999999997</v>
      </c>
      <c r="T233">
        <v>49</v>
      </c>
      <c r="U233">
        <v>99</v>
      </c>
    </row>
    <row r="234" spans="2:21" x14ac:dyDescent="0.25">
      <c r="B234" s="21">
        <v>46059</v>
      </c>
      <c r="C234">
        <v>166</v>
      </c>
      <c r="D234">
        <v>158</v>
      </c>
      <c r="E234">
        <v>166</v>
      </c>
      <c r="F234">
        <v>228</v>
      </c>
      <c r="G234">
        <v>97</v>
      </c>
      <c r="H234">
        <v>239</v>
      </c>
      <c r="I234">
        <v>133</v>
      </c>
      <c r="J234">
        <v>195</v>
      </c>
      <c r="K234">
        <v>119</v>
      </c>
      <c r="L234">
        <v>155</v>
      </c>
      <c r="M234">
        <v>141</v>
      </c>
      <c r="N234">
        <v>167</v>
      </c>
      <c r="O234" s="19">
        <f t="shared" si="23"/>
        <v>169</v>
      </c>
      <c r="P234" s="19">
        <f t="shared" si="24"/>
        <v>39.29</v>
      </c>
      <c r="T234">
        <v>181</v>
      </c>
      <c r="U234">
        <v>217</v>
      </c>
    </row>
    <row r="235" spans="2:21" x14ac:dyDescent="0.25">
      <c r="B235" s="21">
        <v>46060</v>
      </c>
      <c r="C235">
        <v>180</v>
      </c>
      <c r="D235">
        <v>192</v>
      </c>
      <c r="E235">
        <v>186</v>
      </c>
      <c r="F235">
        <v>226</v>
      </c>
      <c r="G235">
        <v>56</v>
      </c>
      <c r="H235">
        <v>190</v>
      </c>
      <c r="I235">
        <v>165</v>
      </c>
      <c r="J235">
        <v>190</v>
      </c>
      <c r="K235">
        <v>161</v>
      </c>
      <c r="L235">
        <v>190</v>
      </c>
      <c r="M235">
        <v>222</v>
      </c>
      <c r="N235">
        <v>190</v>
      </c>
      <c r="O235" s="19">
        <f t="shared" si="23"/>
        <v>185</v>
      </c>
      <c r="P235" s="19">
        <f t="shared" si="24"/>
        <v>40.71</v>
      </c>
      <c r="T235">
        <v>226</v>
      </c>
      <c r="U235">
        <v>211</v>
      </c>
    </row>
    <row r="236" spans="2:21" x14ac:dyDescent="0.25">
      <c r="B236" s="21">
        <v>46061</v>
      </c>
      <c r="C236">
        <v>14</v>
      </c>
      <c r="D236">
        <v>11</v>
      </c>
      <c r="E236">
        <v>40</v>
      </c>
      <c r="F236">
        <v>20</v>
      </c>
      <c r="G236">
        <v>35</v>
      </c>
      <c r="H236">
        <v>16</v>
      </c>
      <c r="I236">
        <v>41</v>
      </c>
      <c r="J236">
        <v>23</v>
      </c>
      <c r="K236">
        <v>17</v>
      </c>
      <c r="L236">
        <v>16</v>
      </c>
      <c r="M236">
        <v>18</v>
      </c>
      <c r="N236">
        <v>13</v>
      </c>
      <c r="O236" s="19">
        <f t="shared" si="23"/>
        <v>23</v>
      </c>
      <c r="P236" s="19">
        <f t="shared" si="24"/>
        <v>11.06</v>
      </c>
      <c r="T236">
        <v>43</v>
      </c>
      <c r="U236">
        <v>15</v>
      </c>
    </row>
    <row r="237" spans="2:21" x14ac:dyDescent="0.25">
      <c r="B237" s="21">
        <v>46062</v>
      </c>
      <c r="C237">
        <v>41</v>
      </c>
      <c r="D237">
        <v>26</v>
      </c>
      <c r="E237">
        <v>55</v>
      </c>
      <c r="F237">
        <v>36</v>
      </c>
      <c r="G237">
        <v>36</v>
      </c>
      <c r="H237">
        <v>25</v>
      </c>
      <c r="I237">
        <v>46</v>
      </c>
      <c r="J237">
        <v>37</v>
      </c>
      <c r="K237">
        <v>43</v>
      </c>
      <c r="L237">
        <v>32</v>
      </c>
      <c r="M237">
        <v>39</v>
      </c>
      <c r="N237">
        <v>31</v>
      </c>
      <c r="O237" s="19">
        <f t="shared" si="23"/>
        <v>38</v>
      </c>
      <c r="P237" s="19">
        <f t="shared" si="24"/>
        <v>8.4600000000000009</v>
      </c>
      <c r="T237">
        <v>50</v>
      </c>
      <c r="U237">
        <v>30</v>
      </c>
    </row>
    <row r="238" spans="2:21" x14ac:dyDescent="0.25">
      <c r="B238" s="21">
        <v>46063</v>
      </c>
      <c r="C238">
        <v>49</v>
      </c>
      <c r="D238">
        <v>42</v>
      </c>
      <c r="E238">
        <v>48</v>
      </c>
      <c r="F238">
        <v>50</v>
      </c>
      <c r="G238">
        <v>35</v>
      </c>
      <c r="H238">
        <v>34</v>
      </c>
      <c r="I238">
        <v>39</v>
      </c>
      <c r="J238">
        <v>46</v>
      </c>
      <c r="K238">
        <v>51</v>
      </c>
      <c r="L238">
        <v>44</v>
      </c>
      <c r="M238">
        <v>48</v>
      </c>
      <c r="N238">
        <v>43</v>
      </c>
      <c r="O238" s="19">
        <f t="shared" si="23"/>
        <v>43</v>
      </c>
      <c r="P238" s="19">
        <f t="shared" si="24"/>
        <v>5.6</v>
      </c>
      <c r="T238">
        <v>35</v>
      </c>
      <c r="U238">
        <v>41</v>
      </c>
    </row>
    <row r="239" spans="2:21" x14ac:dyDescent="0.25">
      <c r="B239" s="21">
        <v>46064</v>
      </c>
      <c r="C239">
        <v>50</v>
      </c>
      <c r="D239">
        <v>52</v>
      </c>
      <c r="E239">
        <v>59</v>
      </c>
      <c r="F239">
        <v>112</v>
      </c>
      <c r="G239">
        <v>39</v>
      </c>
      <c r="H239">
        <v>179</v>
      </c>
      <c r="I239">
        <v>83</v>
      </c>
      <c r="J239">
        <v>141</v>
      </c>
      <c r="K239">
        <v>50</v>
      </c>
      <c r="L239">
        <v>43</v>
      </c>
      <c r="M239">
        <v>52</v>
      </c>
      <c r="N239">
        <v>52</v>
      </c>
      <c r="O239" s="19">
        <f t="shared" si="23"/>
        <v>74</v>
      </c>
      <c r="P239" s="19">
        <f t="shared" si="24"/>
        <v>41.52</v>
      </c>
      <c r="T239">
        <v>34</v>
      </c>
      <c r="U239">
        <v>96</v>
      </c>
    </row>
    <row r="240" spans="2:21" x14ac:dyDescent="0.25">
      <c r="B240" s="21">
        <v>46065</v>
      </c>
      <c r="C240">
        <v>67</v>
      </c>
      <c r="D240">
        <v>73</v>
      </c>
      <c r="E240">
        <v>88</v>
      </c>
      <c r="F240">
        <v>138</v>
      </c>
      <c r="G240">
        <v>116</v>
      </c>
      <c r="H240">
        <v>219</v>
      </c>
      <c r="I240">
        <v>133</v>
      </c>
      <c r="J240">
        <v>171</v>
      </c>
      <c r="K240">
        <v>74</v>
      </c>
      <c r="L240">
        <v>63</v>
      </c>
      <c r="M240">
        <v>69</v>
      </c>
      <c r="N240">
        <v>76</v>
      </c>
      <c r="O240" s="19">
        <f t="shared" si="23"/>
        <v>105</v>
      </c>
      <c r="P240" s="19">
        <f t="shared" si="24"/>
        <v>45.18</v>
      </c>
      <c r="T240">
        <v>67</v>
      </c>
      <c r="U240">
        <v>118</v>
      </c>
    </row>
    <row r="241" spans="2:21" x14ac:dyDescent="0.25">
      <c r="B241" s="21">
        <v>46066</v>
      </c>
      <c r="C241">
        <v>126</v>
      </c>
      <c r="D241">
        <v>131</v>
      </c>
      <c r="E241">
        <v>120</v>
      </c>
      <c r="F241">
        <v>175</v>
      </c>
      <c r="G241">
        <v>118</v>
      </c>
      <c r="H241">
        <v>239</v>
      </c>
      <c r="I241">
        <v>172</v>
      </c>
      <c r="J241">
        <v>203</v>
      </c>
      <c r="K241">
        <v>143</v>
      </c>
      <c r="L241">
        <v>124</v>
      </c>
      <c r="M241">
        <v>125</v>
      </c>
      <c r="N241">
        <v>132</v>
      </c>
      <c r="O241" s="19">
        <f t="shared" si="23"/>
        <v>151</v>
      </c>
      <c r="P241" s="19">
        <f t="shared" si="24"/>
        <v>34.520000000000003</v>
      </c>
      <c r="T241">
        <v>137</v>
      </c>
      <c r="U241">
        <v>162</v>
      </c>
    </row>
    <row r="242" spans="2:21" x14ac:dyDescent="0.25">
      <c r="B242" s="21">
        <v>46067</v>
      </c>
      <c r="C242">
        <v>227</v>
      </c>
      <c r="D242">
        <v>192</v>
      </c>
      <c r="E242">
        <v>173</v>
      </c>
      <c r="F242">
        <v>238</v>
      </c>
      <c r="G242">
        <v>91</v>
      </c>
      <c r="H242">
        <v>237</v>
      </c>
      <c r="I242">
        <v>252</v>
      </c>
      <c r="J242">
        <v>225</v>
      </c>
      <c r="K242">
        <v>261</v>
      </c>
      <c r="L242">
        <v>250</v>
      </c>
      <c r="M242">
        <v>160</v>
      </c>
      <c r="N242">
        <v>228</v>
      </c>
      <c r="O242" s="19">
        <f t="shared" si="23"/>
        <v>216</v>
      </c>
      <c r="P242" s="19">
        <f t="shared" si="24"/>
        <v>45.19</v>
      </c>
      <c r="T242">
        <v>253</v>
      </c>
      <c r="U242">
        <v>233</v>
      </c>
    </row>
    <row r="243" spans="2:21" x14ac:dyDescent="0.25">
      <c r="B243" s="21">
        <v>46068</v>
      </c>
      <c r="C243">
        <v>60</v>
      </c>
      <c r="D243">
        <v>48</v>
      </c>
      <c r="E243">
        <v>61</v>
      </c>
      <c r="F243">
        <v>48</v>
      </c>
      <c r="G243">
        <v>35</v>
      </c>
      <c r="H243">
        <v>27</v>
      </c>
      <c r="I243">
        <v>51</v>
      </c>
      <c r="J243">
        <v>42</v>
      </c>
      <c r="K243">
        <v>66</v>
      </c>
      <c r="L243">
        <v>49</v>
      </c>
      <c r="M243">
        <v>69</v>
      </c>
      <c r="N243">
        <v>60</v>
      </c>
      <c r="O243" s="19">
        <f t="shared" si="23"/>
        <v>51</v>
      </c>
      <c r="P243" s="19">
        <f t="shared" si="24"/>
        <v>11.38</v>
      </c>
      <c r="T243">
        <v>53</v>
      </c>
      <c r="U243">
        <v>43</v>
      </c>
    </row>
    <row r="244" spans="2:21" x14ac:dyDescent="0.25">
      <c r="B244" s="21">
        <v>46069</v>
      </c>
      <c r="C244">
        <v>39</v>
      </c>
      <c r="D244">
        <v>39</v>
      </c>
      <c r="E244">
        <v>52</v>
      </c>
      <c r="F244">
        <v>64</v>
      </c>
      <c r="G244">
        <v>35</v>
      </c>
      <c r="H244">
        <v>64</v>
      </c>
      <c r="I244">
        <v>47</v>
      </c>
      <c r="J244">
        <v>64</v>
      </c>
      <c r="K244">
        <v>71</v>
      </c>
      <c r="L244">
        <v>48</v>
      </c>
      <c r="M244">
        <v>59</v>
      </c>
      <c r="N244">
        <v>39</v>
      </c>
      <c r="O244" s="19">
        <f t="shared" si="23"/>
        <v>51</v>
      </c>
      <c r="P244" s="19">
        <f t="shared" si="24"/>
        <v>11.13</v>
      </c>
      <c r="T244">
        <v>44</v>
      </c>
      <c r="U244">
        <v>52</v>
      </c>
    </row>
    <row r="245" spans="2:21" x14ac:dyDescent="0.25">
      <c r="B245" s="21">
        <v>46070</v>
      </c>
      <c r="C245">
        <v>56</v>
      </c>
      <c r="D245">
        <v>54</v>
      </c>
      <c r="E245">
        <v>48</v>
      </c>
      <c r="F245">
        <v>112</v>
      </c>
      <c r="G245">
        <v>39</v>
      </c>
      <c r="H245">
        <v>169</v>
      </c>
      <c r="I245">
        <v>69</v>
      </c>
      <c r="J245">
        <v>137</v>
      </c>
      <c r="K245">
        <v>56</v>
      </c>
      <c r="L245">
        <v>50</v>
      </c>
      <c r="M245">
        <v>57</v>
      </c>
      <c r="N245">
        <v>56</v>
      </c>
      <c r="O245" s="19">
        <f t="shared" si="23"/>
        <v>74</v>
      </c>
      <c r="P245" s="19">
        <f t="shared" si="24"/>
        <v>38.04</v>
      </c>
      <c r="T245">
        <v>38</v>
      </c>
      <c r="U245">
        <v>93</v>
      </c>
    </row>
    <row r="246" spans="2:21" x14ac:dyDescent="0.25">
      <c r="B246" s="21">
        <v>46071</v>
      </c>
      <c r="C246">
        <v>85</v>
      </c>
      <c r="D246">
        <v>69</v>
      </c>
      <c r="E246">
        <v>66</v>
      </c>
      <c r="F246">
        <v>155</v>
      </c>
      <c r="G246">
        <v>52</v>
      </c>
      <c r="H246">
        <v>218</v>
      </c>
      <c r="I246">
        <v>69</v>
      </c>
      <c r="J246">
        <v>162</v>
      </c>
      <c r="K246">
        <v>60</v>
      </c>
      <c r="L246">
        <v>74</v>
      </c>
      <c r="M246">
        <v>52</v>
      </c>
      <c r="N246">
        <v>84</v>
      </c>
      <c r="O246" s="19">
        <f t="shared" si="23"/>
        <v>96</v>
      </c>
      <c r="P246" s="19">
        <f t="shared" si="24"/>
        <v>48.51</v>
      </c>
      <c r="T246">
        <v>69</v>
      </c>
      <c r="U246">
        <v>131</v>
      </c>
    </row>
    <row r="247" spans="2:21" x14ac:dyDescent="0.25">
      <c r="B247" s="21">
        <v>46072</v>
      </c>
      <c r="C247">
        <v>46</v>
      </c>
      <c r="D247">
        <v>46</v>
      </c>
      <c r="E247">
        <v>66</v>
      </c>
      <c r="F247">
        <v>96</v>
      </c>
      <c r="G247">
        <v>114</v>
      </c>
      <c r="H247">
        <v>154</v>
      </c>
      <c r="I247">
        <v>107</v>
      </c>
      <c r="J247">
        <v>124</v>
      </c>
      <c r="K247">
        <v>55</v>
      </c>
      <c r="L247">
        <v>45</v>
      </c>
      <c r="M247">
        <v>46</v>
      </c>
      <c r="N247">
        <v>51</v>
      </c>
      <c r="O247" s="19">
        <f t="shared" si="23"/>
        <v>77</v>
      </c>
      <c r="P247" s="19">
        <f t="shared" si="24"/>
        <v>34.53</v>
      </c>
      <c r="T247">
        <v>50</v>
      </c>
      <c r="U247">
        <v>80</v>
      </c>
    </row>
    <row r="248" spans="2:21" x14ac:dyDescent="0.25">
      <c r="B248" s="21">
        <v>46073</v>
      </c>
      <c r="C248">
        <v>75</v>
      </c>
      <c r="D248">
        <v>69</v>
      </c>
      <c r="E248">
        <v>88</v>
      </c>
      <c r="F248">
        <v>81</v>
      </c>
      <c r="G248">
        <v>38</v>
      </c>
      <c r="H248">
        <v>55</v>
      </c>
      <c r="I248">
        <v>105</v>
      </c>
      <c r="J248">
        <v>73</v>
      </c>
      <c r="K248">
        <v>68</v>
      </c>
      <c r="L248">
        <v>83</v>
      </c>
      <c r="M248">
        <v>95</v>
      </c>
      <c r="N248">
        <v>72</v>
      </c>
      <c r="O248" s="19">
        <f t="shared" si="23"/>
        <v>79</v>
      </c>
      <c r="P248" s="19">
        <f t="shared" si="24"/>
        <v>20.66</v>
      </c>
      <c r="T248">
        <v>127</v>
      </c>
      <c r="U248">
        <v>71</v>
      </c>
    </row>
    <row r="249" spans="2:21" x14ac:dyDescent="0.25">
      <c r="B249" s="21">
        <v>46074</v>
      </c>
      <c r="C249">
        <v>163</v>
      </c>
      <c r="D249">
        <v>155</v>
      </c>
      <c r="E249">
        <v>134</v>
      </c>
      <c r="F249">
        <v>146</v>
      </c>
      <c r="G249">
        <v>38</v>
      </c>
      <c r="H249">
        <v>146</v>
      </c>
      <c r="I249">
        <v>195</v>
      </c>
      <c r="J249">
        <v>163</v>
      </c>
      <c r="K249">
        <v>137</v>
      </c>
      <c r="L249">
        <v>161</v>
      </c>
      <c r="M249">
        <v>173</v>
      </c>
      <c r="N249">
        <v>161</v>
      </c>
      <c r="O249" s="19">
        <f t="shared" si="23"/>
        <v>144</v>
      </c>
      <c r="P249" s="19">
        <f t="shared" si="24"/>
        <v>36.06</v>
      </c>
      <c r="T249">
        <v>100</v>
      </c>
      <c r="U249">
        <v>148</v>
      </c>
    </row>
    <row r="250" spans="2:21" x14ac:dyDescent="0.25">
      <c r="B250" s="21">
        <v>46075</v>
      </c>
      <c r="C250">
        <v>43</v>
      </c>
      <c r="D250">
        <v>40</v>
      </c>
      <c r="E250">
        <v>46</v>
      </c>
      <c r="F250">
        <v>87</v>
      </c>
      <c r="G250">
        <v>35</v>
      </c>
      <c r="H250">
        <v>91</v>
      </c>
      <c r="I250">
        <v>42</v>
      </c>
      <c r="J250">
        <v>91</v>
      </c>
      <c r="K250">
        <v>45</v>
      </c>
      <c r="L250">
        <v>39</v>
      </c>
      <c r="M250">
        <v>66</v>
      </c>
      <c r="N250">
        <v>38</v>
      </c>
      <c r="O250" s="19">
        <f t="shared" si="23"/>
        <v>56</v>
      </c>
      <c r="P250" s="19">
        <f t="shared" si="24"/>
        <v>20.079999999999998</v>
      </c>
      <c r="T250">
        <v>46</v>
      </c>
      <c r="U250">
        <v>68</v>
      </c>
    </row>
    <row r="251" spans="2:21" x14ac:dyDescent="0.25">
      <c r="B251" s="21">
        <v>46076</v>
      </c>
      <c r="C251">
        <v>56</v>
      </c>
      <c r="D251">
        <v>49</v>
      </c>
      <c r="E251">
        <v>48</v>
      </c>
      <c r="F251">
        <v>47</v>
      </c>
      <c r="G251">
        <v>35</v>
      </c>
      <c r="H251">
        <v>28</v>
      </c>
      <c r="I251">
        <v>51</v>
      </c>
      <c r="J251">
        <v>41</v>
      </c>
      <c r="K251">
        <v>64</v>
      </c>
      <c r="L251">
        <v>52</v>
      </c>
      <c r="M251">
        <v>66</v>
      </c>
      <c r="N251">
        <v>54</v>
      </c>
      <c r="O251" s="19">
        <f t="shared" si="23"/>
        <v>48</v>
      </c>
      <c r="P251" s="19">
        <f t="shared" si="24"/>
        <v>10.029999999999999</v>
      </c>
      <c r="T251">
        <v>41</v>
      </c>
      <c r="U251">
        <v>42</v>
      </c>
    </row>
    <row r="252" spans="2:21" x14ac:dyDescent="0.25">
      <c r="B252" s="21">
        <v>46077</v>
      </c>
      <c r="C252">
        <v>66</v>
      </c>
      <c r="D252">
        <v>59</v>
      </c>
      <c r="E252">
        <v>52</v>
      </c>
      <c r="F252">
        <v>111</v>
      </c>
      <c r="G252">
        <v>36</v>
      </c>
      <c r="H252">
        <v>156</v>
      </c>
      <c r="I252">
        <v>57</v>
      </c>
      <c r="J252">
        <v>126</v>
      </c>
      <c r="K252">
        <v>48</v>
      </c>
      <c r="L252">
        <v>57</v>
      </c>
      <c r="M252">
        <v>51</v>
      </c>
      <c r="N252">
        <v>64</v>
      </c>
      <c r="O252" s="19">
        <f t="shared" si="23"/>
        <v>73</v>
      </c>
      <c r="P252" s="19">
        <f t="shared" si="24"/>
        <v>34.14</v>
      </c>
      <c r="T252">
        <v>44</v>
      </c>
      <c r="U252">
        <v>97</v>
      </c>
    </row>
    <row r="253" spans="2:21" x14ac:dyDescent="0.25">
      <c r="B253" s="21">
        <v>46078</v>
      </c>
      <c r="C253">
        <v>37</v>
      </c>
      <c r="D253">
        <v>38</v>
      </c>
      <c r="E253">
        <v>51</v>
      </c>
      <c r="F253">
        <v>37</v>
      </c>
      <c r="G253">
        <v>35</v>
      </c>
      <c r="H253">
        <v>31</v>
      </c>
      <c r="I253">
        <v>42</v>
      </c>
      <c r="J253">
        <v>38</v>
      </c>
      <c r="K253">
        <v>42</v>
      </c>
      <c r="L253">
        <v>39</v>
      </c>
      <c r="M253">
        <v>33</v>
      </c>
      <c r="N253">
        <v>30</v>
      </c>
      <c r="O253" s="19">
        <f t="shared" si="23"/>
        <v>38</v>
      </c>
      <c r="P253" s="19">
        <f t="shared" si="24"/>
        <v>5.53</v>
      </c>
      <c r="T253">
        <v>42</v>
      </c>
      <c r="U253">
        <v>30</v>
      </c>
    </row>
    <row r="254" spans="2:21" x14ac:dyDescent="0.25">
      <c r="B254" s="21">
        <v>46079</v>
      </c>
      <c r="C254">
        <v>54</v>
      </c>
      <c r="D254">
        <v>53</v>
      </c>
      <c r="E254">
        <v>62</v>
      </c>
      <c r="F254">
        <v>98</v>
      </c>
      <c r="G254">
        <v>37</v>
      </c>
      <c r="H254">
        <v>149</v>
      </c>
      <c r="I254">
        <v>77</v>
      </c>
      <c r="J254">
        <v>123</v>
      </c>
      <c r="K254">
        <v>57</v>
      </c>
      <c r="L254">
        <v>51</v>
      </c>
      <c r="M254">
        <v>82</v>
      </c>
      <c r="N254">
        <v>54</v>
      </c>
      <c r="O254" s="19">
        <f t="shared" si="23"/>
        <v>73</v>
      </c>
      <c r="P254" s="19">
        <f t="shared" si="24"/>
        <v>30.73</v>
      </c>
      <c r="T254">
        <v>44</v>
      </c>
      <c r="U254">
        <v>83</v>
      </c>
    </row>
    <row r="255" spans="2:21" x14ac:dyDescent="0.25">
      <c r="B255" s="21">
        <v>46080</v>
      </c>
      <c r="C255">
        <v>90</v>
      </c>
      <c r="D255">
        <v>79</v>
      </c>
      <c r="E255">
        <v>75</v>
      </c>
      <c r="F255">
        <v>73</v>
      </c>
      <c r="G255">
        <v>35</v>
      </c>
      <c r="H255">
        <v>52</v>
      </c>
      <c r="I255">
        <v>58</v>
      </c>
      <c r="J255">
        <v>71</v>
      </c>
      <c r="K255">
        <v>70</v>
      </c>
      <c r="L255">
        <v>85</v>
      </c>
      <c r="M255">
        <v>113</v>
      </c>
      <c r="N255">
        <v>81</v>
      </c>
      <c r="O255" s="19">
        <f t="shared" si="23"/>
        <v>72</v>
      </c>
      <c r="P255" s="19">
        <f t="shared" si="24"/>
        <v>18.149999999999999</v>
      </c>
      <c r="T255">
        <v>54</v>
      </c>
      <c r="U255">
        <v>70</v>
      </c>
    </row>
    <row r="256" spans="2:21" x14ac:dyDescent="0.25">
      <c r="B256" s="21">
        <v>46081</v>
      </c>
      <c r="C256">
        <v>146</v>
      </c>
      <c r="D256">
        <v>154</v>
      </c>
      <c r="E256">
        <v>131</v>
      </c>
      <c r="F256">
        <v>180</v>
      </c>
      <c r="G256">
        <v>139</v>
      </c>
      <c r="H256">
        <v>223</v>
      </c>
      <c r="I256">
        <v>213</v>
      </c>
      <c r="J256">
        <v>204</v>
      </c>
      <c r="K256">
        <v>162</v>
      </c>
      <c r="L256">
        <v>149</v>
      </c>
      <c r="M256">
        <v>152</v>
      </c>
      <c r="N256">
        <v>149</v>
      </c>
      <c r="O256" s="19">
        <f t="shared" si="23"/>
        <v>168</v>
      </c>
      <c r="P256" s="19">
        <f t="shared" si="24"/>
        <v>27.36</v>
      </c>
      <c r="T256">
        <v>175</v>
      </c>
      <c r="U256">
        <v>174</v>
      </c>
    </row>
    <row r="257" spans="2:21" x14ac:dyDescent="0.25">
      <c r="B257" s="21">
        <v>46082</v>
      </c>
      <c r="C257">
        <v>47</v>
      </c>
      <c r="D257">
        <v>44</v>
      </c>
      <c r="E257">
        <v>53</v>
      </c>
      <c r="F257">
        <v>26</v>
      </c>
      <c r="G257">
        <v>35</v>
      </c>
      <c r="H257">
        <v>9</v>
      </c>
      <c r="I257">
        <v>51</v>
      </c>
      <c r="J257">
        <v>21</v>
      </c>
      <c r="K257">
        <v>48</v>
      </c>
      <c r="L257">
        <v>42</v>
      </c>
      <c r="M257">
        <v>47</v>
      </c>
      <c r="N257">
        <v>45</v>
      </c>
      <c r="O257" s="19">
        <f t="shared" si="23"/>
        <v>39</v>
      </c>
      <c r="P257" s="19">
        <f t="shared" si="24"/>
        <v>12.23</v>
      </c>
      <c r="T257">
        <v>43</v>
      </c>
      <c r="U257">
        <v>32</v>
      </c>
    </row>
    <row r="258" spans="2:21" x14ac:dyDescent="0.25">
      <c r="B258" s="21">
        <v>46083</v>
      </c>
      <c r="C258">
        <v>53</v>
      </c>
      <c r="D258">
        <v>50</v>
      </c>
      <c r="E258">
        <v>47</v>
      </c>
      <c r="F258">
        <v>58</v>
      </c>
      <c r="G258">
        <v>35</v>
      </c>
      <c r="H258">
        <v>54</v>
      </c>
      <c r="I258">
        <v>52</v>
      </c>
      <c r="J258">
        <v>61</v>
      </c>
      <c r="K258">
        <v>55</v>
      </c>
      <c r="L258">
        <v>59</v>
      </c>
      <c r="M258">
        <v>53</v>
      </c>
      <c r="N258">
        <v>56</v>
      </c>
      <c r="O258" s="19">
        <f t="shared" si="23"/>
        <v>52</v>
      </c>
      <c r="P258" s="19">
        <f t="shared" si="24"/>
        <v>6.27</v>
      </c>
      <c r="T258">
        <v>46</v>
      </c>
      <c r="U258">
        <v>53</v>
      </c>
    </row>
    <row r="259" spans="2:21" x14ac:dyDescent="0.25">
      <c r="B259" s="21">
        <v>46084</v>
      </c>
      <c r="C259">
        <v>62</v>
      </c>
      <c r="D259">
        <v>60</v>
      </c>
      <c r="E259">
        <v>52</v>
      </c>
      <c r="F259">
        <v>67</v>
      </c>
      <c r="G259">
        <v>35</v>
      </c>
      <c r="H259">
        <v>66</v>
      </c>
      <c r="I259">
        <v>57</v>
      </c>
      <c r="J259">
        <v>77</v>
      </c>
      <c r="K259">
        <v>60</v>
      </c>
      <c r="L259">
        <v>59</v>
      </c>
      <c r="M259">
        <v>63</v>
      </c>
      <c r="N259">
        <v>59</v>
      </c>
      <c r="O259" s="19">
        <f t="shared" si="23"/>
        <v>60</v>
      </c>
      <c r="P259" s="19">
        <f t="shared" si="24"/>
        <v>8.9600000000000009</v>
      </c>
      <c r="T259">
        <v>54</v>
      </c>
      <c r="U259">
        <v>62</v>
      </c>
    </row>
    <row r="260" spans="2:21" x14ac:dyDescent="0.25">
      <c r="B260" s="21">
        <v>46085</v>
      </c>
      <c r="C260">
        <v>46</v>
      </c>
      <c r="D260">
        <v>42</v>
      </c>
      <c r="E260">
        <v>59</v>
      </c>
      <c r="F260">
        <v>26</v>
      </c>
      <c r="G260">
        <v>35</v>
      </c>
      <c r="H260">
        <v>13</v>
      </c>
      <c r="I260">
        <v>43</v>
      </c>
      <c r="J260">
        <v>19</v>
      </c>
      <c r="K260">
        <v>37</v>
      </c>
      <c r="L260">
        <v>50</v>
      </c>
      <c r="M260">
        <v>41</v>
      </c>
      <c r="N260">
        <v>44</v>
      </c>
      <c r="O260" s="19">
        <f t="shared" si="23"/>
        <v>39</v>
      </c>
      <c r="P260" s="19">
        <f t="shared" si="24"/>
        <v>12.42</v>
      </c>
      <c r="T260">
        <v>54</v>
      </c>
      <c r="U260">
        <v>32</v>
      </c>
    </row>
    <row r="261" spans="2:21" x14ac:dyDescent="0.25">
      <c r="B261" s="21">
        <v>46086</v>
      </c>
      <c r="C261">
        <v>42</v>
      </c>
      <c r="D261">
        <v>40</v>
      </c>
      <c r="E261">
        <v>56</v>
      </c>
      <c r="F261">
        <v>71</v>
      </c>
      <c r="G261">
        <v>53</v>
      </c>
      <c r="H261">
        <v>101</v>
      </c>
      <c r="I261">
        <v>82</v>
      </c>
      <c r="J261">
        <v>91</v>
      </c>
      <c r="K261">
        <v>46</v>
      </c>
      <c r="L261">
        <v>40</v>
      </c>
      <c r="M261">
        <v>48</v>
      </c>
      <c r="N261">
        <v>41</v>
      </c>
      <c r="O261" s="19">
        <f t="shared" si="23"/>
        <v>58</v>
      </c>
      <c r="P261" s="19">
        <f t="shared" si="24"/>
        <v>19.71</v>
      </c>
      <c r="T261">
        <v>41</v>
      </c>
      <c r="U261">
        <v>59</v>
      </c>
    </row>
    <row r="262" spans="2:21" x14ac:dyDescent="0.25">
      <c r="B262" s="21">
        <v>46087</v>
      </c>
      <c r="C262">
        <v>64</v>
      </c>
      <c r="D262">
        <v>66</v>
      </c>
      <c r="E262">
        <v>67</v>
      </c>
      <c r="F262">
        <v>65</v>
      </c>
      <c r="G262">
        <v>89</v>
      </c>
      <c r="H262">
        <v>57</v>
      </c>
      <c r="I262">
        <v>127</v>
      </c>
      <c r="J262">
        <v>74</v>
      </c>
      <c r="K262">
        <v>60</v>
      </c>
      <c r="L262">
        <v>61</v>
      </c>
      <c r="M262">
        <v>67</v>
      </c>
      <c r="N262">
        <v>64</v>
      </c>
      <c r="O262" s="19">
        <f t="shared" ref="O262:O263" si="25">ROUND(AVERAGE(C262:N262,T262,U262),0)</f>
        <v>72</v>
      </c>
      <c r="P262" s="19">
        <f t="shared" ref="P262:P263" si="26">ROUND(_xlfn.STDEV.P(C262:N262,T262,U262),2)</f>
        <v>17.55</v>
      </c>
      <c r="T262">
        <v>83</v>
      </c>
      <c r="U262">
        <v>61</v>
      </c>
    </row>
    <row r="263" spans="2:21" x14ac:dyDescent="0.25">
      <c r="B263" s="21">
        <v>46088</v>
      </c>
      <c r="C263">
        <v>169</v>
      </c>
      <c r="D263">
        <v>155</v>
      </c>
      <c r="E263">
        <v>145</v>
      </c>
      <c r="F263">
        <v>103</v>
      </c>
      <c r="G263">
        <v>43</v>
      </c>
      <c r="H263">
        <v>37</v>
      </c>
      <c r="I263">
        <v>167</v>
      </c>
      <c r="J263">
        <v>81</v>
      </c>
      <c r="K263">
        <v>153</v>
      </c>
      <c r="L263">
        <v>166</v>
      </c>
      <c r="M263">
        <v>134</v>
      </c>
      <c r="N263">
        <v>167</v>
      </c>
      <c r="O263" s="19">
        <f t="shared" si="25"/>
        <v>129</v>
      </c>
      <c r="P263" s="19">
        <f t="shared" si="26"/>
        <v>44.42</v>
      </c>
      <c r="T263">
        <v>164</v>
      </c>
      <c r="U263">
        <v>116</v>
      </c>
    </row>
    <row r="264" spans="2:21" x14ac:dyDescent="0.25">
      <c r="B264" s="33"/>
      <c r="C264" s="59" t="s">
        <v>53</v>
      </c>
      <c r="D264" s="60"/>
      <c r="E264" s="60" t="s">
        <v>57</v>
      </c>
      <c r="F264" s="60"/>
      <c r="G264" s="60" t="s">
        <v>54</v>
      </c>
      <c r="H264" s="60"/>
      <c r="I264" s="60" t="s">
        <v>58</v>
      </c>
      <c r="J264" s="60"/>
      <c r="K264" s="60" t="s">
        <v>55</v>
      </c>
      <c r="L264" s="60"/>
      <c r="M264" s="60" t="s">
        <v>56</v>
      </c>
      <c r="N264" s="61"/>
      <c r="O264" s="48"/>
      <c r="P264" s="49"/>
      <c r="T264" s="53" t="s">
        <v>72</v>
      </c>
      <c r="U264" s="53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114:N135">
    <cfRule type="expression" dxfId="2" priority="1">
      <formula>ABS(C114-$A114)&lt;=15</formula>
    </cfRule>
  </conditionalFormatting>
  <conditionalFormatting sqref="R3:R32 R34:R53 R55:R60 R62:R203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3" t="s">
        <v>44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2026-01-07T19:27:30Z</dcterms:modified>
</cp:coreProperties>
</file>