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Objects="none"/>
  <mc:AlternateContent xmlns:mc="http://schemas.openxmlformats.org/markup-compatibility/2006">
    <mc:Choice Requires="x15">
      <x15ac:absPath xmlns:x15ac="http://schemas.microsoft.com/office/spreadsheetml/2010/11/ac" url="C:\Users\cardi\Documents\git-repo\swe_dev\restaurant_analytics\data\"/>
    </mc:Choice>
  </mc:AlternateContent>
  <xr:revisionPtr revIDLastSave="0" documentId="13_ncr:1_{A7754421-8C0D-4301-9CD9-8D4957DC7E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avg" sheetId="2" r:id="rId2"/>
    <sheet name="weighted" sheetId="4" r:id="rId3"/>
    <sheet name="sliding analysis" sheetId="6" r:id="rId4"/>
  </sheets>
  <definedNames>
    <definedName name="day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4" i="4" l="1"/>
  <c r="P264" i="4"/>
  <c r="O265" i="4"/>
  <c r="P265" i="4"/>
  <c r="O266" i="4"/>
  <c r="P266" i="4"/>
  <c r="O267" i="4"/>
  <c r="P267" i="4"/>
  <c r="O268" i="4"/>
  <c r="P268" i="4"/>
  <c r="O269" i="4"/>
  <c r="P269" i="4"/>
  <c r="O270" i="4"/>
  <c r="P270" i="4"/>
  <c r="O271" i="4"/>
  <c r="P271" i="4"/>
  <c r="O272" i="4"/>
  <c r="P272" i="4"/>
  <c r="O273" i="4"/>
  <c r="P273" i="4"/>
  <c r="O274" i="4"/>
  <c r="P274" i="4"/>
  <c r="O275" i="4"/>
  <c r="P275" i="4"/>
  <c r="O276" i="4"/>
  <c r="P276" i="4"/>
  <c r="O277" i="4"/>
  <c r="P277" i="4"/>
  <c r="O278" i="4"/>
  <c r="P278" i="4"/>
  <c r="O279" i="4"/>
  <c r="P279" i="4"/>
  <c r="O280" i="4"/>
  <c r="P280" i="4"/>
  <c r="O281" i="4"/>
  <c r="P281" i="4"/>
  <c r="O282" i="4"/>
  <c r="P282" i="4"/>
  <c r="O283" i="4"/>
  <c r="P283" i="4"/>
  <c r="O284" i="4"/>
  <c r="P284" i="4"/>
  <c r="O285" i="4"/>
  <c r="P285" i="4"/>
  <c r="O286" i="4"/>
  <c r="P286" i="4"/>
  <c r="O287" i="4"/>
  <c r="P287" i="4"/>
  <c r="O288" i="4"/>
  <c r="P288" i="4"/>
  <c r="O289" i="4"/>
  <c r="P289" i="4"/>
  <c r="O265" i="2"/>
  <c r="P265" i="2"/>
  <c r="O266" i="2"/>
  <c r="P266" i="2"/>
  <c r="O267" i="2"/>
  <c r="P267" i="2"/>
  <c r="O268" i="2"/>
  <c r="P268" i="2"/>
  <c r="O269" i="2"/>
  <c r="P269" i="2"/>
  <c r="O270" i="2"/>
  <c r="P270" i="2"/>
  <c r="O271" i="2"/>
  <c r="P271" i="2"/>
  <c r="O272" i="2"/>
  <c r="P272" i="2"/>
  <c r="O273" i="2"/>
  <c r="P273" i="2"/>
  <c r="O274" i="2"/>
  <c r="P274" i="2"/>
  <c r="O275" i="2"/>
  <c r="P275" i="2"/>
  <c r="O276" i="2"/>
  <c r="P276" i="2"/>
  <c r="O277" i="2"/>
  <c r="P277" i="2"/>
  <c r="O278" i="2"/>
  <c r="P278" i="2"/>
  <c r="O279" i="2"/>
  <c r="P279" i="2"/>
  <c r="O280" i="2"/>
  <c r="P280" i="2"/>
  <c r="O281" i="2"/>
  <c r="P281" i="2"/>
  <c r="O282" i="2"/>
  <c r="P282" i="2"/>
  <c r="O283" i="2"/>
  <c r="P283" i="2"/>
  <c r="O284" i="2"/>
  <c r="P284" i="2"/>
  <c r="O285" i="2"/>
  <c r="P285" i="2"/>
  <c r="O286" i="2"/>
  <c r="P286" i="2"/>
  <c r="O287" i="2"/>
  <c r="P287" i="2"/>
  <c r="O288" i="2"/>
  <c r="P288" i="2"/>
  <c r="O289" i="2"/>
  <c r="P289" i="2"/>
  <c r="O264" i="2"/>
  <c r="P264" i="2"/>
  <c r="R245" i="2"/>
  <c r="S245" i="2"/>
  <c r="R246" i="2"/>
  <c r="S246" i="2"/>
  <c r="R247" i="2"/>
  <c r="S247" i="2"/>
  <c r="R248" i="2"/>
  <c r="S248" i="2"/>
  <c r="R249" i="2"/>
  <c r="S249" i="2"/>
  <c r="R250" i="2"/>
  <c r="S250" i="2"/>
  <c r="R251" i="2"/>
  <c r="S251" i="2"/>
  <c r="R252" i="2"/>
  <c r="S252" i="2"/>
  <c r="R253" i="2"/>
  <c r="S253" i="2"/>
  <c r="R254" i="2"/>
  <c r="S254" i="2"/>
  <c r="R255" i="2"/>
  <c r="S255" i="2"/>
  <c r="R256" i="2"/>
  <c r="S256" i="2"/>
  <c r="R257" i="2"/>
  <c r="S257" i="2"/>
  <c r="R258" i="2"/>
  <c r="S258" i="2"/>
  <c r="R245" i="4"/>
  <c r="S245" i="4"/>
  <c r="R246" i="4"/>
  <c r="S246" i="4"/>
  <c r="R247" i="4"/>
  <c r="S247" i="4"/>
  <c r="R248" i="4"/>
  <c r="S248" i="4"/>
  <c r="R249" i="4"/>
  <c r="S249" i="4"/>
  <c r="R250" i="4"/>
  <c r="S250" i="4"/>
  <c r="R251" i="4"/>
  <c r="S251" i="4"/>
  <c r="R252" i="4"/>
  <c r="S252" i="4"/>
  <c r="R253" i="4"/>
  <c r="S253" i="4"/>
  <c r="R254" i="4"/>
  <c r="S254" i="4"/>
  <c r="R255" i="4"/>
  <c r="S255" i="4"/>
  <c r="R256" i="4"/>
  <c r="S256" i="4"/>
  <c r="R257" i="4"/>
  <c r="S257" i="4"/>
  <c r="R258" i="4"/>
  <c r="S258" i="4"/>
  <c r="O245" i="2"/>
  <c r="S236" i="2"/>
  <c r="R235" i="2"/>
  <c r="S235" i="2"/>
  <c r="R236" i="2"/>
  <c r="R237" i="2"/>
  <c r="S237" i="2"/>
  <c r="R238" i="2"/>
  <c r="S238" i="2"/>
  <c r="R239" i="2"/>
  <c r="S239" i="2"/>
  <c r="R240" i="2"/>
  <c r="S240" i="2"/>
  <c r="R241" i="2"/>
  <c r="S241" i="2"/>
  <c r="R242" i="2"/>
  <c r="S242" i="2"/>
  <c r="R243" i="2"/>
  <c r="S243" i="2"/>
  <c r="R244" i="2"/>
  <c r="S244" i="2"/>
  <c r="S236" i="4"/>
  <c r="R235" i="4"/>
  <c r="S235" i="4"/>
  <c r="R236" i="4"/>
  <c r="R237" i="4"/>
  <c r="S237" i="4"/>
  <c r="R238" i="4"/>
  <c r="S238" i="4"/>
  <c r="R239" i="4"/>
  <c r="S239" i="4"/>
  <c r="R240" i="4"/>
  <c r="S240" i="4"/>
  <c r="R241" i="4"/>
  <c r="S241" i="4"/>
  <c r="R242" i="4"/>
  <c r="S242" i="4"/>
  <c r="R243" i="4"/>
  <c r="S243" i="4"/>
  <c r="R244" i="4"/>
  <c r="S244" i="4"/>
  <c r="R231" i="4"/>
  <c r="S231" i="4"/>
  <c r="R232" i="4"/>
  <c r="S232" i="4"/>
  <c r="R233" i="4"/>
  <c r="S233" i="4"/>
  <c r="R234" i="4"/>
  <c r="S234" i="4"/>
  <c r="O242" i="2"/>
  <c r="P291" i="2"/>
  <c r="O291" i="2"/>
  <c r="P290" i="2"/>
  <c r="O290" i="2"/>
  <c r="R224" i="4"/>
  <c r="S224" i="4"/>
  <c r="R225" i="4"/>
  <c r="S225" i="4"/>
  <c r="R226" i="4"/>
  <c r="S226" i="4"/>
  <c r="R227" i="4"/>
  <c r="S227" i="4"/>
  <c r="R228" i="4"/>
  <c r="S228" i="4"/>
  <c r="R229" i="4"/>
  <c r="S229" i="4"/>
  <c r="R230" i="4"/>
  <c r="S230" i="4"/>
  <c r="S163" i="4" l="1"/>
  <c r="S17" i="4"/>
  <c r="S76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O242" i="4"/>
  <c r="R207" i="2" l="1"/>
  <c r="S207" i="2"/>
  <c r="R208" i="2"/>
  <c r="O194" i="4"/>
  <c r="P193" i="4"/>
  <c r="R175" i="4"/>
  <c r="S175" i="4"/>
  <c r="R176" i="4"/>
  <c r="S176" i="4"/>
  <c r="R177" i="4"/>
  <c r="S177" i="4"/>
  <c r="R178" i="4"/>
  <c r="S178" i="4"/>
  <c r="R179" i="4"/>
  <c r="S179" i="4"/>
  <c r="R180" i="4"/>
  <c r="S180" i="4"/>
  <c r="R181" i="4"/>
  <c r="S181" i="4"/>
  <c r="R182" i="4"/>
  <c r="S182" i="4"/>
  <c r="R183" i="4"/>
  <c r="S183" i="4"/>
  <c r="R184" i="4"/>
  <c r="S184" i="4"/>
  <c r="R185" i="4"/>
  <c r="S185" i="4"/>
  <c r="R186" i="4"/>
  <c r="S186" i="4"/>
  <c r="R187" i="4"/>
  <c r="S187" i="4"/>
  <c r="R188" i="4"/>
  <c r="S188" i="4"/>
  <c r="R189" i="4"/>
  <c r="S189" i="4"/>
  <c r="R190" i="4"/>
  <c r="S190" i="4"/>
  <c r="R191" i="4"/>
  <c r="S191" i="4"/>
  <c r="R192" i="4"/>
  <c r="S192" i="4"/>
  <c r="R193" i="4"/>
  <c r="S193" i="4"/>
  <c r="R194" i="4"/>
  <c r="S194" i="4"/>
  <c r="R195" i="4"/>
  <c r="S195" i="4"/>
  <c r="R196" i="4"/>
  <c r="S196" i="4"/>
  <c r="R197" i="4"/>
  <c r="S197" i="4"/>
  <c r="R199" i="2"/>
  <c r="S199" i="2"/>
  <c r="O198" i="4"/>
  <c r="P198" i="4"/>
  <c r="O199" i="4"/>
  <c r="R199" i="4" s="1"/>
  <c r="P199" i="4"/>
  <c r="O200" i="4"/>
  <c r="S200" i="4" s="1"/>
  <c r="P200" i="4"/>
  <c r="O201" i="4"/>
  <c r="R201" i="4" s="1"/>
  <c r="P201" i="4"/>
  <c r="O202" i="4"/>
  <c r="R202" i="4" s="1"/>
  <c r="P202" i="4"/>
  <c r="O203" i="4"/>
  <c r="R203" i="4" s="1"/>
  <c r="P203" i="4"/>
  <c r="O204" i="4"/>
  <c r="R204" i="4" s="1"/>
  <c r="P204" i="4"/>
  <c r="O205" i="4"/>
  <c r="R205" i="4" s="1"/>
  <c r="P205" i="4"/>
  <c r="O206" i="4"/>
  <c r="R206" i="4" s="1"/>
  <c r="P206" i="4"/>
  <c r="O207" i="4"/>
  <c r="R207" i="4" s="1"/>
  <c r="P207" i="4"/>
  <c r="O208" i="4"/>
  <c r="S208" i="4" s="1"/>
  <c r="P208" i="4"/>
  <c r="O209" i="4"/>
  <c r="P209" i="4"/>
  <c r="O210" i="4"/>
  <c r="P210" i="4"/>
  <c r="O211" i="4"/>
  <c r="P211" i="4"/>
  <c r="O212" i="4"/>
  <c r="P212" i="4"/>
  <c r="O213" i="4"/>
  <c r="P213" i="4"/>
  <c r="O214" i="4"/>
  <c r="P214" i="4"/>
  <c r="O215" i="4"/>
  <c r="P215" i="4"/>
  <c r="O216" i="4"/>
  <c r="P216" i="4"/>
  <c r="O217" i="4"/>
  <c r="P217" i="4"/>
  <c r="O218" i="4"/>
  <c r="P218" i="4"/>
  <c r="O219" i="4"/>
  <c r="P219" i="4"/>
  <c r="O220" i="4"/>
  <c r="P220" i="4"/>
  <c r="O221" i="4"/>
  <c r="P221" i="4"/>
  <c r="O222" i="4"/>
  <c r="P222" i="4"/>
  <c r="O223" i="4"/>
  <c r="P223" i="4"/>
  <c r="O224" i="4"/>
  <c r="P224" i="4"/>
  <c r="O225" i="4"/>
  <c r="P225" i="4"/>
  <c r="O226" i="4"/>
  <c r="P226" i="4"/>
  <c r="O227" i="4"/>
  <c r="P227" i="4"/>
  <c r="O228" i="4"/>
  <c r="P228" i="4"/>
  <c r="O229" i="4"/>
  <c r="P229" i="4"/>
  <c r="O230" i="4"/>
  <c r="P230" i="4"/>
  <c r="O231" i="4"/>
  <c r="P231" i="4"/>
  <c r="O232" i="4"/>
  <c r="P232" i="4"/>
  <c r="O233" i="4"/>
  <c r="P233" i="4"/>
  <c r="O234" i="4"/>
  <c r="P234" i="4"/>
  <c r="O235" i="4"/>
  <c r="P235" i="4"/>
  <c r="O236" i="4"/>
  <c r="P236" i="4"/>
  <c r="O237" i="4"/>
  <c r="P237" i="4"/>
  <c r="O238" i="4"/>
  <c r="P238" i="4"/>
  <c r="O239" i="4"/>
  <c r="P239" i="4"/>
  <c r="O240" i="4"/>
  <c r="P240" i="4"/>
  <c r="O241" i="4"/>
  <c r="P241" i="4"/>
  <c r="P242" i="4"/>
  <c r="O243" i="4"/>
  <c r="P243" i="4"/>
  <c r="O244" i="4"/>
  <c r="P244" i="4"/>
  <c r="O245" i="4"/>
  <c r="P245" i="4"/>
  <c r="O246" i="4"/>
  <c r="P246" i="4"/>
  <c r="O247" i="4"/>
  <c r="P247" i="4"/>
  <c r="O248" i="4"/>
  <c r="P248" i="4"/>
  <c r="O249" i="4"/>
  <c r="P249" i="4"/>
  <c r="O250" i="4"/>
  <c r="P250" i="4"/>
  <c r="O251" i="4"/>
  <c r="P251" i="4"/>
  <c r="O252" i="4"/>
  <c r="P252" i="4"/>
  <c r="O253" i="4"/>
  <c r="P253" i="4"/>
  <c r="O254" i="4"/>
  <c r="P254" i="4"/>
  <c r="O255" i="4"/>
  <c r="P255" i="4"/>
  <c r="O256" i="4"/>
  <c r="P256" i="4"/>
  <c r="O257" i="4"/>
  <c r="P257" i="4"/>
  <c r="O258" i="4"/>
  <c r="P258" i="4"/>
  <c r="O259" i="4"/>
  <c r="P259" i="4"/>
  <c r="O260" i="4"/>
  <c r="P260" i="4"/>
  <c r="O261" i="4"/>
  <c r="P261" i="4"/>
  <c r="O262" i="4"/>
  <c r="P262" i="4"/>
  <c r="O263" i="4"/>
  <c r="P263" i="4"/>
  <c r="O198" i="2"/>
  <c r="S198" i="2" s="1"/>
  <c r="P198" i="2"/>
  <c r="O199" i="2"/>
  <c r="P199" i="2"/>
  <c r="O200" i="2"/>
  <c r="R200" i="2" s="1"/>
  <c r="P200" i="2"/>
  <c r="O201" i="2"/>
  <c r="R201" i="2" s="1"/>
  <c r="P201" i="2"/>
  <c r="O202" i="2"/>
  <c r="R202" i="2" s="1"/>
  <c r="P202" i="2"/>
  <c r="O203" i="2"/>
  <c r="R203" i="2" s="1"/>
  <c r="P203" i="2"/>
  <c r="O204" i="2"/>
  <c r="R204" i="2" s="1"/>
  <c r="P204" i="2"/>
  <c r="O205" i="2"/>
  <c r="R205" i="2" s="1"/>
  <c r="P205" i="2"/>
  <c r="O206" i="2"/>
  <c r="R206" i="2" s="1"/>
  <c r="P206" i="2"/>
  <c r="O207" i="2"/>
  <c r="P207" i="2"/>
  <c r="O208" i="2"/>
  <c r="S208" i="2" s="1"/>
  <c r="P208" i="2"/>
  <c r="O209" i="2"/>
  <c r="P209" i="2"/>
  <c r="O210" i="2"/>
  <c r="P210" i="2"/>
  <c r="O211" i="2"/>
  <c r="P211" i="2"/>
  <c r="O212" i="2"/>
  <c r="P212" i="2"/>
  <c r="O213" i="2"/>
  <c r="P213" i="2"/>
  <c r="O214" i="2"/>
  <c r="P214" i="2"/>
  <c r="O215" i="2"/>
  <c r="P215" i="2"/>
  <c r="O216" i="2"/>
  <c r="P216" i="2"/>
  <c r="O217" i="2"/>
  <c r="P217" i="2"/>
  <c r="O218" i="2"/>
  <c r="P218" i="2"/>
  <c r="O219" i="2"/>
  <c r="P219" i="2"/>
  <c r="O220" i="2"/>
  <c r="P220" i="2"/>
  <c r="O221" i="2"/>
  <c r="P221" i="2"/>
  <c r="O222" i="2"/>
  <c r="P222" i="2"/>
  <c r="O223" i="2"/>
  <c r="P223" i="2"/>
  <c r="O224" i="2"/>
  <c r="P224" i="2"/>
  <c r="O225" i="2"/>
  <c r="P225" i="2"/>
  <c r="O226" i="2"/>
  <c r="P226" i="2"/>
  <c r="O227" i="2"/>
  <c r="P227" i="2"/>
  <c r="O228" i="2"/>
  <c r="P228" i="2"/>
  <c r="O229" i="2"/>
  <c r="P229" i="2"/>
  <c r="O230" i="2"/>
  <c r="P230" i="2"/>
  <c r="O231" i="2"/>
  <c r="P231" i="2"/>
  <c r="O232" i="2"/>
  <c r="P232" i="2"/>
  <c r="O233" i="2"/>
  <c r="P233" i="2"/>
  <c r="O234" i="2"/>
  <c r="P234" i="2"/>
  <c r="O235" i="2"/>
  <c r="P235" i="2"/>
  <c r="O236" i="2"/>
  <c r="P236" i="2"/>
  <c r="O237" i="2"/>
  <c r="P237" i="2"/>
  <c r="O238" i="2"/>
  <c r="P238" i="2"/>
  <c r="O239" i="2"/>
  <c r="P239" i="2"/>
  <c r="O240" i="2"/>
  <c r="P240" i="2"/>
  <c r="O241" i="2"/>
  <c r="P241" i="2"/>
  <c r="P242" i="2"/>
  <c r="O243" i="2"/>
  <c r="P243" i="2"/>
  <c r="O244" i="2"/>
  <c r="P244" i="2"/>
  <c r="P245" i="2"/>
  <c r="O246" i="2"/>
  <c r="P246" i="2"/>
  <c r="O247" i="2"/>
  <c r="P247" i="2"/>
  <c r="O248" i="2"/>
  <c r="P248" i="2"/>
  <c r="O249" i="2"/>
  <c r="P249" i="2"/>
  <c r="O250" i="2"/>
  <c r="P250" i="2"/>
  <c r="O251" i="2"/>
  <c r="P251" i="2"/>
  <c r="O252" i="2"/>
  <c r="P252" i="2"/>
  <c r="O253" i="2"/>
  <c r="P253" i="2"/>
  <c r="O254" i="2"/>
  <c r="P254" i="2"/>
  <c r="O255" i="2"/>
  <c r="P255" i="2"/>
  <c r="O256" i="2"/>
  <c r="P256" i="2"/>
  <c r="O257" i="2"/>
  <c r="P257" i="2"/>
  <c r="O258" i="2"/>
  <c r="P258" i="2"/>
  <c r="O259" i="2"/>
  <c r="P259" i="2"/>
  <c r="O260" i="2"/>
  <c r="P260" i="2"/>
  <c r="O261" i="2"/>
  <c r="P261" i="2"/>
  <c r="O262" i="2"/>
  <c r="P262" i="2"/>
  <c r="O263" i="2"/>
  <c r="P263" i="2"/>
  <c r="S214" i="2" l="1"/>
  <c r="R214" i="2"/>
  <c r="R221" i="2"/>
  <c r="S221" i="2"/>
  <c r="S211" i="2"/>
  <c r="R211" i="2"/>
  <c r="R228" i="2"/>
  <c r="S228" i="2"/>
  <c r="S206" i="2"/>
  <c r="R222" i="2"/>
  <c r="S222" i="2"/>
  <c r="R212" i="2"/>
  <c r="S212" i="2"/>
  <c r="R227" i="2"/>
  <c r="S227" i="2"/>
  <c r="S205" i="2"/>
  <c r="R210" i="2"/>
  <c r="S210" i="2"/>
  <c r="S233" i="2"/>
  <c r="R233" i="2"/>
  <c r="R225" i="2"/>
  <c r="S225" i="2"/>
  <c r="S217" i="2"/>
  <c r="R217" i="2"/>
  <c r="R209" i="2"/>
  <c r="S209" i="2"/>
  <c r="R198" i="2"/>
  <c r="S213" i="2"/>
  <c r="R213" i="2"/>
  <c r="S220" i="2"/>
  <c r="R220" i="2"/>
  <c r="R226" i="2"/>
  <c r="S226" i="2"/>
  <c r="S204" i="2"/>
  <c r="R230" i="2"/>
  <c r="S230" i="2"/>
  <c r="R219" i="2"/>
  <c r="S219" i="2"/>
  <c r="R232" i="2"/>
  <c r="S232" i="2"/>
  <c r="R224" i="2"/>
  <c r="S224" i="2"/>
  <c r="R216" i="2"/>
  <c r="S216" i="2"/>
  <c r="R229" i="2"/>
  <c r="S229" i="2"/>
  <c r="R234" i="2"/>
  <c r="S234" i="2"/>
  <c r="S218" i="2"/>
  <c r="R218" i="2"/>
  <c r="R231" i="2"/>
  <c r="S231" i="2"/>
  <c r="R223" i="2"/>
  <c r="S223" i="2"/>
  <c r="R215" i="2"/>
  <c r="S215" i="2"/>
  <c r="R198" i="4"/>
  <c r="S198" i="4"/>
  <c r="R215" i="4"/>
  <c r="S215" i="4"/>
  <c r="S223" i="4"/>
  <c r="R223" i="4"/>
  <c r="R220" i="4"/>
  <c r="S220" i="4"/>
  <c r="R214" i="4"/>
  <c r="S214" i="4"/>
  <c r="R221" i="4"/>
  <c r="S221" i="4"/>
  <c r="R219" i="4"/>
  <c r="S219" i="4"/>
  <c r="R222" i="4"/>
  <c r="S222" i="4"/>
  <c r="R218" i="4"/>
  <c r="S218" i="4"/>
  <c r="R217" i="4"/>
  <c r="S217" i="4"/>
  <c r="R216" i="4"/>
  <c r="S216" i="4"/>
  <c r="R213" i="4"/>
  <c r="S213" i="4"/>
  <c r="S211" i="4"/>
  <c r="R211" i="4"/>
  <c r="S210" i="4"/>
  <c r="R210" i="4"/>
  <c r="R212" i="4"/>
  <c r="S212" i="4"/>
  <c r="S209" i="4"/>
  <c r="R209" i="4"/>
  <c r="S207" i="4"/>
  <c r="R208" i="4"/>
  <c r="S205" i="4"/>
  <c r="S206" i="4"/>
  <c r="S204" i="4"/>
  <c r="S203" i="4"/>
  <c r="S203" i="2"/>
  <c r="S202" i="2"/>
  <c r="S201" i="2"/>
  <c r="S200" i="2"/>
  <c r="S202" i="4"/>
  <c r="S201" i="4"/>
  <c r="R200" i="4"/>
  <c r="S199" i="4"/>
  <c r="R167" i="2" l="1"/>
  <c r="S167" i="2"/>
  <c r="S168" i="2"/>
  <c r="S170" i="2"/>
  <c r="S171" i="2"/>
  <c r="S174" i="2"/>
  <c r="R166" i="4"/>
  <c r="S166" i="4"/>
  <c r="O168" i="2"/>
  <c r="R168" i="2" s="1"/>
  <c r="P168" i="2"/>
  <c r="O169" i="2"/>
  <c r="R169" i="2" s="1"/>
  <c r="P169" i="2"/>
  <c r="O170" i="2"/>
  <c r="R170" i="2" s="1"/>
  <c r="P170" i="2"/>
  <c r="O171" i="2"/>
  <c r="R171" i="2" s="1"/>
  <c r="P171" i="2"/>
  <c r="O172" i="2"/>
  <c r="R172" i="2" s="1"/>
  <c r="P172" i="2"/>
  <c r="O173" i="2"/>
  <c r="R173" i="2" s="1"/>
  <c r="P173" i="2"/>
  <c r="O174" i="2"/>
  <c r="R174" i="2" s="1"/>
  <c r="P174" i="2"/>
  <c r="O175" i="2"/>
  <c r="P175" i="2"/>
  <c r="O176" i="2"/>
  <c r="P176" i="2"/>
  <c r="O177" i="2"/>
  <c r="P177" i="2"/>
  <c r="O178" i="2"/>
  <c r="P178" i="2"/>
  <c r="O179" i="2"/>
  <c r="P179" i="2"/>
  <c r="O180" i="2"/>
  <c r="P180" i="2"/>
  <c r="O181" i="2"/>
  <c r="P181" i="2"/>
  <c r="O182" i="2"/>
  <c r="P182" i="2"/>
  <c r="O183" i="2"/>
  <c r="P183" i="2"/>
  <c r="O184" i="2"/>
  <c r="P184" i="2"/>
  <c r="O185" i="2"/>
  <c r="P185" i="2"/>
  <c r="O186" i="2"/>
  <c r="P186" i="2"/>
  <c r="O187" i="2"/>
  <c r="P187" i="2"/>
  <c r="O188" i="2"/>
  <c r="P188" i="2"/>
  <c r="O189" i="2"/>
  <c r="P189" i="2"/>
  <c r="O190" i="2"/>
  <c r="P190" i="2"/>
  <c r="O191" i="2"/>
  <c r="P191" i="2"/>
  <c r="O192" i="2"/>
  <c r="P192" i="2"/>
  <c r="O193" i="2"/>
  <c r="P193" i="2"/>
  <c r="O194" i="2"/>
  <c r="P194" i="2"/>
  <c r="O195" i="2"/>
  <c r="P195" i="2"/>
  <c r="O196" i="2"/>
  <c r="P196" i="2"/>
  <c r="O197" i="2"/>
  <c r="P197" i="2"/>
  <c r="O167" i="2"/>
  <c r="P167" i="2"/>
  <c r="P166" i="2"/>
  <c r="O166" i="2"/>
  <c r="R166" i="2" s="1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4" i="4"/>
  <c r="P195" i="4"/>
  <c r="P196" i="4"/>
  <c r="P197" i="4"/>
  <c r="P167" i="4"/>
  <c r="P166" i="4"/>
  <c r="O166" i="4"/>
  <c r="R151" i="2"/>
  <c r="S151" i="2"/>
  <c r="R156" i="2"/>
  <c r="S156" i="2"/>
  <c r="R161" i="2"/>
  <c r="S161" i="2"/>
  <c r="R162" i="2"/>
  <c r="S162" i="2"/>
  <c r="R163" i="2"/>
  <c r="S163" i="2"/>
  <c r="R164" i="2"/>
  <c r="S164" i="2"/>
  <c r="R151" i="4"/>
  <c r="S151" i="4"/>
  <c r="R163" i="4"/>
  <c r="O152" i="4"/>
  <c r="R152" i="4" s="1"/>
  <c r="O153" i="4"/>
  <c r="S153" i="4" s="1"/>
  <c r="O154" i="4"/>
  <c r="R154" i="4" s="1"/>
  <c r="O155" i="4"/>
  <c r="R155" i="4" s="1"/>
  <c r="O156" i="4"/>
  <c r="R156" i="4" s="1"/>
  <c r="O157" i="4"/>
  <c r="R157" i="4" s="1"/>
  <c r="O158" i="4"/>
  <c r="R158" i="4" s="1"/>
  <c r="O159" i="4"/>
  <c r="R159" i="4" s="1"/>
  <c r="O160" i="4"/>
  <c r="R160" i="4" s="1"/>
  <c r="O161" i="4"/>
  <c r="R161" i="4" s="1"/>
  <c r="O162" i="4"/>
  <c r="R162" i="4" s="1"/>
  <c r="O163" i="4"/>
  <c r="O164" i="4"/>
  <c r="R164" i="4" s="1"/>
  <c r="O165" i="4"/>
  <c r="S165" i="4" s="1"/>
  <c r="O167" i="4"/>
  <c r="R167" i="4" s="1"/>
  <c r="O168" i="4"/>
  <c r="R168" i="4" s="1"/>
  <c r="O169" i="4"/>
  <c r="R169" i="4" s="1"/>
  <c r="O170" i="4"/>
  <c r="R170" i="4" s="1"/>
  <c r="O171" i="4"/>
  <c r="R171" i="4" s="1"/>
  <c r="O172" i="4"/>
  <c r="S172" i="4" s="1"/>
  <c r="O173" i="4"/>
  <c r="R173" i="4" s="1"/>
  <c r="O174" i="4"/>
  <c r="R174" i="4" s="1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5" i="4"/>
  <c r="O196" i="4"/>
  <c r="O197" i="4"/>
  <c r="O151" i="4"/>
  <c r="O165" i="2"/>
  <c r="R165" i="2" s="1"/>
  <c r="O164" i="2"/>
  <c r="O163" i="2"/>
  <c r="O162" i="2"/>
  <c r="O161" i="2"/>
  <c r="O160" i="2"/>
  <c r="R160" i="2" s="1"/>
  <c r="O159" i="2"/>
  <c r="R159" i="2" s="1"/>
  <c r="O158" i="2"/>
  <c r="R158" i="2" s="1"/>
  <c r="O157" i="2"/>
  <c r="R157" i="2" s="1"/>
  <c r="O156" i="2"/>
  <c r="O155" i="2"/>
  <c r="R155" i="2" s="1"/>
  <c r="O154" i="2"/>
  <c r="R154" i="2" s="1"/>
  <c r="O153" i="2"/>
  <c r="R153" i="2" s="1"/>
  <c r="O152" i="2"/>
  <c r="R152" i="2" s="1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R120" i="4" s="1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3" i="2"/>
  <c r="S173" i="2" l="1"/>
  <c r="S197" i="2"/>
  <c r="R197" i="2"/>
  <c r="R189" i="2"/>
  <c r="S189" i="2"/>
  <c r="R181" i="2"/>
  <c r="S181" i="2"/>
  <c r="S155" i="2"/>
  <c r="S172" i="2"/>
  <c r="R196" i="2"/>
  <c r="S196" i="2"/>
  <c r="R188" i="2"/>
  <c r="S188" i="2"/>
  <c r="S180" i="2"/>
  <c r="R180" i="2"/>
  <c r="S154" i="2"/>
  <c r="S195" i="2"/>
  <c r="R195" i="2"/>
  <c r="R187" i="2"/>
  <c r="S187" i="2"/>
  <c r="R179" i="2"/>
  <c r="S179" i="2"/>
  <c r="S153" i="2"/>
  <c r="R194" i="2"/>
  <c r="S194" i="2"/>
  <c r="R186" i="2"/>
  <c r="S186" i="2"/>
  <c r="R178" i="2"/>
  <c r="S178" i="2"/>
  <c r="S160" i="2"/>
  <c r="S152" i="2"/>
  <c r="S169" i="2"/>
  <c r="R193" i="2"/>
  <c r="S193" i="2"/>
  <c r="S185" i="2"/>
  <c r="R185" i="2"/>
  <c r="R177" i="2"/>
  <c r="S177" i="2"/>
  <c r="S159" i="2"/>
  <c r="R192" i="2"/>
  <c r="S192" i="2"/>
  <c r="R184" i="2"/>
  <c r="S184" i="2"/>
  <c r="R176" i="2"/>
  <c r="S176" i="2"/>
  <c r="S158" i="2"/>
  <c r="S191" i="2"/>
  <c r="R191" i="2"/>
  <c r="R183" i="2"/>
  <c r="S183" i="2"/>
  <c r="R175" i="2"/>
  <c r="S175" i="2"/>
  <c r="S165" i="2"/>
  <c r="S157" i="2"/>
  <c r="S166" i="2"/>
  <c r="R190" i="2"/>
  <c r="S190" i="2"/>
  <c r="S182" i="2"/>
  <c r="R182" i="2"/>
  <c r="R172" i="4"/>
  <c r="S171" i="4"/>
  <c r="S170" i="4"/>
  <c r="S169" i="4"/>
  <c r="S168" i="4"/>
  <c r="S167" i="4"/>
  <c r="S174" i="4"/>
  <c r="S173" i="4"/>
  <c r="R165" i="4"/>
  <c r="S161" i="4"/>
  <c r="S159" i="4"/>
  <c r="R153" i="4"/>
  <c r="S158" i="4"/>
  <c r="S157" i="4"/>
  <c r="S164" i="4"/>
  <c r="S156" i="4"/>
  <c r="S155" i="4"/>
  <c r="S162" i="4"/>
  <c r="S154" i="4"/>
  <c r="S152" i="4"/>
  <c r="S160" i="4"/>
  <c r="R150" i="2"/>
  <c r="S150" i="2"/>
  <c r="R149" i="2"/>
  <c r="S149" i="2"/>
  <c r="R148" i="2"/>
  <c r="S148" i="2"/>
  <c r="R147" i="2"/>
  <c r="S147" i="2"/>
  <c r="R146" i="2"/>
  <c r="S146" i="2"/>
  <c r="R150" i="4"/>
  <c r="S150" i="4"/>
  <c r="R149" i="4"/>
  <c r="S149" i="4"/>
  <c r="R148" i="4"/>
  <c r="S148" i="4"/>
  <c r="R147" i="4"/>
  <c r="S147" i="4"/>
  <c r="R146" i="4"/>
  <c r="S146" i="4"/>
  <c r="R132" i="2"/>
  <c r="R133" i="2"/>
  <c r="R134" i="2"/>
  <c r="R135" i="2"/>
  <c r="R136" i="2"/>
  <c r="R132" i="4"/>
  <c r="R133" i="4"/>
  <c r="R134" i="4"/>
  <c r="R135" i="4"/>
  <c r="R136" i="4"/>
  <c r="R138" i="4"/>
  <c r="S144" i="4"/>
  <c r="S144" i="2"/>
  <c r="S136" i="4"/>
  <c r="S136" i="2"/>
  <c r="R139" i="2"/>
  <c r="S139" i="2"/>
  <c r="P3" i="4"/>
  <c r="S137" i="4"/>
  <c r="S138" i="4"/>
  <c r="R139" i="4"/>
  <c r="S140" i="4"/>
  <c r="S141" i="4"/>
  <c r="R142" i="4"/>
  <c r="R143" i="4"/>
  <c r="R144" i="4"/>
  <c r="R145" i="4"/>
  <c r="R137" i="2"/>
  <c r="R138" i="2"/>
  <c r="R140" i="2"/>
  <c r="R141" i="2"/>
  <c r="S142" i="2"/>
  <c r="S143" i="2"/>
  <c r="R144" i="2"/>
  <c r="R145" i="2"/>
  <c r="S133" i="4"/>
  <c r="R114" i="4"/>
  <c r="S114" i="4"/>
  <c r="S120" i="4"/>
  <c r="R121" i="4"/>
  <c r="S121" i="4"/>
  <c r="R122" i="4"/>
  <c r="S122" i="4"/>
  <c r="R128" i="4"/>
  <c r="S128" i="4"/>
  <c r="R129" i="4"/>
  <c r="S129" i="4"/>
  <c r="R130" i="4"/>
  <c r="S130" i="4"/>
  <c r="R114" i="2"/>
  <c r="S114" i="2"/>
  <c r="R115" i="2"/>
  <c r="S115" i="2"/>
  <c r="R116" i="2"/>
  <c r="S116" i="2"/>
  <c r="R117" i="2"/>
  <c r="S117" i="2"/>
  <c r="R118" i="2"/>
  <c r="S118" i="2"/>
  <c r="R119" i="2"/>
  <c r="S119" i="2"/>
  <c r="R120" i="2"/>
  <c r="S120" i="2"/>
  <c r="R121" i="2"/>
  <c r="S121" i="2"/>
  <c r="R122" i="2"/>
  <c r="S122" i="2"/>
  <c r="R123" i="2"/>
  <c r="S123" i="2"/>
  <c r="R124" i="2"/>
  <c r="S124" i="2"/>
  <c r="R125" i="2"/>
  <c r="S125" i="2"/>
  <c r="R126" i="2"/>
  <c r="S126" i="2"/>
  <c r="R113" i="4"/>
  <c r="S113" i="4"/>
  <c r="R113" i="2"/>
  <c r="S113" i="2"/>
  <c r="R112" i="2"/>
  <c r="S112" i="2"/>
  <c r="R105" i="4"/>
  <c r="R106" i="4"/>
  <c r="R107" i="4"/>
  <c r="R108" i="4"/>
  <c r="R109" i="4"/>
  <c r="R110" i="4"/>
  <c r="R111" i="4"/>
  <c r="R112" i="4"/>
  <c r="R115" i="4"/>
  <c r="R116" i="4"/>
  <c r="R117" i="4"/>
  <c r="R118" i="4"/>
  <c r="S119" i="4"/>
  <c r="R123" i="4"/>
  <c r="R124" i="4"/>
  <c r="R125" i="4"/>
  <c r="R126" i="4"/>
  <c r="S127" i="4"/>
  <c r="R131" i="4"/>
  <c r="S139" i="4" l="1"/>
  <c r="S142" i="4"/>
  <c r="S143" i="4"/>
  <c r="R137" i="4"/>
  <c r="S145" i="4"/>
  <c r="R141" i="4"/>
  <c r="R140" i="4"/>
  <c r="S138" i="2"/>
  <c r="S137" i="2"/>
  <c r="S145" i="2"/>
  <c r="R143" i="2"/>
  <c r="R142" i="2"/>
  <c r="S141" i="2"/>
  <c r="S140" i="2"/>
  <c r="S134" i="4"/>
  <c r="S135" i="4"/>
  <c r="R127" i="4"/>
  <c r="R119" i="4"/>
  <c r="S126" i="4"/>
  <c r="S118" i="4"/>
  <c r="S125" i="4"/>
  <c r="S117" i="4"/>
  <c r="S132" i="4"/>
  <c r="S124" i="4"/>
  <c r="S116" i="4"/>
  <c r="S112" i="4"/>
  <c r="S131" i="4"/>
  <c r="S123" i="4"/>
  <c r="S115" i="4"/>
  <c r="S105" i="4"/>
  <c r="S110" i="4"/>
  <c r="S111" i="4"/>
  <c r="S109" i="4"/>
  <c r="S108" i="4"/>
  <c r="S107" i="4"/>
  <c r="S106" i="4"/>
  <c r="S78" i="2" l="1"/>
  <c r="S92" i="2"/>
  <c r="S91" i="2"/>
  <c r="S76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R91" i="2"/>
  <c r="R92" i="2"/>
  <c r="R93" i="2"/>
  <c r="S93" i="2"/>
  <c r="R94" i="2"/>
  <c r="S94" i="2"/>
  <c r="R83" i="2"/>
  <c r="AB486" i="6" a="1"/>
  <c r="AB486" i="6" s="1"/>
  <c r="AB464" i="6" a="1"/>
  <c r="AB464" i="6" s="1"/>
  <c r="S83" i="2"/>
  <c r="R82" i="2"/>
  <c r="S82" i="2"/>
  <c r="R81" i="2"/>
  <c r="S81" i="2"/>
  <c r="R80" i="2"/>
  <c r="S80" i="2"/>
  <c r="R79" i="2"/>
  <c r="S79" i="2"/>
  <c r="R78" i="2"/>
  <c r="R77" i="2"/>
  <c r="S77" i="2"/>
  <c r="R76" i="2"/>
  <c r="R75" i="2"/>
  <c r="S75" i="2"/>
  <c r="AB442" i="6" a="1"/>
  <c r="AB442" i="6" s="1"/>
  <c r="AB420" i="6" a="1"/>
  <c r="AB420" i="6" s="1"/>
  <c r="AB398" i="6" a="1"/>
  <c r="AB398" i="6" s="1"/>
  <c r="AB376" i="6" a="1"/>
  <c r="AB376" i="6" s="1"/>
  <c r="AB354" i="6" a="1"/>
  <c r="AB354" i="6" s="1"/>
  <c r="AB332" i="6" a="1"/>
  <c r="AB332" i="6" s="1"/>
  <c r="AB310" i="6" a="1"/>
  <c r="AB310" i="6" s="1"/>
  <c r="AB288" i="6" a="1"/>
  <c r="AB288" i="6" s="1"/>
  <c r="AB266" i="6" a="1"/>
  <c r="AB266" i="6" s="1"/>
  <c r="AB244" i="6" a="1"/>
  <c r="AB244" i="6" s="1"/>
  <c r="AB222" i="6" a="1"/>
  <c r="AB222" i="6" s="1"/>
  <c r="AB200" i="6" a="1"/>
  <c r="AB200" i="6" s="1"/>
  <c r="AB178" i="6" a="1"/>
  <c r="AB178" i="6" s="1"/>
  <c r="AB156" i="6" a="1"/>
  <c r="AB156" i="6" s="1"/>
  <c r="AB134" i="6" a="1"/>
  <c r="AB134" i="6" s="1"/>
  <c r="AB112" i="6" a="1"/>
  <c r="AB112" i="6" s="1"/>
  <c r="AB90" i="6" a="1"/>
  <c r="AB90" i="6" s="1"/>
  <c r="AB68" i="6" a="1"/>
  <c r="AB68" i="6" s="1"/>
  <c r="AB46" i="6" a="1"/>
  <c r="AB46" i="6" s="1"/>
  <c r="AB24" i="6" a="1"/>
  <c r="AB24" i="6" s="1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D503" i="6"/>
  <c r="C503" i="6"/>
  <c r="B503" i="6"/>
  <c r="X502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I502" i="6"/>
  <c r="H502" i="6"/>
  <c r="G502" i="6"/>
  <c r="F502" i="6"/>
  <c r="E502" i="6"/>
  <c r="D502" i="6"/>
  <c r="C502" i="6"/>
  <c r="B502" i="6"/>
  <c r="X501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F501" i="6"/>
  <c r="E501" i="6"/>
  <c r="D501" i="6"/>
  <c r="C501" i="6"/>
  <c r="X499" i="6" a="1"/>
  <c r="X499" i="6" s="1"/>
  <c r="X500" i="6" s="1"/>
  <c r="W499" i="6" a="1"/>
  <c r="W499" i="6" s="1"/>
  <c r="W500" i="6" s="1"/>
  <c r="V499" i="6" a="1"/>
  <c r="V499" i="6" s="1"/>
  <c r="V500" i="6" s="1"/>
  <c r="U499" i="6" a="1"/>
  <c r="U499" i="6" s="1"/>
  <c r="U500" i="6" s="1"/>
  <c r="T499" i="6" a="1"/>
  <c r="T499" i="6" s="1"/>
  <c r="T500" i="6" s="1"/>
  <c r="S499" i="6" a="1"/>
  <c r="S499" i="6" s="1"/>
  <c r="S500" i="6" s="1"/>
  <c r="R499" i="6" a="1"/>
  <c r="R499" i="6" s="1"/>
  <c r="R500" i="6" s="1"/>
  <c r="Q499" i="6" a="1"/>
  <c r="Q499" i="6" s="1"/>
  <c r="Q500" i="6" s="1"/>
  <c r="P499" i="6" a="1"/>
  <c r="P499" i="6" s="1"/>
  <c r="P500" i="6" s="1"/>
  <c r="O499" i="6" a="1"/>
  <c r="O499" i="6" s="1"/>
  <c r="O500" i="6" s="1"/>
  <c r="N499" i="6" a="1"/>
  <c r="N499" i="6" s="1"/>
  <c r="N500" i="6" s="1"/>
  <c r="M499" i="6" a="1"/>
  <c r="M499" i="6" s="1"/>
  <c r="M500" i="6" s="1"/>
  <c r="L499" i="6" a="1"/>
  <c r="L499" i="6" s="1"/>
  <c r="L500" i="6" s="1"/>
  <c r="K499" i="6" a="1"/>
  <c r="K499" i="6" s="1"/>
  <c r="K500" i="6" s="1"/>
  <c r="J499" i="6" a="1"/>
  <c r="J499" i="6" s="1"/>
  <c r="J500" i="6" s="1"/>
  <c r="I499" i="6" a="1"/>
  <c r="I499" i="6" s="1"/>
  <c r="I500" i="6" s="1"/>
  <c r="H499" i="6" a="1"/>
  <c r="H499" i="6" s="1"/>
  <c r="H500" i="6" s="1"/>
  <c r="G499" i="6" a="1"/>
  <c r="G499" i="6" s="1"/>
  <c r="G500" i="6" s="1"/>
  <c r="F499" i="6" a="1"/>
  <c r="F499" i="6" s="1"/>
  <c r="F500" i="6" s="1"/>
  <c r="E499" i="6" a="1"/>
  <c r="E499" i="6" s="1"/>
  <c r="E500" i="6" s="1"/>
  <c r="D499" i="6" a="1"/>
  <c r="D499" i="6" s="1"/>
  <c r="D500" i="6" s="1"/>
  <c r="C499" i="6" a="1"/>
  <c r="C499" i="6" s="1"/>
  <c r="C500" i="6" s="1"/>
  <c r="AA498" i="6"/>
  <c r="Z498" i="6"/>
  <c r="Y498" i="6"/>
  <c r="AA497" i="6"/>
  <c r="Y497" i="6"/>
  <c r="Z497" i="6" s="1"/>
  <c r="AA496" i="6"/>
  <c r="Z496" i="6"/>
  <c r="Y496" i="6"/>
  <c r="AA495" i="6"/>
  <c r="Y495" i="6"/>
  <c r="Z495" i="6" s="1"/>
  <c r="AA494" i="6"/>
  <c r="Y494" i="6"/>
  <c r="Z494" i="6" s="1"/>
  <c r="AA493" i="6"/>
  <c r="Y493" i="6"/>
  <c r="Z493" i="6" s="1"/>
  <c r="AA492" i="6"/>
  <c r="Z492" i="6"/>
  <c r="Y492" i="6"/>
  <c r="AA491" i="6"/>
  <c r="Y491" i="6"/>
  <c r="Z491" i="6" s="1"/>
  <c r="AA490" i="6"/>
  <c r="Z490" i="6"/>
  <c r="Y490" i="6"/>
  <c r="AA489" i="6"/>
  <c r="Y489" i="6"/>
  <c r="Z489" i="6" s="1"/>
  <c r="AA488" i="6"/>
  <c r="Z488" i="6"/>
  <c r="Y488" i="6"/>
  <c r="AA487" i="6"/>
  <c r="Y487" i="6"/>
  <c r="Z487" i="6" s="1"/>
  <c r="AA486" i="6"/>
  <c r="Z486" i="6"/>
  <c r="Y486" i="6"/>
  <c r="AA485" i="6"/>
  <c r="Y485" i="6"/>
  <c r="Z485" i="6" s="1"/>
  <c r="AA484" i="6"/>
  <c r="Z484" i="6"/>
  <c r="Y484" i="6"/>
  <c r="AA483" i="6"/>
  <c r="Y483" i="6"/>
  <c r="Z483" i="6" s="1"/>
  <c r="AA482" i="6"/>
  <c r="Z482" i="6"/>
  <c r="Y482" i="6"/>
  <c r="AA481" i="6"/>
  <c r="Y481" i="6"/>
  <c r="Z481" i="6" s="1"/>
  <c r="AA480" i="6"/>
  <c r="Z480" i="6"/>
  <c r="Y480" i="6"/>
  <c r="AA479" i="6"/>
  <c r="Y479" i="6"/>
  <c r="Z479" i="6" s="1"/>
  <c r="AA478" i="6"/>
  <c r="Y478" i="6"/>
  <c r="Z478" i="6" s="1"/>
  <c r="AA477" i="6"/>
  <c r="Y477" i="6"/>
  <c r="Z477" i="6" s="1"/>
  <c r="AA476" i="6"/>
  <c r="Z476" i="6"/>
  <c r="Y476" i="6"/>
  <c r="AA475" i="6"/>
  <c r="Y475" i="6"/>
  <c r="Z475" i="6" s="1"/>
  <c r="AA474" i="6"/>
  <c r="Z474" i="6"/>
  <c r="Y474" i="6"/>
  <c r="AA473" i="6"/>
  <c r="Y473" i="6"/>
  <c r="Z473" i="6" s="1"/>
  <c r="AA472" i="6"/>
  <c r="Z472" i="6"/>
  <c r="Y472" i="6"/>
  <c r="AA471" i="6"/>
  <c r="Y471" i="6"/>
  <c r="Z471" i="6" s="1"/>
  <c r="AA470" i="6"/>
  <c r="Z470" i="6"/>
  <c r="Y470" i="6"/>
  <c r="AA469" i="6"/>
  <c r="Y469" i="6"/>
  <c r="Z469" i="6" s="1"/>
  <c r="AA468" i="6"/>
  <c r="Z468" i="6"/>
  <c r="Y468" i="6"/>
  <c r="AA467" i="6"/>
  <c r="Y467" i="6"/>
  <c r="Z467" i="6" s="1"/>
  <c r="AA466" i="6"/>
  <c r="Z466" i="6"/>
  <c r="Y466" i="6"/>
  <c r="AA465" i="6"/>
  <c r="Y465" i="6"/>
  <c r="Z465" i="6" s="1"/>
  <c r="AA464" i="6"/>
  <c r="Z464" i="6"/>
  <c r="Y464" i="6"/>
  <c r="AA463" i="6"/>
  <c r="Y463" i="6"/>
  <c r="Z463" i="6" s="1"/>
  <c r="AA462" i="6"/>
  <c r="Y462" i="6"/>
  <c r="Z462" i="6" s="1"/>
  <c r="AA461" i="6"/>
  <c r="Y461" i="6"/>
  <c r="Z461" i="6" s="1"/>
  <c r="AA460" i="6"/>
  <c r="Z460" i="6"/>
  <c r="Y460" i="6"/>
  <c r="AA459" i="6"/>
  <c r="Y459" i="6"/>
  <c r="Z459" i="6" s="1"/>
  <c r="AA458" i="6"/>
  <c r="Z458" i="6"/>
  <c r="Y458" i="6"/>
  <c r="AA457" i="6"/>
  <c r="Y457" i="6"/>
  <c r="Z457" i="6" s="1"/>
  <c r="AA456" i="6"/>
  <c r="Z456" i="6"/>
  <c r="Y456" i="6"/>
  <c r="AA455" i="6"/>
  <c r="Y455" i="6"/>
  <c r="Z455" i="6" s="1"/>
  <c r="AA454" i="6"/>
  <c r="Z454" i="6"/>
  <c r="Y454" i="6"/>
  <c r="AA453" i="6"/>
  <c r="Y453" i="6"/>
  <c r="Z453" i="6" s="1"/>
  <c r="AA452" i="6"/>
  <c r="Z452" i="6"/>
  <c r="Y452" i="6"/>
  <c r="AA451" i="6"/>
  <c r="Y451" i="6"/>
  <c r="Z451" i="6" s="1"/>
  <c r="AA450" i="6"/>
  <c r="Z450" i="6"/>
  <c r="Y450" i="6"/>
  <c r="AA449" i="6"/>
  <c r="Y449" i="6"/>
  <c r="Z449" i="6" s="1"/>
  <c r="AA448" i="6"/>
  <c r="Z448" i="6"/>
  <c r="Y448" i="6"/>
  <c r="AA447" i="6"/>
  <c r="Y447" i="6"/>
  <c r="Z447" i="6" s="1"/>
  <c r="AA446" i="6"/>
  <c r="Y446" i="6"/>
  <c r="Z446" i="6" s="1"/>
  <c r="AA445" i="6"/>
  <c r="Y445" i="6"/>
  <c r="Z445" i="6" s="1"/>
  <c r="AA444" i="6"/>
  <c r="Z444" i="6"/>
  <c r="Y444" i="6"/>
  <c r="AA443" i="6"/>
  <c r="Y443" i="6"/>
  <c r="Z443" i="6" s="1"/>
  <c r="AA442" i="6"/>
  <c r="Z442" i="6"/>
  <c r="Y442" i="6"/>
  <c r="AA441" i="6"/>
  <c r="Y441" i="6"/>
  <c r="Z441" i="6" s="1"/>
  <c r="AA440" i="6"/>
  <c r="Z440" i="6"/>
  <c r="Y440" i="6"/>
  <c r="AA439" i="6"/>
  <c r="Y439" i="6"/>
  <c r="Z439" i="6" s="1"/>
  <c r="AA438" i="6"/>
  <c r="Z438" i="6"/>
  <c r="Y438" i="6"/>
  <c r="AA437" i="6"/>
  <c r="Y437" i="6"/>
  <c r="Z437" i="6" s="1"/>
  <c r="AA436" i="6"/>
  <c r="Z436" i="6"/>
  <c r="Y436" i="6"/>
  <c r="AA435" i="6"/>
  <c r="Y435" i="6"/>
  <c r="Z435" i="6" s="1"/>
  <c r="AA434" i="6"/>
  <c r="Z434" i="6"/>
  <c r="Y434" i="6"/>
  <c r="AA433" i="6"/>
  <c r="Y433" i="6"/>
  <c r="Z433" i="6" s="1"/>
  <c r="AA432" i="6"/>
  <c r="Z432" i="6"/>
  <c r="Y432" i="6"/>
  <c r="AA431" i="6"/>
  <c r="Y431" i="6"/>
  <c r="Z431" i="6" s="1"/>
  <c r="AA430" i="6"/>
  <c r="Y430" i="6"/>
  <c r="Z430" i="6" s="1"/>
  <c r="AA429" i="6"/>
  <c r="Y429" i="6"/>
  <c r="Z429" i="6" s="1"/>
  <c r="AA428" i="6"/>
  <c r="Z428" i="6"/>
  <c r="Y428" i="6"/>
  <c r="AA427" i="6"/>
  <c r="Y427" i="6"/>
  <c r="Z427" i="6" s="1"/>
  <c r="AA426" i="6"/>
  <c r="Z426" i="6"/>
  <c r="Y426" i="6"/>
  <c r="AA425" i="6"/>
  <c r="Y425" i="6"/>
  <c r="Z425" i="6" s="1"/>
  <c r="AA424" i="6"/>
  <c r="Z424" i="6"/>
  <c r="Y424" i="6"/>
  <c r="AA423" i="6"/>
  <c r="Y423" i="6"/>
  <c r="Z423" i="6" s="1"/>
  <c r="AA422" i="6"/>
  <c r="Z422" i="6"/>
  <c r="Y422" i="6"/>
  <c r="AA421" i="6"/>
  <c r="Y421" i="6"/>
  <c r="Z421" i="6" s="1"/>
  <c r="AA420" i="6"/>
  <c r="Z420" i="6"/>
  <c r="Y420" i="6"/>
  <c r="AA419" i="6"/>
  <c r="Y419" i="6"/>
  <c r="Z419" i="6" s="1"/>
  <c r="AA418" i="6"/>
  <c r="Z418" i="6"/>
  <c r="Y418" i="6"/>
  <c r="AA417" i="6"/>
  <c r="Y417" i="6"/>
  <c r="Z417" i="6" s="1"/>
  <c r="AA416" i="6"/>
  <c r="Z416" i="6"/>
  <c r="Y416" i="6"/>
  <c r="AA415" i="6"/>
  <c r="Y415" i="6"/>
  <c r="Z415" i="6" s="1"/>
  <c r="AA414" i="6"/>
  <c r="Y414" i="6"/>
  <c r="Z414" i="6" s="1"/>
  <c r="AA413" i="6"/>
  <c r="Y413" i="6"/>
  <c r="Z413" i="6" s="1"/>
  <c r="AA412" i="6"/>
  <c r="Z412" i="6"/>
  <c r="Y412" i="6"/>
  <c r="AA411" i="6"/>
  <c r="Y411" i="6"/>
  <c r="Z411" i="6" s="1"/>
  <c r="AA410" i="6"/>
  <c r="Z410" i="6"/>
  <c r="Y410" i="6"/>
  <c r="AA409" i="6"/>
  <c r="Y409" i="6"/>
  <c r="Z409" i="6" s="1"/>
  <c r="AA408" i="6"/>
  <c r="Z408" i="6"/>
  <c r="Y408" i="6"/>
  <c r="AA407" i="6"/>
  <c r="Y407" i="6"/>
  <c r="Z407" i="6" s="1"/>
  <c r="AA406" i="6"/>
  <c r="Z406" i="6"/>
  <c r="Y406" i="6"/>
  <c r="AA405" i="6"/>
  <c r="Y405" i="6"/>
  <c r="Z405" i="6" s="1"/>
  <c r="AA404" i="6"/>
  <c r="Z404" i="6"/>
  <c r="Y404" i="6"/>
  <c r="AA403" i="6"/>
  <c r="Y403" i="6"/>
  <c r="Z403" i="6" s="1"/>
  <c r="AA402" i="6"/>
  <c r="Z402" i="6"/>
  <c r="Y402" i="6"/>
  <c r="AA401" i="6"/>
  <c r="Y401" i="6"/>
  <c r="Z401" i="6" s="1"/>
  <c r="AA400" i="6"/>
  <c r="Z400" i="6"/>
  <c r="Y400" i="6"/>
  <c r="AA399" i="6"/>
  <c r="Y399" i="6"/>
  <c r="Z399" i="6" s="1"/>
  <c r="AA398" i="6"/>
  <c r="Y398" i="6"/>
  <c r="Z398" i="6" s="1"/>
  <c r="AA397" i="6"/>
  <c r="Y397" i="6"/>
  <c r="Z397" i="6" s="1"/>
  <c r="AA396" i="6"/>
  <c r="Z396" i="6"/>
  <c r="Y396" i="6"/>
  <c r="AA395" i="6"/>
  <c r="Y395" i="6"/>
  <c r="Z395" i="6" s="1"/>
  <c r="AA394" i="6"/>
  <c r="Z394" i="6"/>
  <c r="Y394" i="6"/>
  <c r="AA393" i="6"/>
  <c r="Y393" i="6"/>
  <c r="Z393" i="6" s="1"/>
  <c r="AA392" i="6"/>
  <c r="Z392" i="6"/>
  <c r="Y392" i="6"/>
  <c r="AA391" i="6"/>
  <c r="Y391" i="6"/>
  <c r="Z391" i="6" s="1"/>
  <c r="AA390" i="6"/>
  <c r="Z390" i="6"/>
  <c r="Y390" i="6"/>
  <c r="AA389" i="6"/>
  <c r="Y389" i="6"/>
  <c r="Z389" i="6" s="1"/>
  <c r="AA388" i="6"/>
  <c r="Z388" i="6"/>
  <c r="Y388" i="6"/>
  <c r="AA387" i="6"/>
  <c r="Y387" i="6"/>
  <c r="Z387" i="6" s="1"/>
  <c r="AA386" i="6"/>
  <c r="Z386" i="6"/>
  <c r="Y386" i="6"/>
  <c r="AA385" i="6"/>
  <c r="Y385" i="6"/>
  <c r="Z385" i="6" s="1"/>
  <c r="AA384" i="6"/>
  <c r="Z384" i="6"/>
  <c r="Y384" i="6"/>
  <c r="AA383" i="6"/>
  <c r="Y383" i="6"/>
  <c r="Z383" i="6" s="1"/>
  <c r="AA382" i="6"/>
  <c r="Y382" i="6"/>
  <c r="Z382" i="6" s="1"/>
  <c r="AA381" i="6"/>
  <c r="Y381" i="6"/>
  <c r="Z381" i="6" s="1"/>
  <c r="AA380" i="6"/>
  <c r="Z380" i="6"/>
  <c r="Y380" i="6"/>
  <c r="AA379" i="6"/>
  <c r="Y379" i="6"/>
  <c r="Z379" i="6" s="1"/>
  <c r="AA378" i="6"/>
  <c r="Z378" i="6"/>
  <c r="Y378" i="6"/>
  <c r="AA377" i="6"/>
  <c r="Y377" i="6"/>
  <c r="Z377" i="6" s="1"/>
  <c r="AA376" i="6"/>
  <c r="Z376" i="6"/>
  <c r="Y376" i="6"/>
  <c r="AA375" i="6"/>
  <c r="Y375" i="6"/>
  <c r="Z375" i="6" s="1"/>
  <c r="AA374" i="6"/>
  <c r="Z374" i="6"/>
  <c r="Y374" i="6"/>
  <c r="AA373" i="6"/>
  <c r="Y373" i="6"/>
  <c r="Z373" i="6" s="1"/>
  <c r="AA372" i="6"/>
  <c r="Z372" i="6"/>
  <c r="Y372" i="6"/>
  <c r="AA371" i="6"/>
  <c r="Y371" i="6"/>
  <c r="Z371" i="6" s="1"/>
  <c r="AA370" i="6"/>
  <c r="Z370" i="6"/>
  <c r="Y370" i="6"/>
  <c r="AA369" i="6"/>
  <c r="Y369" i="6"/>
  <c r="Z369" i="6" s="1"/>
  <c r="AA368" i="6"/>
  <c r="Z368" i="6"/>
  <c r="Y368" i="6"/>
  <c r="AA367" i="6"/>
  <c r="Y367" i="6"/>
  <c r="Z367" i="6" s="1"/>
  <c r="AA366" i="6"/>
  <c r="Y366" i="6"/>
  <c r="Z366" i="6" s="1"/>
  <c r="AA365" i="6"/>
  <c r="Y365" i="6"/>
  <c r="Z365" i="6" s="1"/>
  <c r="AA364" i="6"/>
  <c r="Z364" i="6"/>
  <c r="Y364" i="6"/>
  <c r="AA363" i="6"/>
  <c r="Y363" i="6"/>
  <c r="Z363" i="6" s="1"/>
  <c r="AA362" i="6"/>
  <c r="Z362" i="6"/>
  <c r="Y362" i="6"/>
  <c r="AA361" i="6"/>
  <c r="Y361" i="6"/>
  <c r="Z361" i="6" s="1"/>
  <c r="AA360" i="6"/>
  <c r="Z360" i="6"/>
  <c r="Y360" i="6"/>
  <c r="AA359" i="6"/>
  <c r="Y359" i="6"/>
  <c r="Z359" i="6" s="1"/>
  <c r="AA358" i="6"/>
  <c r="Z358" i="6"/>
  <c r="Y358" i="6"/>
  <c r="AA357" i="6"/>
  <c r="Y357" i="6"/>
  <c r="Z357" i="6" s="1"/>
  <c r="AA356" i="6"/>
  <c r="Z356" i="6"/>
  <c r="Y356" i="6"/>
  <c r="AA355" i="6"/>
  <c r="Y355" i="6"/>
  <c r="Z355" i="6" s="1"/>
  <c r="AA354" i="6"/>
  <c r="Z354" i="6"/>
  <c r="Y354" i="6"/>
  <c r="AA353" i="6"/>
  <c r="Y353" i="6"/>
  <c r="Z353" i="6" s="1"/>
  <c r="AA352" i="6"/>
  <c r="Z352" i="6"/>
  <c r="Y352" i="6"/>
  <c r="AA351" i="6"/>
  <c r="Y351" i="6"/>
  <c r="Z351" i="6" s="1"/>
  <c r="AA350" i="6"/>
  <c r="Y350" i="6"/>
  <c r="Z350" i="6" s="1"/>
  <c r="AA349" i="6"/>
  <c r="Y349" i="6"/>
  <c r="Z349" i="6" s="1"/>
  <c r="AA348" i="6"/>
  <c r="Z348" i="6"/>
  <c r="Y348" i="6"/>
  <c r="AA347" i="6"/>
  <c r="Y347" i="6"/>
  <c r="Z347" i="6" s="1"/>
  <c r="AA346" i="6"/>
  <c r="Z346" i="6"/>
  <c r="Y346" i="6"/>
  <c r="AA345" i="6"/>
  <c r="Y345" i="6"/>
  <c r="Z345" i="6" s="1"/>
  <c r="AA344" i="6"/>
  <c r="Z344" i="6"/>
  <c r="Y344" i="6"/>
  <c r="AA343" i="6"/>
  <c r="Y343" i="6"/>
  <c r="Z343" i="6" s="1"/>
  <c r="AA342" i="6"/>
  <c r="Z342" i="6"/>
  <c r="Y342" i="6"/>
  <c r="AA341" i="6"/>
  <c r="Y341" i="6"/>
  <c r="Z341" i="6" s="1"/>
  <c r="AA340" i="6"/>
  <c r="Z340" i="6"/>
  <c r="Y340" i="6"/>
  <c r="AA339" i="6"/>
  <c r="Y339" i="6"/>
  <c r="Z339" i="6" s="1"/>
  <c r="AA338" i="6"/>
  <c r="Z338" i="6"/>
  <c r="Y338" i="6"/>
  <c r="AA337" i="6"/>
  <c r="Y337" i="6"/>
  <c r="Z337" i="6" s="1"/>
  <c r="AA336" i="6"/>
  <c r="Z336" i="6"/>
  <c r="Y336" i="6"/>
  <c r="AA335" i="6"/>
  <c r="Y335" i="6"/>
  <c r="Z335" i="6" s="1"/>
  <c r="AA334" i="6"/>
  <c r="Y334" i="6"/>
  <c r="Z334" i="6" s="1"/>
  <c r="AA333" i="6"/>
  <c r="Y333" i="6"/>
  <c r="Z333" i="6" s="1"/>
  <c r="AA332" i="6"/>
  <c r="Z332" i="6"/>
  <c r="Y332" i="6"/>
  <c r="AA331" i="6"/>
  <c r="Y331" i="6"/>
  <c r="Z331" i="6" s="1"/>
  <c r="AA330" i="6"/>
  <c r="Z330" i="6"/>
  <c r="Y330" i="6"/>
  <c r="AA329" i="6"/>
  <c r="Y329" i="6"/>
  <c r="Z329" i="6" s="1"/>
  <c r="AA328" i="6"/>
  <c r="Z328" i="6"/>
  <c r="Y328" i="6"/>
  <c r="AA327" i="6"/>
  <c r="Y327" i="6"/>
  <c r="Z327" i="6" s="1"/>
  <c r="AA326" i="6"/>
  <c r="Z326" i="6"/>
  <c r="Y326" i="6"/>
  <c r="AA325" i="6"/>
  <c r="Y325" i="6"/>
  <c r="Z325" i="6" s="1"/>
  <c r="AA324" i="6"/>
  <c r="Z324" i="6"/>
  <c r="Y324" i="6"/>
  <c r="AA323" i="6"/>
  <c r="Y323" i="6"/>
  <c r="Z323" i="6" s="1"/>
  <c r="AA322" i="6"/>
  <c r="Z322" i="6"/>
  <c r="Y322" i="6"/>
  <c r="AA321" i="6"/>
  <c r="Y321" i="6"/>
  <c r="Z321" i="6" s="1"/>
  <c r="AA320" i="6"/>
  <c r="Z320" i="6"/>
  <c r="Y320" i="6"/>
  <c r="AA319" i="6"/>
  <c r="Y319" i="6"/>
  <c r="Z319" i="6" s="1"/>
  <c r="AA318" i="6"/>
  <c r="Y318" i="6"/>
  <c r="Z318" i="6" s="1"/>
  <c r="AA317" i="6"/>
  <c r="Y317" i="6"/>
  <c r="Z317" i="6" s="1"/>
  <c r="AA316" i="6"/>
  <c r="Z316" i="6"/>
  <c r="Y316" i="6"/>
  <c r="AA315" i="6"/>
  <c r="Y315" i="6"/>
  <c r="Z315" i="6" s="1"/>
  <c r="AA314" i="6"/>
  <c r="Z314" i="6"/>
  <c r="Y314" i="6"/>
  <c r="AA313" i="6"/>
  <c r="Y313" i="6"/>
  <c r="Z313" i="6" s="1"/>
  <c r="AA312" i="6"/>
  <c r="Z312" i="6"/>
  <c r="Y312" i="6"/>
  <c r="AA311" i="6"/>
  <c r="Y311" i="6"/>
  <c r="Z311" i="6" s="1"/>
  <c r="AA310" i="6"/>
  <c r="Z310" i="6"/>
  <c r="Y310" i="6"/>
  <c r="AA309" i="6"/>
  <c r="Y309" i="6"/>
  <c r="Z309" i="6" s="1"/>
  <c r="AA308" i="6"/>
  <c r="Z308" i="6"/>
  <c r="Y308" i="6"/>
  <c r="AA307" i="6"/>
  <c r="Y307" i="6"/>
  <c r="Z307" i="6" s="1"/>
  <c r="AA306" i="6"/>
  <c r="Z306" i="6"/>
  <c r="Y306" i="6"/>
  <c r="AA305" i="6"/>
  <c r="Y305" i="6"/>
  <c r="Z305" i="6" s="1"/>
  <c r="AA304" i="6"/>
  <c r="Z304" i="6"/>
  <c r="Y304" i="6"/>
  <c r="AA303" i="6"/>
  <c r="Y303" i="6"/>
  <c r="Z303" i="6" s="1"/>
  <c r="AA302" i="6"/>
  <c r="Y302" i="6"/>
  <c r="Z302" i="6" s="1"/>
  <c r="AA301" i="6"/>
  <c r="Y301" i="6"/>
  <c r="Z301" i="6" s="1"/>
  <c r="AA300" i="6"/>
  <c r="Z300" i="6"/>
  <c r="Y300" i="6"/>
  <c r="AA299" i="6"/>
  <c r="Y299" i="6"/>
  <c r="Z299" i="6" s="1"/>
  <c r="AA298" i="6"/>
  <c r="Z298" i="6"/>
  <c r="Y298" i="6"/>
  <c r="AA297" i="6"/>
  <c r="Y297" i="6"/>
  <c r="Z297" i="6" s="1"/>
  <c r="AA296" i="6"/>
  <c r="Z296" i="6"/>
  <c r="Y296" i="6"/>
  <c r="AA295" i="6"/>
  <c r="Y295" i="6"/>
  <c r="Z295" i="6" s="1"/>
  <c r="AA294" i="6"/>
  <c r="Z294" i="6"/>
  <c r="Y294" i="6"/>
  <c r="AA293" i="6"/>
  <c r="Y293" i="6"/>
  <c r="Z293" i="6" s="1"/>
  <c r="AA292" i="6"/>
  <c r="Z292" i="6"/>
  <c r="Y292" i="6"/>
  <c r="AA291" i="6"/>
  <c r="Y291" i="6"/>
  <c r="Z291" i="6" s="1"/>
  <c r="AA290" i="6"/>
  <c r="Z290" i="6"/>
  <c r="Y290" i="6"/>
  <c r="AA289" i="6"/>
  <c r="Y289" i="6"/>
  <c r="Z289" i="6" s="1"/>
  <c r="AA288" i="6"/>
  <c r="Z288" i="6"/>
  <c r="Y288" i="6"/>
  <c r="AA287" i="6"/>
  <c r="Y287" i="6"/>
  <c r="Z287" i="6" s="1"/>
  <c r="AA286" i="6"/>
  <c r="Y286" i="6"/>
  <c r="Z286" i="6" s="1"/>
  <c r="AA285" i="6"/>
  <c r="Y285" i="6"/>
  <c r="Z285" i="6" s="1"/>
  <c r="AA284" i="6"/>
  <c r="Z284" i="6"/>
  <c r="Y284" i="6"/>
  <c r="AA283" i="6"/>
  <c r="Y283" i="6"/>
  <c r="Z283" i="6" s="1"/>
  <c r="AA282" i="6"/>
  <c r="Z282" i="6"/>
  <c r="Y282" i="6"/>
  <c r="AA281" i="6"/>
  <c r="Y281" i="6"/>
  <c r="Z281" i="6" s="1"/>
  <c r="AA280" i="6"/>
  <c r="Z280" i="6"/>
  <c r="Y280" i="6"/>
  <c r="AA279" i="6"/>
  <c r="Y279" i="6"/>
  <c r="Z279" i="6" s="1"/>
  <c r="AA278" i="6"/>
  <c r="Z278" i="6"/>
  <c r="Y278" i="6"/>
  <c r="AA277" i="6"/>
  <c r="Y277" i="6"/>
  <c r="Z277" i="6" s="1"/>
  <c r="AA276" i="6"/>
  <c r="Z276" i="6"/>
  <c r="Y276" i="6"/>
  <c r="AA275" i="6"/>
  <c r="Y275" i="6"/>
  <c r="Z275" i="6" s="1"/>
  <c r="AA274" i="6"/>
  <c r="Z274" i="6"/>
  <c r="Y274" i="6"/>
  <c r="AA273" i="6"/>
  <c r="Y273" i="6"/>
  <c r="Z273" i="6" s="1"/>
  <c r="AA272" i="6"/>
  <c r="Z272" i="6"/>
  <c r="Y272" i="6"/>
  <c r="AA271" i="6"/>
  <c r="Y271" i="6"/>
  <c r="Z271" i="6" s="1"/>
  <c r="AA270" i="6"/>
  <c r="Y270" i="6"/>
  <c r="Z270" i="6" s="1"/>
  <c r="AA269" i="6"/>
  <c r="Y269" i="6"/>
  <c r="Z269" i="6" s="1"/>
  <c r="AA268" i="6"/>
  <c r="Z268" i="6"/>
  <c r="Y268" i="6"/>
  <c r="AA267" i="6"/>
  <c r="Y267" i="6"/>
  <c r="Z267" i="6" s="1"/>
  <c r="AA266" i="6"/>
  <c r="Z266" i="6"/>
  <c r="Y266" i="6"/>
  <c r="AA265" i="6"/>
  <c r="Y265" i="6"/>
  <c r="Z265" i="6" s="1"/>
  <c r="AA264" i="6"/>
  <c r="Z264" i="6"/>
  <c r="Y264" i="6"/>
  <c r="AA263" i="6"/>
  <c r="Y263" i="6"/>
  <c r="Z263" i="6" s="1"/>
  <c r="AA262" i="6"/>
  <c r="Z262" i="6"/>
  <c r="Y262" i="6"/>
  <c r="AA261" i="6"/>
  <c r="Y261" i="6"/>
  <c r="Z261" i="6" s="1"/>
  <c r="AA260" i="6"/>
  <c r="Z260" i="6"/>
  <c r="Y260" i="6"/>
  <c r="AA259" i="6"/>
  <c r="Y259" i="6"/>
  <c r="Z259" i="6" s="1"/>
  <c r="AA258" i="6"/>
  <c r="Z258" i="6"/>
  <c r="Y258" i="6"/>
  <c r="AA257" i="6"/>
  <c r="Y257" i="6"/>
  <c r="Z257" i="6" s="1"/>
  <c r="AA256" i="6"/>
  <c r="Z256" i="6"/>
  <c r="Y256" i="6"/>
  <c r="AA255" i="6"/>
  <c r="Y255" i="6"/>
  <c r="Z255" i="6" s="1"/>
  <c r="AA254" i="6"/>
  <c r="Y254" i="6"/>
  <c r="Z254" i="6" s="1"/>
  <c r="AA253" i="6"/>
  <c r="Y253" i="6"/>
  <c r="Z253" i="6" s="1"/>
  <c r="AA252" i="6"/>
  <c r="Z252" i="6"/>
  <c r="Y252" i="6"/>
  <c r="AA251" i="6"/>
  <c r="Y251" i="6"/>
  <c r="Z251" i="6" s="1"/>
  <c r="AA250" i="6"/>
  <c r="Z250" i="6"/>
  <c r="Y250" i="6"/>
  <c r="AA249" i="6"/>
  <c r="Y249" i="6"/>
  <c r="Z249" i="6" s="1"/>
  <c r="AA248" i="6"/>
  <c r="Z248" i="6"/>
  <c r="Y248" i="6"/>
  <c r="AA247" i="6"/>
  <c r="Y247" i="6"/>
  <c r="Z247" i="6" s="1"/>
  <c r="AA246" i="6"/>
  <c r="Z246" i="6"/>
  <c r="Y246" i="6"/>
  <c r="AA245" i="6"/>
  <c r="Y245" i="6"/>
  <c r="Z245" i="6" s="1"/>
  <c r="AA244" i="6"/>
  <c r="Z244" i="6"/>
  <c r="Y244" i="6"/>
  <c r="AA243" i="6"/>
  <c r="Y243" i="6"/>
  <c r="Z243" i="6" s="1"/>
  <c r="AA242" i="6"/>
  <c r="Z242" i="6"/>
  <c r="Y242" i="6"/>
  <c r="AA241" i="6"/>
  <c r="Y241" i="6"/>
  <c r="Z241" i="6" s="1"/>
  <c r="AA240" i="6"/>
  <c r="Z240" i="6"/>
  <c r="Y240" i="6"/>
  <c r="AA239" i="6"/>
  <c r="Y239" i="6"/>
  <c r="Z239" i="6" s="1"/>
  <c r="AA238" i="6"/>
  <c r="Y238" i="6"/>
  <c r="Z238" i="6" s="1"/>
  <c r="AA237" i="6"/>
  <c r="Y237" i="6"/>
  <c r="Z237" i="6" s="1"/>
  <c r="AA236" i="6"/>
  <c r="Z236" i="6"/>
  <c r="Y236" i="6"/>
  <c r="AA235" i="6"/>
  <c r="Y235" i="6"/>
  <c r="Z235" i="6" s="1"/>
  <c r="AA234" i="6"/>
  <c r="Z234" i="6"/>
  <c r="Y234" i="6"/>
  <c r="AA233" i="6"/>
  <c r="Y233" i="6"/>
  <c r="Z233" i="6" s="1"/>
  <c r="AA232" i="6"/>
  <c r="Z232" i="6"/>
  <c r="Y232" i="6"/>
  <c r="AA231" i="6"/>
  <c r="Y231" i="6"/>
  <c r="Z231" i="6" s="1"/>
  <c r="AA230" i="6"/>
  <c r="Z230" i="6"/>
  <c r="Y230" i="6"/>
  <c r="AA229" i="6"/>
  <c r="Y229" i="6"/>
  <c r="Z229" i="6" s="1"/>
  <c r="AA228" i="6"/>
  <c r="Z228" i="6"/>
  <c r="Y228" i="6"/>
  <c r="AA227" i="6"/>
  <c r="Y227" i="6"/>
  <c r="Z227" i="6" s="1"/>
  <c r="AA226" i="6"/>
  <c r="Z226" i="6"/>
  <c r="Y226" i="6"/>
  <c r="AA225" i="6"/>
  <c r="Y225" i="6"/>
  <c r="Z225" i="6" s="1"/>
  <c r="AA224" i="6"/>
  <c r="Z224" i="6"/>
  <c r="Y224" i="6"/>
  <c r="AA223" i="6"/>
  <c r="Y223" i="6"/>
  <c r="Z223" i="6" s="1"/>
  <c r="AA222" i="6"/>
  <c r="Y222" i="6"/>
  <c r="Z222" i="6" s="1"/>
  <c r="AA221" i="6"/>
  <c r="Y221" i="6"/>
  <c r="Z221" i="6" s="1"/>
  <c r="AA220" i="6"/>
  <c r="Z220" i="6"/>
  <c r="Y220" i="6"/>
  <c r="AA219" i="6"/>
  <c r="Y219" i="6"/>
  <c r="Z219" i="6" s="1"/>
  <c r="AA218" i="6"/>
  <c r="Z218" i="6"/>
  <c r="Y218" i="6"/>
  <c r="AA217" i="6"/>
  <c r="Y217" i="6"/>
  <c r="Z217" i="6" s="1"/>
  <c r="AA216" i="6"/>
  <c r="Z216" i="6"/>
  <c r="Y216" i="6"/>
  <c r="AA215" i="6"/>
  <c r="Y215" i="6"/>
  <c r="Z215" i="6" s="1"/>
  <c r="AA214" i="6"/>
  <c r="Z214" i="6"/>
  <c r="Y214" i="6"/>
  <c r="AA213" i="6"/>
  <c r="Y213" i="6"/>
  <c r="Z213" i="6" s="1"/>
  <c r="AA212" i="6"/>
  <c r="Z212" i="6"/>
  <c r="Y212" i="6"/>
  <c r="AA211" i="6"/>
  <c r="Y211" i="6"/>
  <c r="Z211" i="6" s="1"/>
  <c r="AA210" i="6"/>
  <c r="Z210" i="6"/>
  <c r="Y210" i="6"/>
  <c r="AA209" i="6"/>
  <c r="Y209" i="6"/>
  <c r="Z209" i="6" s="1"/>
  <c r="AA208" i="6"/>
  <c r="Z208" i="6"/>
  <c r="Y208" i="6"/>
  <c r="AA207" i="6"/>
  <c r="Y207" i="6"/>
  <c r="Z207" i="6" s="1"/>
  <c r="AA206" i="6"/>
  <c r="Y206" i="6"/>
  <c r="Z206" i="6" s="1"/>
  <c r="AA205" i="6"/>
  <c r="Y205" i="6"/>
  <c r="Z205" i="6" s="1"/>
  <c r="AA204" i="6"/>
  <c r="Z204" i="6"/>
  <c r="Y204" i="6"/>
  <c r="AA203" i="6"/>
  <c r="Y203" i="6"/>
  <c r="Z203" i="6" s="1"/>
  <c r="AA202" i="6"/>
  <c r="Z202" i="6"/>
  <c r="Y202" i="6"/>
  <c r="AA201" i="6"/>
  <c r="Y201" i="6"/>
  <c r="Z201" i="6" s="1"/>
  <c r="AA200" i="6"/>
  <c r="Z200" i="6"/>
  <c r="Y200" i="6"/>
  <c r="AA199" i="6"/>
  <c r="Y199" i="6"/>
  <c r="Z199" i="6" s="1"/>
  <c r="AA198" i="6"/>
  <c r="Z198" i="6"/>
  <c r="Y198" i="6"/>
  <c r="AA197" i="6"/>
  <c r="Y197" i="6"/>
  <c r="Z197" i="6" s="1"/>
  <c r="AA196" i="6"/>
  <c r="Z196" i="6"/>
  <c r="Y196" i="6"/>
  <c r="AA195" i="6"/>
  <c r="Y195" i="6"/>
  <c r="Z195" i="6" s="1"/>
  <c r="AA194" i="6"/>
  <c r="Z194" i="6"/>
  <c r="Y194" i="6"/>
  <c r="AA193" i="6"/>
  <c r="Y193" i="6"/>
  <c r="Z193" i="6" s="1"/>
  <c r="AA192" i="6"/>
  <c r="Z192" i="6"/>
  <c r="Y192" i="6"/>
  <c r="AA191" i="6"/>
  <c r="Y191" i="6"/>
  <c r="Z191" i="6" s="1"/>
  <c r="AA190" i="6"/>
  <c r="Y190" i="6"/>
  <c r="Z190" i="6" s="1"/>
  <c r="AA189" i="6"/>
  <c r="Y189" i="6"/>
  <c r="Z189" i="6" s="1"/>
  <c r="AA188" i="6"/>
  <c r="Z188" i="6"/>
  <c r="Y188" i="6"/>
  <c r="AA187" i="6"/>
  <c r="Y187" i="6"/>
  <c r="Z187" i="6" s="1"/>
  <c r="AA186" i="6"/>
  <c r="Z186" i="6"/>
  <c r="Y186" i="6"/>
  <c r="AA185" i="6"/>
  <c r="Y185" i="6"/>
  <c r="Z185" i="6" s="1"/>
  <c r="AA184" i="6"/>
  <c r="Z184" i="6"/>
  <c r="Y184" i="6"/>
  <c r="AA183" i="6"/>
  <c r="Y183" i="6"/>
  <c r="Z183" i="6" s="1"/>
  <c r="AA182" i="6"/>
  <c r="Z182" i="6"/>
  <c r="Y182" i="6"/>
  <c r="AA181" i="6"/>
  <c r="Y181" i="6"/>
  <c r="Z181" i="6" s="1"/>
  <c r="AA180" i="6"/>
  <c r="Z180" i="6"/>
  <c r="Y180" i="6"/>
  <c r="AA179" i="6"/>
  <c r="Y179" i="6"/>
  <c r="Z179" i="6" s="1"/>
  <c r="AA178" i="6"/>
  <c r="Z178" i="6"/>
  <c r="Y178" i="6"/>
  <c r="AA177" i="6"/>
  <c r="Y177" i="6"/>
  <c r="Z177" i="6" s="1"/>
  <c r="AA176" i="6"/>
  <c r="Z176" i="6"/>
  <c r="Y176" i="6"/>
  <c r="AA175" i="6"/>
  <c r="Y175" i="6"/>
  <c r="Z175" i="6" s="1"/>
  <c r="AA174" i="6"/>
  <c r="Z174" i="6"/>
  <c r="Y174" i="6"/>
  <c r="AA173" i="6"/>
  <c r="Y173" i="6"/>
  <c r="Z173" i="6" s="1"/>
  <c r="AA172" i="6"/>
  <c r="Z172" i="6"/>
  <c r="Y172" i="6"/>
  <c r="AA171" i="6"/>
  <c r="Y171" i="6"/>
  <c r="Z171" i="6" s="1"/>
  <c r="AA170" i="6"/>
  <c r="Z170" i="6"/>
  <c r="Y170" i="6"/>
  <c r="AA169" i="6"/>
  <c r="Y169" i="6"/>
  <c r="Z169" i="6" s="1"/>
  <c r="AA168" i="6"/>
  <c r="Z168" i="6"/>
  <c r="Y168" i="6"/>
  <c r="AA167" i="6"/>
  <c r="Y167" i="6"/>
  <c r="Z167" i="6" s="1"/>
  <c r="AA166" i="6"/>
  <c r="Z166" i="6"/>
  <c r="Y166" i="6"/>
  <c r="AA165" i="6"/>
  <c r="Y165" i="6"/>
  <c r="Z165" i="6" s="1"/>
  <c r="AA164" i="6"/>
  <c r="Y164" i="6"/>
  <c r="Z164" i="6" s="1"/>
  <c r="AA163" i="6"/>
  <c r="Y163" i="6"/>
  <c r="Z163" i="6" s="1"/>
  <c r="AA162" i="6"/>
  <c r="Z162" i="6"/>
  <c r="Y162" i="6"/>
  <c r="AA161" i="6"/>
  <c r="Y161" i="6"/>
  <c r="Z161" i="6" s="1"/>
  <c r="AA160" i="6"/>
  <c r="Z160" i="6"/>
  <c r="Y160" i="6"/>
  <c r="AA159" i="6"/>
  <c r="Y159" i="6"/>
  <c r="Z159" i="6" s="1"/>
  <c r="AA158" i="6"/>
  <c r="Z158" i="6"/>
  <c r="Y158" i="6"/>
  <c r="AA157" i="6"/>
  <c r="Y157" i="6"/>
  <c r="Z157" i="6" s="1"/>
  <c r="AA156" i="6"/>
  <c r="Z156" i="6"/>
  <c r="Y156" i="6"/>
  <c r="AA155" i="6"/>
  <c r="Y155" i="6"/>
  <c r="Z155" i="6" s="1"/>
  <c r="AA154" i="6"/>
  <c r="Y154" i="6"/>
  <c r="Z154" i="6" s="1"/>
  <c r="AA153" i="6"/>
  <c r="Y153" i="6"/>
  <c r="Z153" i="6" s="1"/>
  <c r="AA152" i="6"/>
  <c r="Z152" i="6"/>
  <c r="Y152" i="6"/>
  <c r="AA151" i="6"/>
  <c r="Y151" i="6"/>
  <c r="Z151" i="6" s="1"/>
  <c r="AA150" i="6"/>
  <c r="Z150" i="6"/>
  <c r="Y150" i="6"/>
  <c r="AA149" i="6"/>
  <c r="Y149" i="6"/>
  <c r="Z149" i="6" s="1"/>
  <c r="AA148" i="6"/>
  <c r="Z148" i="6"/>
  <c r="Y148" i="6"/>
  <c r="AA147" i="6"/>
  <c r="Y147" i="6"/>
  <c r="Z147" i="6" s="1"/>
  <c r="AA146" i="6"/>
  <c r="Z146" i="6"/>
  <c r="Y146" i="6"/>
  <c r="AA145" i="6"/>
  <c r="Y145" i="6"/>
  <c r="Z145" i="6" s="1"/>
  <c r="AA144" i="6"/>
  <c r="Z144" i="6"/>
  <c r="Y144" i="6"/>
  <c r="AA143" i="6"/>
  <c r="Y143" i="6"/>
  <c r="Z143" i="6" s="1"/>
  <c r="AA142" i="6"/>
  <c r="Z142" i="6"/>
  <c r="Y142" i="6"/>
  <c r="AA141" i="6"/>
  <c r="Y141" i="6"/>
  <c r="Z141" i="6" s="1"/>
  <c r="AA140" i="6"/>
  <c r="Z140" i="6"/>
  <c r="Y140" i="6"/>
  <c r="AA139" i="6"/>
  <c r="Y139" i="6"/>
  <c r="Z139" i="6" s="1"/>
  <c r="AA138" i="6"/>
  <c r="Y138" i="6"/>
  <c r="Z138" i="6" s="1"/>
  <c r="AA137" i="6"/>
  <c r="Y137" i="6"/>
  <c r="Z137" i="6" s="1"/>
  <c r="AA136" i="6"/>
  <c r="Z136" i="6"/>
  <c r="Y136" i="6"/>
  <c r="AA135" i="6"/>
  <c r="Y135" i="6"/>
  <c r="Z135" i="6" s="1"/>
  <c r="AA134" i="6"/>
  <c r="Z134" i="6"/>
  <c r="Y134" i="6"/>
  <c r="AA133" i="6"/>
  <c r="Y133" i="6"/>
  <c r="Z133" i="6" s="1"/>
  <c r="AA132" i="6"/>
  <c r="Z132" i="6"/>
  <c r="Y132" i="6"/>
  <c r="AA131" i="6"/>
  <c r="Y131" i="6"/>
  <c r="Z131" i="6" s="1"/>
  <c r="AA130" i="6"/>
  <c r="Z130" i="6"/>
  <c r="Y130" i="6"/>
  <c r="AA129" i="6"/>
  <c r="Y129" i="6"/>
  <c r="Z129" i="6" s="1"/>
  <c r="AA128" i="6"/>
  <c r="Y128" i="6"/>
  <c r="Z128" i="6" s="1"/>
  <c r="AA127" i="6"/>
  <c r="Y127" i="6"/>
  <c r="Z127" i="6" s="1"/>
  <c r="AA126" i="6"/>
  <c r="Z126" i="6"/>
  <c r="Y126" i="6"/>
  <c r="AA125" i="6"/>
  <c r="Y125" i="6"/>
  <c r="Z125" i="6" s="1"/>
  <c r="AA124" i="6"/>
  <c r="Z124" i="6"/>
  <c r="Y124" i="6"/>
  <c r="AA123" i="6"/>
  <c r="Y123" i="6"/>
  <c r="Z123" i="6" s="1"/>
  <c r="AA122" i="6"/>
  <c r="Z122" i="6"/>
  <c r="Y122" i="6"/>
  <c r="AA121" i="6"/>
  <c r="Y121" i="6"/>
  <c r="Z121" i="6" s="1"/>
  <c r="AA120" i="6"/>
  <c r="Z120" i="6"/>
  <c r="Y120" i="6"/>
  <c r="AA119" i="6"/>
  <c r="Y119" i="6"/>
  <c r="Z119" i="6" s="1"/>
  <c r="AA118" i="6"/>
  <c r="Z118" i="6"/>
  <c r="Y118" i="6"/>
  <c r="AA117" i="6"/>
  <c r="Y117" i="6"/>
  <c r="Z117" i="6" s="1"/>
  <c r="AA116" i="6"/>
  <c r="Z116" i="6"/>
  <c r="Y116" i="6"/>
  <c r="AA115" i="6"/>
  <c r="Y115" i="6"/>
  <c r="Z115" i="6" s="1"/>
  <c r="AA114" i="6"/>
  <c r="Z114" i="6"/>
  <c r="Y114" i="6"/>
  <c r="AA113" i="6"/>
  <c r="Y113" i="6"/>
  <c r="Z113" i="6" s="1"/>
  <c r="AA112" i="6"/>
  <c r="Z112" i="6"/>
  <c r="Y112" i="6"/>
  <c r="AA111" i="6"/>
  <c r="Y111" i="6"/>
  <c r="Z111" i="6" s="1"/>
  <c r="AA110" i="6"/>
  <c r="Z110" i="6"/>
  <c r="Y110" i="6"/>
  <c r="AA109" i="6"/>
  <c r="Y109" i="6"/>
  <c r="Z109" i="6" s="1"/>
  <c r="AA108" i="6"/>
  <c r="Z108" i="6"/>
  <c r="Y108" i="6"/>
  <c r="AA107" i="6"/>
  <c r="Y107" i="6"/>
  <c r="Z107" i="6" s="1"/>
  <c r="AA106" i="6"/>
  <c r="Z106" i="6"/>
  <c r="Y106" i="6"/>
  <c r="AA105" i="6"/>
  <c r="Y105" i="6"/>
  <c r="Z105" i="6" s="1"/>
  <c r="AA104" i="6"/>
  <c r="Z104" i="6"/>
  <c r="Y104" i="6"/>
  <c r="AA103" i="6"/>
  <c r="Y103" i="6"/>
  <c r="Z103" i="6" s="1"/>
  <c r="AA102" i="6"/>
  <c r="Y102" i="6"/>
  <c r="Z102" i="6" s="1"/>
  <c r="AA101" i="6"/>
  <c r="Y101" i="6"/>
  <c r="Z101" i="6" s="1"/>
  <c r="AA100" i="6"/>
  <c r="Z100" i="6"/>
  <c r="Y100" i="6"/>
  <c r="AA99" i="6"/>
  <c r="Y99" i="6"/>
  <c r="Z99" i="6" s="1"/>
  <c r="AA98" i="6"/>
  <c r="Z98" i="6"/>
  <c r="Y98" i="6"/>
  <c r="AA97" i="6"/>
  <c r="Y97" i="6"/>
  <c r="Z97" i="6" s="1"/>
  <c r="AA96" i="6"/>
  <c r="Z96" i="6"/>
  <c r="Y96" i="6"/>
  <c r="AA95" i="6"/>
  <c r="Y95" i="6"/>
  <c r="Z95" i="6" s="1"/>
  <c r="AA94" i="6"/>
  <c r="Z94" i="6"/>
  <c r="Y94" i="6"/>
  <c r="AA93" i="6"/>
  <c r="Y93" i="6"/>
  <c r="Z93" i="6" s="1"/>
  <c r="AA92" i="6"/>
  <c r="Z92" i="6"/>
  <c r="Y92" i="6"/>
  <c r="AA91" i="6"/>
  <c r="Y91" i="6"/>
  <c r="Z91" i="6" s="1"/>
  <c r="AA90" i="6"/>
  <c r="Z90" i="6"/>
  <c r="Y90" i="6"/>
  <c r="AA89" i="6"/>
  <c r="Y89" i="6"/>
  <c r="Z89" i="6" s="1"/>
  <c r="AA88" i="6"/>
  <c r="Z88" i="6"/>
  <c r="Y88" i="6"/>
  <c r="AA87" i="6"/>
  <c r="Y87" i="6"/>
  <c r="Z87" i="6" s="1"/>
  <c r="AA86" i="6"/>
  <c r="Z86" i="6"/>
  <c r="Y86" i="6"/>
  <c r="AA85" i="6"/>
  <c r="Y85" i="6"/>
  <c r="Z85" i="6" s="1"/>
  <c r="AA84" i="6"/>
  <c r="Z84" i="6"/>
  <c r="Y84" i="6"/>
  <c r="AA83" i="6"/>
  <c r="Y83" i="6"/>
  <c r="Z83" i="6" s="1"/>
  <c r="AA82" i="6"/>
  <c r="Z82" i="6"/>
  <c r="Y82" i="6"/>
  <c r="AA81" i="6"/>
  <c r="Y81" i="6"/>
  <c r="Z81" i="6" s="1"/>
  <c r="AA80" i="6"/>
  <c r="Z80" i="6"/>
  <c r="Y80" i="6"/>
  <c r="AA79" i="6"/>
  <c r="Y79" i="6"/>
  <c r="Z79" i="6" s="1"/>
  <c r="AA78" i="6"/>
  <c r="Z78" i="6"/>
  <c r="Y78" i="6"/>
  <c r="AA77" i="6"/>
  <c r="Y77" i="6"/>
  <c r="Z77" i="6" s="1"/>
  <c r="AA76" i="6"/>
  <c r="Y76" i="6"/>
  <c r="Z76" i="6" s="1"/>
  <c r="AA75" i="6"/>
  <c r="Y75" i="6"/>
  <c r="Z75" i="6" s="1"/>
  <c r="AA74" i="6"/>
  <c r="Z74" i="6"/>
  <c r="Y74" i="6"/>
  <c r="AA73" i="6"/>
  <c r="Y73" i="6"/>
  <c r="Z73" i="6" s="1"/>
  <c r="AA72" i="6"/>
  <c r="Z72" i="6"/>
  <c r="Y72" i="6"/>
  <c r="AA71" i="6"/>
  <c r="Y71" i="6"/>
  <c r="Z71" i="6" s="1"/>
  <c r="AA70" i="6"/>
  <c r="Z70" i="6"/>
  <c r="Y70" i="6"/>
  <c r="AA69" i="6"/>
  <c r="Y69" i="6"/>
  <c r="Z69" i="6" s="1"/>
  <c r="AA68" i="6"/>
  <c r="Z68" i="6"/>
  <c r="Y68" i="6"/>
  <c r="AA67" i="6"/>
  <c r="Y67" i="6"/>
  <c r="Z67" i="6" s="1"/>
  <c r="AA66" i="6"/>
  <c r="Y66" i="6"/>
  <c r="Z66" i="6" s="1"/>
  <c r="AA65" i="6"/>
  <c r="Y65" i="6"/>
  <c r="Z65" i="6" s="1"/>
  <c r="AA64" i="6"/>
  <c r="Z64" i="6"/>
  <c r="Y64" i="6"/>
  <c r="AA63" i="6"/>
  <c r="Y63" i="6"/>
  <c r="Z63" i="6" s="1"/>
  <c r="AA62" i="6"/>
  <c r="Z62" i="6"/>
  <c r="Y62" i="6"/>
  <c r="AA61" i="6"/>
  <c r="Y61" i="6"/>
  <c r="Z61" i="6" s="1"/>
  <c r="AA60" i="6"/>
  <c r="Z60" i="6"/>
  <c r="Y60" i="6"/>
  <c r="AA59" i="6"/>
  <c r="Y59" i="6"/>
  <c r="Z59" i="6" s="1"/>
  <c r="AA58" i="6"/>
  <c r="Z58" i="6"/>
  <c r="Y58" i="6"/>
  <c r="AA57" i="6"/>
  <c r="Y57" i="6"/>
  <c r="Z57" i="6" s="1"/>
  <c r="AA56" i="6"/>
  <c r="Z56" i="6"/>
  <c r="Y56" i="6"/>
  <c r="AA55" i="6"/>
  <c r="Y55" i="6"/>
  <c r="Z55" i="6" s="1"/>
  <c r="AA54" i="6"/>
  <c r="Z54" i="6"/>
  <c r="Y54" i="6"/>
  <c r="AA53" i="6"/>
  <c r="Y53" i="6"/>
  <c r="Z53" i="6" s="1"/>
  <c r="AA52" i="6"/>
  <c r="Z52" i="6"/>
  <c r="Y52" i="6"/>
  <c r="AA51" i="6"/>
  <c r="Y51" i="6"/>
  <c r="Z51" i="6" s="1"/>
  <c r="AA50" i="6"/>
  <c r="Y50" i="6"/>
  <c r="Z50" i="6" s="1"/>
  <c r="AA49" i="6"/>
  <c r="Y49" i="6"/>
  <c r="Z49" i="6" s="1"/>
  <c r="AA48" i="6"/>
  <c r="Z48" i="6"/>
  <c r="Y48" i="6"/>
  <c r="AA47" i="6"/>
  <c r="Y47" i="6"/>
  <c r="Z47" i="6" s="1"/>
  <c r="AA46" i="6"/>
  <c r="Z46" i="6"/>
  <c r="Y46" i="6"/>
  <c r="Y45" i="6"/>
  <c r="Z45" i="6" s="1"/>
  <c r="Z44" i="6"/>
  <c r="Y44" i="6"/>
  <c r="Z43" i="6"/>
  <c r="Y43" i="6"/>
  <c r="Z42" i="6"/>
  <c r="Y42" i="6"/>
  <c r="Z41" i="6"/>
  <c r="Y41" i="6"/>
  <c r="Z40" i="6"/>
  <c r="Y40" i="6"/>
  <c r="Z39" i="6"/>
  <c r="Y39" i="6"/>
  <c r="Z38" i="6"/>
  <c r="Y38" i="6"/>
  <c r="Y37" i="6"/>
  <c r="Z37" i="6" s="1"/>
  <c r="Z36" i="6"/>
  <c r="Y36" i="6"/>
  <c r="Z35" i="6"/>
  <c r="Y35" i="6"/>
  <c r="Z34" i="6"/>
  <c r="Y34" i="6"/>
  <c r="Z33" i="6"/>
  <c r="Y33" i="6"/>
  <c r="Z32" i="6"/>
  <c r="Y32" i="6"/>
  <c r="Z31" i="6"/>
  <c r="Y31" i="6"/>
  <c r="Z30" i="6"/>
  <c r="Y30" i="6"/>
  <c r="Y29" i="6"/>
  <c r="Z29" i="6" s="1"/>
  <c r="Z28" i="6"/>
  <c r="Y28" i="6"/>
  <c r="Z27" i="6"/>
  <c r="Y27" i="6"/>
  <c r="Z26" i="6"/>
  <c r="Y26" i="6"/>
  <c r="Z25" i="6"/>
  <c r="Y25" i="6"/>
  <c r="Z24" i="6"/>
  <c r="Y24" i="6"/>
  <c r="R131" i="2" l="1"/>
  <c r="S131" i="2"/>
  <c r="S130" i="2"/>
  <c r="R130" i="2"/>
  <c r="S133" i="2"/>
  <c r="R129" i="2"/>
  <c r="S129" i="2"/>
  <c r="R128" i="2"/>
  <c r="S128" i="2"/>
  <c r="S127" i="2"/>
  <c r="R127" i="2"/>
  <c r="S132" i="2"/>
  <c r="S135" i="2"/>
  <c r="S134" i="2"/>
  <c r="S95" i="2"/>
  <c r="R95" i="2"/>
  <c r="R97" i="2"/>
  <c r="S97" i="2"/>
  <c r="R96" i="2"/>
  <c r="S96" i="2"/>
  <c r="R109" i="2"/>
  <c r="S109" i="2"/>
  <c r="R108" i="2"/>
  <c r="S108" i="2"/>
  <c r="R106" i="2"/>
  <c r="S106" i="2"/>
  <c r="R105" i="2"/>
  <c r="S105" i="2"/>
  <c r="R104" i="2"/>
  <c r="S104" i="2"/>
  <c r="S103" i="2"/>
  <c r="R103" i="2"/>
  <c r="R102" i="2"/>
  <c r="S102" i="2"/>
  <c r="R101" i="2"/>
  <c r="S101" i="2"/>
  <c r="R100" i="2"/>
  <c r="S100" i="2"/>
  <c r="R107" i="2"/>
  <c r="S107" i="2"/>
  <c r="R99" i="2"/>
  <c r="S99" i="2"/>
  <c r="R98" i="2"/>
  <c r="S98" i="2"/>
  <c r="R111" i="2"/>
  <c r="S111" i="2"/>
  <c r="S110" i="2"/>
  <c r="R110" i="2"/>
  <c r="AC498" i="6"/>
  <c r="AA500" i="6"/>
  <c r="M74" i="2" l="1"/>
  <c r="M73" i="2"/>
  <c r="M72" i="2"/>
  <c r="M71" i="2"/>
  <c r="M70" i="2"/>
  <c r="M69" i="2"/>
  <c r="O3" i="4"/>
  <c r="P72" i="2" l="1"/>
  <c r="O72" i="2"/>
  <c r="O69" i="2"/>
  <c r="P69" i="2"/>
  <c r="O70" i="2"/>
  <c r="P70" i="2"/>
  <c r="O71" i="2"/>
  <c r="S71" i="2" s="1"/>
  <c r="P71" i="2"/>
  <c r="O73" i="2"/>
  <c r="P73" i="2"/>
  <c r="P74" i="2"/>
  <c r="O74" i="2"/>
  <c r="R74" i="2" s="1"/>
  <c r="R73" i="2"/>
  <c r="S73" i="2"/>
  <c r="S72" i="2"/>
  <c r="R72" i="2"/>
  <c r="R69" i="2"/>
  <c r="S69" i="2"/>
  <c r="R70" i="2"/>
  <c r="S70" i="2"/>
  <c r="R71" i="2"/>
  <c r="S3" i="4"/>
  <c r="R4" i="4"/>
  <c r="R3" i="4"/>
  <c r="S4" i="4"/>
  <c r="S5" i="4"/>
  <c r="R5" i="4"/>
  <c r="S74" i="2" l="1"/>
  <c r="R68" i="2"/>
  <c r="S68" i="2"/>
  <c r="R67" i="2"/>
  <c r="S67" i="2"/>
  <c r="R66" i="2"/>
  <c r="S66" i="2"/>
  <c r="R65" i="2"/>
  <c r="S65" i="2"/>
  <c r="R64" i="2"/>
  <c r="S64" i="2"/>
  <c r="R63" i="2"/>
  <c r="S63" i="2"/>
  <c r="R62" i="2"/>
  <c r="S62" i="2"/>
  <c r="R61" i="2"/>
  <c r="S61" i="2"/>
  <c r="R60" i="2"/>
  <c r="S60" i="2"/>
  <c r="R59" i="2"/>
  <c r="S59" i="2"/>
  <c r="R58" i="2"/>
  <c r="S58" i="2"/>
  <c r="R57" i="2"/>
  <c r="S57" i="2"/>
  <c r="R42" i="2"/>
  <c r="S42" i="2"/>
  <c r="O3" i="2"/>
  <c r="S43" i="2" l="1"/>
  <c r="R43" i="2"/>
  <c r="S48" i="2"/>
  <c r="R48" i="2"/>
  <c r="S47" i="2"/>
  <c r="R37" i="2"/>
  <c r="R47" i="2"/>
  <c r="S46" i="2"/>
  <c r="S37" i="2"/>
  <c r="S36" i="2"/>
  <c r="R46" i="2"/>
  <c r="R52" i="2"/>
  <c r="S52" i="2"/>
  <c r="R55" i="2"/>
  <c r="S55" i="2"/>
  <c r="R50" i="2"/>
  <c r="S50" i="2"/>
  <c r="R51" i="2"/>
  <c r="S51" i="2"/>
  <c r="R49" i="2"/>
  <c r="R56" i="2"/>
  <c r="S56" i="2"/>
  <c r="S40" i="2"/>
  <c r="R40" i="2"/>
  <c r="S49" i="2"/>
  <c r="S39" i="2"/>
  <c r="R54" i="2"/>
  <c r="S54" i="2"/>
  <c r="R39" i="2"/>
  <c r="R45" i="2"/>
  <c r="R41" i="2"/>
  <c r="S45" i="2"/>
  <c r="S38" i="2"/>
  <c r="S44" i="2"/>
  <c r="R36" i="2"/>
  <c r="R53" i="2"/>
  <c r="S53" i="2"/>
  <c r="S41" i="2"/>
  <c r="R38" i="2"/>
  <c r="R44" i="2"/>
  <c r="S13" i="2"/>
  <c r="S12" i="2"/>
  <c r="S11" i="2"/>
  <c r="S10" i="2"/>
  <c r="S9" i="2"/>
  <c r="S8" i="2"/>
  <c r="R34" i="2"/>
  <c r="S34" i="2"/>
  <c r="R35" i="2"/>
  <c r="S35" i="2"/>
  <c r="S17" i="2"/>
  <c r="S24" i="2"/>
  <c r="S7" i="2"/>
  <c r="R28" i="2"/>
  <c r="S28" i="2"/>
  <c r="S18" i="2"/>
  <c r="R24" i="2"/>
  <c r="S16" i="2"/>
  <c r="S25" i="2"/>
  <c r="S6" i="2"/>
  <c r="S5" i="2"/>
  <c r="S4" i="2"/>
  <c r="S15" i="2"/>
  <c r="R25" i="2"/>
  <c r="R33" i="2"/>
  <c r="S33" i="2"/>
  <c r="S26" i="2"/>
  <c r="R26" i="2"/>
  <c r="R27" i="2"/>
  <c r="S27" i="2"/>
  <c r="S14" i="2"/>
  <c r="S3" i="2"/>
  <c r="R32" i="2"/>
  <c r="S32" i="2"/>
  <c r="R29" i="2"/>
  <c r="S29" i="2"/>
  <c r="R30" i="2"/>
  <c r="S30" i="2"/>
  <c r="R31" i="2"/>
  <c r="S31" i="2"/>
  <c r="S20" i="2"/>
  <c r="R19" i="2"/>
  <c r="R20" i="2"/>
  <c r="S21" i="2"/>
  <c r="S19" i="2"/>
  <c r="S22" i="2"/>
  <c r="R21" i="2"/>
  <c r="R22" i="2"/>
  <c r="S23" i="2"/>
  <c r="R23" i="2"/>
  <c r="R5" i="2"/>
  <c r="R10" i="2"/>
  <c r="R11" i="2"/>
  <c r="R9" i="2"/>
  <c r="R12" i="2"/>
  <c r="R8" i="2"/>
  <c r="R7" i="2"/>
  <c r="R6" i="2"/>
  <c r="R4" i="2"/>
  <c r="R3" i="2"/>
  <c r="R13" i="2"/>
  <c r="R15" i="2"/>
  <c r="R18" i="2"/>
  <c r="R17" i="2"/>
  <c r="R16" i="2"/>
  <c r="R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<sst xmlns="http://schemas.openxmlformats.org/spreadsheetml/2006/main" count="132" uniqueCount="69">
  <si>
    <t>day</t>
  </si>
  <si>
    <t>idx</t>
  </si>
  <si>
    <t>date</t>
  </si>
  <si>
    <t>count</t>
  </si>
  <si>
    <t>tavg</t>
  </si>
  <si>
    <t>prcp</t>
  </si>
  <si>
    <t>snow</t>
  </si>
  <si>
    <t>wspd</t>
  </si>
  <si>
    <t>holiday</t>
  </si>
  <si>
    <t>std dev</t>
  </si>
  <si>
    <t>lent friday</t>
  </si>
  <si>
    <t>good friday</t>
  </si>
  <si>
    <t>easter</t>
  </si>
  <si>
    <t>cinco de mayo</t>
  </si>
  <si>
    <t>mothers day</t>
  </si>
  <si>
    <t>memorial day</t>
  </si>
  <si>
    <t>fathers day</t>
  </si>
  <si>
    <t>juneteenth</t>
  </si>
  <si>
    <t>independence day</t>
  </si>
  <si>
    <t>labor day</t>
  </si>
  <si>
    <t>yom kimpur</t>
  </si>
  <si>
    <t>columbus day</t>
  </si>
  <si>
    <t>diwali, halloween</t>
  </si>
  <si>
    <t>election day</t>
  </si>
  <si>
    <t>veterans day</t>
  </si>
  <si>
    <t>thanksgiving</t>
  </si>
  <si>
    <t>black friday</t>
  </si>
  <si>
    <t>christmas eve</t>
  </si>
  <si>
    <t>christmas day</t>
  </si>
  <si>
    <t>hanukkah</t>
  </si>
  <si>
    <t>new years eve</t>
  </si>
  <si>
    <t>new years day</t>
  </si>
  <si>
    <t>mlk day</t>
  </si>
  <si>
    <t>super bowl</t>
  </si>
  <si>
    <t>valentines day</t>
  </si>
  <si>
    <t>presidents day</t>
  </si>
  <si>
    <t>ramadan</t>
  </si>
  <si>
    <t>ash wednesday</t>
  </si>
  <si>
    <t>st patricks day</t>
  </si>
  <si>
    <t>avg</t>
  </si>
  <si>
    <t>acc</t>
  </si>
  <si>
    <t>loss</t>
  </si>
  <si>
    <t>std</t>
  </si>
  <si>
    <t>actual</t>
  </si>
  <si>
    <t>predicted</t>
  </si>
  <si>
    <t>|actual-avg|</t>
  </si>
  <si>
    <t># of pred that are within 10 of target</t>
  </si>
  <si>
    <t>% of accuracy</t>
  </si>
  <si>
    <t>number of active rows</t>
  </si>
  <si>
    <t>std dev of prediction</t>
  </si>
  <si>
    <t>average of prediction</t>
  </si>
  <si>
    <t>halloween</t>
  </si>
  <si>
    <t>diwali</t>
  </si>
  <si>
    <t>exp</t>
  </si>
  <si>
    <t>slide</t>
  </si>
  <si>
    <t>norm</t>
  </si>
  <si>
    <t>norm&amp;exp</t>
  </si>
  <si>
    <t>exp&amp;slid</t>
  </si>
  <si>
    <t>slid&amp;norm</t>
  </si>
  <si>
    <t>using weighted is best for weekdays but not weekend</t>
  </si>
  <si>
    <t>unweighted average is best for weekend data not weekday</t>
  </si>
  <si>
    <t>daylight saving start</t>
  </si>
  <si>
    <t>daylight saving end</t>
  </si>
  <si>
    <t>prior</t>
  </si>
  <si>
    <t>no prior</t>
  </si>
  <si>
    <t>time(sec)</t>
  </si>
  <si>
    <t>all</t>
  </si>
  <si>
    <t>trn %</t>
  </si>
  <si>
    <t>lent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</si>
</sst>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CCCCCC"/>
      <name val="Consolas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4" fontId="1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horizontal="right"/>
    </xf>
    <xf numFmtId="14" fontId="1" fillId="0" borderId="4" xfId="0" applyNumberFormat="1" applyFont="1" applyBorder="1" applyAlignment="1">
      <alignment horizontal="left"/>
    </xf>
    <xf numFmtId="4" fontId="1" fillId="0" borderId="4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left"/>
    </xf>
    <xf numFmtId="1" fontId="1" fillId="0" borderId="4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1" fillId="0" borderId="12" xfId="0" applyNumberFormat="1" applyFont="1" applyBorder="1" applyAlignment="1">
      <alignment horizontal="left"/>
    </xf>
    <xf numFmtId="0" fontId="0" fillId="0" borderId="15" xfId="0" applyBorder="1"/>
    <xf numFmtId="0" fontId="0" fillId="0" borderId="8" xfId="0" applyBorder="1"/>
    <xf numFmtId="3" fontId="1" fillId="0" borderId="12" xfId="0" applyNumberFormat="1" applyFont="1" applyBorder="1" applyAlignment="1">
      <alignment horizontal="right"/>
    </xf>
    <xf numFmtId="3" fontId="0" fillId="0" borderId="0" xfId="0" applyNumberFormat="1"/>
    <xf numFmtId="14" fontId="1" fillId="2" borderId="12" xfId="0" applyNumberFormat="1" applyFont="1" applyFill="1" applyBorder="1" applyAlignment="1">
      <alignment horizontal="left"/>
    </xf>
    <xf numFmtId="0" fontId="0" fillId="2" borderId="0" xfId="0" applyFill="1"/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16" xfId="0" applyBorder="1"/>
    <xf numFmtId="0" fontId="0" fillId="0" borderId="18" xfId="0" applyBorder="1"/>
    <xf numFmtId="0" fontId="0" fillId="3" borderId="0" xfId="0" applyFill="1"/>
    <xf numFmtId="0" fontId="0" fillId="3" borderId="0" xfId="0" applyFill="1" applyAlignment="1">
      <alignment horizontal="right"/>
    </xf>
    <xf numFmtId="0" fontId="0" fillId="0" borderId="19" xfId="0" applyBorder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4" fontId="0" fillId="0" borderId="0" xfId="0" applyNumberFormat="1"/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3" borderId="20" xfId="0" applyFill="1" applyBorder="1"/>
    <xf numFmtId="0" fontId="0" fillId="3" borderId="17" xfId="0" applyFill="1" applyBorder="1"/>
    <xf numFmtId="14" fontId="1" fillId="0" borderId="2" xfId="0" applyNumberFormat="1" applyFont="1" applyBorder="1" applyAlignment="1">
      <alignment horizontal="right"/>
    </xf>
    <xf numFmtId="14" fontId="1" fillId="0" borderId="4" xfId="0" applyNumberFormat="1" applyFont="1" applyBorder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3" xfId="0" applyFill="1" applyBorder="1"/>
    <xf numFmtId="1" fontId="0" fillId="2" borderId="0" xfId="0" applyNumberFormat="1" applyFill="1"/>
  </cellXfs>
  <cellStyles count="1">
    <cellStyle name="Normal" xfId="0" builtinId="0"/>
  </cellStyles>
  <dxfs count="17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0061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BA3A3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BA3A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BA3A3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745"/>
  <sheetViews>
    <sheetView tabSelected="1" zoomScaleNormal="100" workbookViewId="0">
      <pane ySplit="1" topLeftCell="A711" activePane="bottomLeft" state="frozen"/>
      <selection pane="bottomLeft" activeCell="N713" sqref="N713:S743"/>
    </sheetView>
  </sheetViews>
  <sheetFormatPr defaultRowHeight="15" customHeight="1" x14ac:dyDescent="0.25"/>
  <cols>
    <col min="1" max="1" width="13.5703125" style="13" bestFit="1" customWidth="1"/>
    <col min="2" max="2" width="10.140625" style="13" customWidth="1"/>
    <col min="3" max="3" width="12" style="51" bestFit="1" customWidth="1"/>
    <col min="4" max="4" width="10.7109375" style="13" customWidth="1"/>
    <col min="5" max="5" width="13.5703125" style="8" bestFit="1" customWidth="1"/>
    <col min="6" max="6" width="11.28515625" style="8" customWidth="1"/>
    <col min="7" max="7" width="12" style="8" customWidth="1"/>
    <col min="8" max="8" width="12.42578125" style="8" customWidth="1"/>
    <col min="9" max="9" width="19.140625" customWidth="1"/>
    <col min="10" max="10" width="13.5703125" style="8" bestFit="1" customWidth="1"/>
    <col min="11" max="11" width="13.5703125" style="9" bestFit="1" customWidth="1"/>
  </cols>
  <sheetData>
    <row r="1" spans="1:11" ht="15" customHeight="1" thickBot="1" x14ac:dyDescent="0.3">
      <c r="A1" s="1" t="s">
        <v>0</v>
      </c>
      <c r="B1" s="2" t="s">
        <v>1</v>
      </c>
      <c r="C1" s="49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8" t="s">
        <v>8</v>
      </c>
      <c r="J1" s="3" t="s">
        <v>9</v>
      </c>
      <c r="K1" s="4"/>
    </row>
    <row r="2" spans="1:11" ht="15" customHeight="1" x14ac:dyDescent="0.25">
      <c r="A2" s="5">
        <v>6</v>
      </c>
      <c r="B2" s="5">
        <v>1</v>
      </c>
      <c r="C2" s="50">
        <v>45373</v>
      </c>
      <c r="D2" s="5">
        <v>53</v>
      </c>
      <c r="E2" s="7">
        <v>34.9</v>
      </c>
      <c r="F2" s="7">
        <v>0.13</v>
      </c>
      <c r="G2" s="7">
        <v>0</v>
      </c>
      <c r="H2" s="7">
        <v>10.5</v>
      </c>
      <c r="I2" s="39" t="s">
        <v>10</v>
      </c>
    </row>
    <row r="3" spans="1:11" ht="15" customHeight="1" x14ac:dyDescent="0.25">
      <c r="A3" s="5">
        <v>7</v>
      </c>
      <c r="B3" s="5">
        <v>2</v>
      </c>
      <c r="C3" s="50">
        <v>45374</v>
      </c>
      <c r="D3" s="5">
        <v>44</v>
      </c>
      <c r="E3" s="7">
        <v>34</v>
      </c>
      <c r="F3" s="7">
        <v>0</v>
      </c>
      <c r="G3" s="7">
        <v>0</v>
      </c>
      <c r="H3" s="7">
        <v>11.9</v>
      </c>
    </row>
    <row r="4" spans="1:11" ht="15" customHeight="1" x14ac:dyDescent="0.25">
      <c r="A4" s="5">
        <v>1</v>
      </c>
      <c r="B4" s="5">
        <v>3</v>
      </c>
      <c r="C4" s="50">
        <v>45375</v>
      </c>
      <c r="D4" s="5">
        <v>37</v>
      </c>
      <c r="E4" s="7">
        <v>37.4</v>
      </c>
      <c r="F4" s="7">
        <v>0</v>
      </c>
      <c r="G4" s="7">
        <v>0</v>
      </c>
      <c r="H4" s="7">
        <v>14.3</v>
      </c>
    </row>
    <row r="5" spans="1:11" ht="15" customHeight="1" x14ac:dyDescent="0.25">
      <c r="A5" s="5">
        <v>2</v>
      </c>
      <c r="B5" s="5">
        <v>4</v>
      </c>
      <c r="C5" s="50">
        <v>45376</v>
      </c>
      <c r="D5" s="5">
        <v>19</v>
      </c>
      <c r="E5" s="7">
        <v>50.9</v>
      </c>
      <c r="F5" s="7">
        <v>0.46899999999999997</v>
      </c>
      <c r="G5" s="7">
        <v>0</v>
      </c>
      <c r="H5" s="7">
        <v>11.9</v>
      </c>
    </row>
    <row r="6" spans="1:11" ht="15" customHeight="1" x14ac:dyDescent="0.25">
      <c r="A6" s="5">
        <v>3</v>
      </c>
      <c r="B6" s="5">
        <v>5</v>
      </c>
      <c r="C6" s="50">
        <v>45377</v>
      </c>
      <c r="D6" s="5">
        <v>34</v>
      </c>
      <c r="E6" s="7">
        <v>50.7</v>
      </c>
      <c r="F6" s="7">
        <v>0.14199999999999999</v>
      </c>
      <c r="G6" s="7">
        <v>0</v>
      </c>
      <c r="H6" s="7">
        <v>19.3</v>
      </c>
    </row>
    <row r="7" spans="1:11" ht="15" customHeight="1" x14ac:dyDescent="0.25">
      <c r="A7" s="5">
        <v>4</v>
      </c>
      <c r="B7" s="5">
        <v>6</v>
      </c>
      <c r="C7" s="50">
        <v>45378</v>
      </c>
      <c r="D7" s="5">
        <v>48</v>
      </c>
      <c r="E7" s="7">
        <v>34.299999999999997</v>
      </c>
      <c r="F7" s="7">
        <v>0</v>
      </c>
      <c r="G7" s="7">
        <v>0</v>
      </c>
      <c r="H7" s="7">
        <v>12.7</v>
      </c>
    </row>
    <row r="8" spans="1:11" ht="15" customHeight="1" x14ac:dyDescent="0.25">
      <c r="A8" s="5">
        <v>5</v>
      </c>
      <c r="B8" s="5">
        <v>7</v>
      </c>
      <c r="C8" s="50">
        <v>45379</v>
      </c>
      <c r="D8" s="5">
        <v>37</v>
      </c>
      <c r="E8" s="7">
        <v>38.5</v>
      </c>
      <c r="F8" s="7">
        <v>0</v>
      </c>
      <c r="G8" s="7">
        <v>0</v>
      </c>
      <c r="H8" s="7">
        <v>7.1</v>
      </c>
    </row>
    <row r="9" spans="1:11" ht="15" customHeight="1" x14ac:dyDescent="0.25">
      <c r="A9" s="5">
        <v>6</v>
      </c>
      <c r="B9" s="5">
        <v>8</v>
      </c>
      <c r="C9" s="50">
        <v>45380</v>
      </c>
      <c r="D9" s="5">
        <v>49</v>
      </c>
      <c r="E9" s="7">
        <v>42.3</v>
      </c>
      <c r="F9" s="7">
        <v>3.1E-2</v>
      </c>
      <c r="G9" s="7">
        <v>0</v>
      </c>
      <c r="H9" s="7">
        <v>7.6</v>
      </c>
      <c r="I9" s="39" t="s">
        <v>11</v>
      </c>
    </row>
    <row r="10" spans="1:11" ht="15" customHeight="1" x14ac:dyDescent="0.25">
      <c r="A10" s="5">
        <v>7</v>
      </c>
      <c r="B10" s="5">
        <v>9</v>
      </c>
      <c r="C10" s="50">
        <v>45381</v>
      </c>
      <c r="D10" s="5">
        <v>73</v>
      </c>
      <c r="E10" s="7">
        <v>48.2</v>
      </c>
      <c r="F10" s="7">
        <v>0.40200000000000002</v>
      </c>
      <c r="G10" s="7">
        <v>0</v>
      </c>
      <c r="H10" s="7">
        <v>8.6999999999999993</v>
      </c>
    </row>
    <row r="11" spans="1:11" ht="15" customHeight="1" x14ac:dyDescent="0.25">
      <c r="A11" s="5">
        <v>1</v>
      </c>
      <c r="B11" s="5">
        <v>10</v>
      </c>
      <c r="C11" s="50">
        <v>45382</v>
      </c>
      <c r="D11" s="5">
        <v>21</v>
      </c>
      <c r="E11" s="7">
        <v>42.6</v>
      </c>
      <c r="F11" s="7">
        <v>0.26</v>
      </c>
      <c r="G11" s="7">
        <v>0</v>
      </c>
      <c r="H11" s="7">
        <v>10.5</v>
      </c>
      <c r="I11" s="39" t="s">
        <v>12</v>
      </c>
      <c r="J11" s="5"/>
      <c r="K11" s="5"/>
    </row>
    <row r="12" spans="1:11" ht="15" customHeight="1" x14ac:dyDescent="0.25">
      <c r="A12" s="5">
        <v>2</v>
      </c>
      <c r="B12" s="5">
        <v>11</v>
      </c>
      <c r="C12" s="50">
        <v>45383</v>
      </c>
      <c r="D12" s="5">
        <v>43</v>
      </c>
      <c r="E12" s="7">
        <v>43.5</v>
      </c>
      <c r="F12" s="7">
        <v>0.441</v>
      </c>
      <c r="G12" s="7">
        <v>0</v>
      </c>
      <c r="H12" s="7">
        <v>14.3</v>
      </c>
    </row>
    <row r="13" spans="1:11" ht="15" customHeight="1" x14ac:dyDescent="0.25">
      <c r="A13" s="5">
        <v>3</v>
      </c>
      <c r="B13" s="5">
        <v>12</v>
      </c>
      <c r="C13" s="50">
        <v>45384</v>
      </c>
      <c r="D13" s="5">
        <v>41</v>
      </c>
      <c r="E13" s="7">
        <v>43.2</v>
      </c>
      <c r="F13" s="7">
        <v>0.40200000000000002</v>
      </c>
      <c r="G13" s="7">
        <v>0</v>
      </c>
      <c r="H13" s="7">
        <v>14.1</v>
      </c>
    </row>
    <row r="14" spans="1:11" ht="15" customHeight="1" x14ac:dyDescent="0.25">
      <c r="A14" s="5">
        <v>4</v>
      </c>
      <c r="B14" s="5">
        <v>13</v>
      </c>
      <c r="C14" s="50">
        <v>45385</v>
      </c>
      <c r="D14" s="5">
        <v>46</v>
      </c>
      <c r="E14" s="7">
        <v>36.1</v>
      </c>
      <c r="F14" s="7">
        <v>0.29899999999999999</v>
      </c>
      <c r="G14" s="7">
        <v>0</v>
      </c>
      <c r="H14" s="7">
        <v>14.1</v>
      </c>
    </row>
    <row r="15" spans="1:11" ht="15" customHeight="1" x14ac:dyDescent="0.25">
      <c r="A15" s="5">
        <v>5</v>
      </c>
      <c r="B15" s="5">
        <v>14</v>
      </c>
      <c r="C15" s="50">
        <v>45386</v>
      </c>
      <c r="D15" s="5">
        <v>66</v>
      </c>
      <c r="E15" s="7">
        <v>38.1</v>
      </c>
      <c r="F15" s="7">
        <v>7.0999999999999994E-2</v>
      </c>
      <c r="G15" s="7">
        <v>0</v>
      </c>
      <c r="H15" s="7">
        <v>13.7</v>
      </c>
    </row>
    <row r="16" spans="1:11" ht="15" customHeight="1" x14ac:dyDescent="0.25">
      <c r="A16" s="5">
        <v>6</v>
      </c>
      <c r="B16" s="5">
        <v>15</v>
      </c>
      <c r="C16" s="50">
        <v>45387</v>
      </c>
      <c r="D16" s="5">
        <v>125</v>
      </c>
      <c r="E16" s="7">
        <v>41.7</v>
      </c>
      <c r="F16" s="7">
        <v>0</v>
      </c>
      <c r="G16" s="7">
        <v>0</v>
      </c>
      <c r="H16" s="7">
        <v>10.5</v>
      </c>
    </row>
    <row r="17" spans="1:8" ht="15" customHeight="1" x14ac:dyDescent="0.25">
      <c r="A17" s="5">
        <v>7</v>
      </c>
      <c r="B17" s="5">
        <v>16</v>
      </c>
      <c r="C17" s="50">
        <v>45388</v>
      </c>
      <c r="D17" s="5">
        <v>164</v>
      </c>
      <c r="E17" s="7">
        <v>42.4</v>
      </c>
      <c r="F17" s="7">
        <v>0</v>
      </c>
      <c r="G17" s="7">
        <v>0</v>
      </c>
      <c r="H17" s="7">
        <v>7.6</v>
      </c>
    </row>
    <row r="18" spans="1:8" ht="15" customHeight="1" x14ac:dyDescent="0.25">
      <c r="A18" s="5">
        <v>1</v>
      </c>
      <c r="B18" s="5">
        <v>17</v>
      </c>
      <c r="C18" s="50">
        <v>45389</v>
      </c>
      <c r="D18" s="5">
        <v>42</v>
      </c>
      <c r="E18" s="7">
        <v>44.1</v>
      </c>
      <c r="F18" s="7">
        <v>0.37</v>
      </c>
      <c r="G18" s="7">
        <v>0</v>
      </c>
      <c r="H18" s="7">
        <v>10.5</v>
      </c>
    </row>
    <row r="19" spans="1:8" ht="15" customHeight="1" x14ac:dyDescent="0.25">
      <c r="A19" s="5">
        <v>2</v>
      </c>
      <c r="B19" s="5">
        <v>18</v>
      </c>
      <c r="C19" s="50">
        <v>45390</v>
      </c>
      <c r="D19" s="5">
        <v>48</v>
      </c>
      <c r="E19" s="7">
        <v>55</v>
      </c>
      <c r="F19" s="7">
        <v>0</v>
      </c>
      <c r="G19" s="7">
        <v>0</v>
      </c>
      <c r="H19" s="7">
        <v>11.2</v>
      </c>
    </row>
    <row r="20" spans="1:8" ht="15" customHeight="1" x14ac:dyDescent="0.25">
      <c r="A20" s="5">
        <v>3</v>
      </c>
      <c r="B20" s="5">
        <v>19</v>
      </c>
      <c r="C20" s="50">
        <v>45391</v>
      </c>
      <c r="D20" s="5">
        <v>69</v>
      </c>
      <c r="E20" s="7">
        <v>59.7</v>
      </c>
      <c r="F20" s="7">
        <v>0</v>
      </c>
      <c r="G20" s="7">
        <v>0</v>
      </c>
      <c r="H20" s="7">
        <v>8.5</v>
      </c>
    </row>
    <row r="21" spans="1:8" ht="15" customHeight="1" x14ac:dyDescent="0.25">
      <c r="A21" s="5">
        <v>4</v>
      </c>
      <c r="B21" s="5">
        <v>20</v>
      </c>
      <c r="C21" s="50">
        <v>45392</v>
      </c>
      <c r="D21" s="5">
        <v>39</v>
      </c>
      <c r="E21" s="7">
        <v>56.1</v>
      </c>
      <c r="F21" s="7">
        <v>0</v>
      </c>
      <c r="G21" s="7">
        <v>0</v>
      </c>
      <c r="H21" s="7">
        <v>4.9000000000000004</v>
      </c>
    </row>
    <row r="22" spans="1:8" ht="15" customHeight="1" x14ac:dyDescent="0.25">
      <c r="A22" s="5">
        <v>5</v>
      </c>
      <c r="B22" s="5">
        <v>21</v>
      </c>
      <c r="C22" s="50">
        <v>45393</v>
      </c>
      <c r="D22" s="5">
        <v>96</v>
      </c>
      <c r="E22" s="7">
        <v>55.6</v>
      </c>
      <c r="F22" s="7">
        <v>1.2E-2</v>
      </c>
      <c r="G22" s="7">
        <v>0</v>
      </c>
      <c r="H22" s="7">
        <v>9.8000000000000007</v>
      </c>
    </row>
    <row r="23" spans="1:8" ht="15" customHeight="1" x14ac:dyDescent="0.25">
      <c r="A23" s="5">
        <v>6</v>
      </c>
      <c r="B23" s="5">
        <v>22</v>
      </c>
      <c r="C23" s="50">
        <v>45394</v>
      </c>
      <c r="D23" s="5">
        <v>158</v>
      </c>
      <c r="E23" s="7">
        <v>54.1</v>
      </c>
      <c r="F23" s="7">
        <v>5.8999999999999997E-2</v>
      </c>
      <c r="G23" s="7">
        <v>0</v>
      </c>
      <c r="H23" s="7">
        <v>13.4</v>
      </c>
    </row>
    <row r="24" spans="1:8" ht="15" customHeight="1" x14ac:dyDescent="0.25">
      <c r="A24" s="5">
        <v>7</v>
      </c>
      <c r="B24" s="5">
        <v>23</v>
      </c>
      <c r="C24" s="50">
        <v>45395</v>
      </c>
      <c r="D24" s="5">
        <v>186</v>
      </c>
      <c r="E24" s="7">
        <v>55.4</v>
      </c>
      <c r="F24" s="7">
        <v>0</v>
      </c>
      <c r="G24" s="7">
        <v>0</v>
      </c>
      <c r="H24" s="7">
        <v>9.6</v>
      </c>
    </row>
    <row r="25" spans="1:8" ht="15" customHeight="1" x14ac:dyDescent="0.25">
      <c r="A25" s="5">
        <v>1</v>
      </c>
      <c r="B25" s="5">
        <v>24</v>
      </c>
      <c r="C25" s="50">
        <v>45396</v>
      </c>
      <c r="D25" s="5">
        <v>64</v>
      </c>
      <c r="E25" s="7">
        <v>69.400000000000006</v>
      </c>
      <c r="F25" s="7">
        <v>0</v>
      </c>
      <c r="G25" s="7">
        <v>0</v>
      </c>
      <c r="H25" s="7">
        <v>11.4</v>
      </c>
    </row>
    <row r="26" spans="1:8" ht="15" customHeight="1" x14ac:dyDescent="0.25">
      <c r="A26" s="5">
        <v>2</v>
      </c>
      <c r="B26" s="5">
        <v>25</v>
      </c>
      <c r="C26" s="50">
        <v>45397</v>
      </c>
      <c r="D26" s="5">
        <v>58</v>
      </c>
      <c r="E26" s="7">
        <v>62.8</v>
      </c>
      <c r="F26" s="7">
        <v>0</v>
      </c>
      <c r="G26" s="7">
        <v>0</v>
      </c>
      <c r="H26" s="7">
        <v>7.8</v>
      </c>
    </row>
    <row r="27" spans="1:8" ht="15" customHeight="1" x14ac:dyDescent="0.25">
      <c r="A27" s="5">
        <v>3</v>
      </c>
      <c r="B27" s="5">
        <v>26</v>
      </c>
      <c r="C27" s="50">
        <v>45398</v>
      </c>
      <c r="D27" s="5">
        <v>117</v>
      </c>
      <c r="E27" s="7">
        <v>62.8</v>
      </c>
      <c r="F27" s="7">
        <v>9.8000000000000004E-2</v>
      </c>
      <c r="G27" s="7">
        <v>0</v>
      </c>
      <c r="H27" s="7">
        <v>13.9</v>
      </c>
    </row>
    <row r="28" spans="1:8" ht="15" customHeight="1" x14ac:dyDescent="0.25">
      <c r="A28" s="5">
        <v>4</v>
      </c>
      <c r="B28" s="5">
        <v>27</v>
      </c>
      <c r="C28" s="50">
        <v>45399</v>
      </c>
      <c r="D28" s="5">
        <v>94</v>
      </c>
      <c r="E28" s="7">
        <v>65.5</v>
      </c>
      <c r="F28" s="7">
        <v>0.189</v>
      </c>
      <c r="G28" s="7">
        <v>0</v>
      </c>
      <c r="H28" s="7">
        <v>17.2</v>
      </c>
    </row>
    <row r="29" spans="1:8" ht="15" customHeight="1" x14ac:dyDescent="0.25">
      <c r="A29" s="5">
        <v>5</v>
      </c>
      <c r="B29" s="5">
        <v>28</v>
      </c>
      <c r="C29" s="50">
        <v>45400</v>
      </c>
      <c r="D29" s="5">
        <v>49</v>
      </c>
      <c r="E29" s="7">
        <v>53.6</v>
      </c>
      <c r="F29" s="7">
        <v>9.8000000000000004E-2</v>
      </c>
      <c r="G29" s="7">
        <v>0</v>
      </c>
      <c r="H29" s="7">
        <v>7.4</v>
      </c>
    </row>
    <row r="30" spans="1:8" ht="15" customHeight="1" x14ac:dyDescent="0.25">
      <c r="A30" s="5">
        <v>6</v>
      </c>
      <c r="B30" s="5">
        <v>29</v>
      </c>
      <c r="C30" s="50">
        <v>45401</v>
      </c>
      <c r="D30" s="5">
        <v>134</v>
      </c>
      <c r="E30" s="7">
        <v>49.3</v>
      </c>
      <c r="F30" s="7">
        <v>0</v>
      </c>
      <c r="G30" s="7">
        <v>0</v>
      </c>
      <c r="H30" s="7">
        <v>16.3</v>
      </c>
    </row>
    <row r="31" spans="1:8" ht="15" customHeight="1" x14ac:dyDescent="0.25">
      <c r="A31" s="5">
        <v>7</v>
      </c>
      <c r="B31" s="5">
        <v>30</v>
      </c>
      <c r="C31" s="50">
        <v>45402</v>
      </c>
      <c r="D31" s="5">
        <v>164</v>
      </c>
      <c r="E31" s="7">
        <v>42.6</v>
      </c>
      <c r="F31" s="7">
        <v>0</v>
      </c>
      <c r="G31" s="7">
        <v>0</v>
      </c>
      <c r="H31" s="7">
        <v>11.9</v>
      </c>
    </row>
    <row r="32" spans="1:8" ht="15" customHeight="1" x14ac:dyDescent="0.25">
      <c r="A32" s="5">
        <v>1</v>
      </c>
      <c r="B32" s="5">
        <v>31</v>
      </c>
      <c r="C32" s="50">
        <v>45403</v>
      </c>
      <c r="D32" s="5">
        <v>48</v>
      </c>
      <c r="E32" s="7">
        <v>43.7</v>
      </c>
      <c r="F32" s="7">
        <v>0</v>
      </c>
      <c r="G32" s="7">
        <v>0</v>
      </c>
      <c r="H32" s="7">
        <v>8.3000000000000007</v>
      </c>
    </row>
    <row r="33" spans="1:9" ht="15" customHeight="1" x14ac:dyDescent="0.25">
      <c r="A33" s="5">
        <v>2</v>
      </c>
      <c r="B33" s="5">
        <v>32</v>
      </c>
      <c r="C33" s="50">
        <v>45404</v>
      </c>
      <c r="D33" s="5">
        <v>32</v>
      </c>
      <c r="E33" s="7">
        <v>53.4</v>
      </c>
      <c r="F33" s="7">
        <v>0</v>
      </c>
      <c r="G33" s="7">
        <v>0</v>
      </c>
      <c r="H33" s="7">
        <v>13.7</v>
      </c>
    </row>
    <row r="34" spans="1:9" ht="15" customHeight="1" x14ac:dyDescent="0.25">
      <c r="A34" s="5">
        <v>3</v>
      </c>
      <c r="B34" s="5">
        <v>33</v>
      </c>
      <c r="C34" s="50">
        <v>45405</v>
      </c>
      <c r="D34" s="5">
        <v>48</v>
      </c>
      <c r="E34" s="7">
        <v>59.2</v>
      </c>
      <c r="F34" s="7">
        <v>0</v>
      </c>
      <c r="G34" s="7">
        <v>0</v>
      </c>
      <c r="H34" s="7">
        <v>15.9</v>
      </c>
    </row>
    <row r="35" spans="1:9" ht="15" customHeight="1" x14ac:dyDescent="0.25">
      <c r="A35" s="5">
        <v>4</v>
      </c>
      <c r="B35" s="5">
        <v>34</v>
      </c>
      <c r="C35" s="50">
        <v>45406</v>
      </c>
      <c r="D35" s="5">
        <v>66</v>
      </c>
      <c r="E35" s="7">
        <v>45.1</v>
      </c>
      <c r="F35" s="7">
        <v>0</v>
      </c>
      <c r="G35" s="7">
        <v>0</v>
      </c>
      <c r="H35" s="7">
        <v>13.4</v>
      </c>
    </row>
    <row r="36" spans="1:9" ht="15" customHeight="1" x14ac:dyDescent="0.25">
      <c r="A36" s="5">
        <v>5</v>
      </c>
      <c r="B36" s="5">
        <v>35</v>
      </c>
      <c r="C36" s="50">
        <v>45407</v>
      </c>
      <c r="D36" s="5">
        <v>32</v>
      </c>
      <c r="E36" s="7">
        <v>43.7</v>
      </c>
      <c r="F36" s="7">
        <v>0</v>
      </c>
      <c r="G36" s="7">
        <v>0</v>
      </c>
      <c r="H36" s="7">
        <v>6</v>
      </c>
    </row>
    <row r="37" spans="1:9" ht="15" customHeight="1" x14ac:dyDescent="0.25">
      <c r="A37" s="5">
        <v>6</v>
      </c>
      <c r="B37" s="5">
        <v>36</v>
      </c>
      <c r="C37" s="50">
        <v>45408</v>
      </c>
      <c r="D37" s="5">
        <v>138</v>
      </c>
      <c r="E37" s="7">
        <v>49.3</v>
      </c>
      <c r="F37" s="7">
        <v>0.38200000000000001</v>
      </c>
      <c r="G37" s="7">
        <v>0</v>
      </c>
      <c r="H37" s="7">
        <v>13.4</v>
      </c>
    </row>
    <row r="38" spans="1:9" ht="15" customHeight="1" x14ac:dyDescent="0.25">
      <c r="A38" s="5">
        <v>7</v>
      </c>
      <c r="B38" s="5">
        <v>37</v>
      </c>
      <c r="C38" s="50">
        <v>45409</v>
      </c>
      <c r="D38" s="5">
        <v>148</v>
      </c>
      <c r="E38" s="7">
        <v>65.7</v>
      </c>
      <c r="F38" s="7">
        <v>3.1E-2</v>
      </c>
      <c r="G38" s="7">
        <v>0</v>
      </c>
      <c r="H38" s="7">
        <v>15.7</v>
      </c>
    </row>
    <row r="39" spans="1:9" ht="15" customHeight="1" x14ac:dyDescent="0.25">
      <c r="A39" s="5">
        <v>1</v>
      </c>
      <c r="B39" s="5">
        <v>38</v>
      </c>
      <c r="C39" s="50">
        <v>45410</v>
      </c>
      <c r="D39" s="5">
        <v>56</v>
      </c>
      <c r="E39" s="7">
        <v>67.3</v>
      </c>
      <c r="F39" s="7">
        <v>0.35799999999999998</v>
      </c>
      <c r="G39" s="7">
        <v>0</v>
      </c>
      <c r="H39" s="7">
        <v>9.8000000000000007</v>
      </c>
    </row>
    <row r="40" spans="1:9" ht="15" customHeight="1" x14ac:dyDescent="0.25">
      <c r="A40" s="5">
        <v>2</v>
      </c>
      <c r="B40" s="5">
        <v>39</v>
      </c>
      <c r="C40" s="50">
        <v>45411</v>
      </c>
      <c r="D40" s="5">
        <v>43</v>
      </c>
      <c r="E40" s="7">
        <v>66.400000000000006</v>
      </c>
      <c r="F40" s="7">
        <v>0.66100000000000003</v>
      </c>
      <c r="G40" s="7">
        <v>0</v>
      </c>
      <c r="H40" s="7">
        <v>10.5</v>
      </c>
    </row>
    <row r="41" spans="1:9" ht="15" customHeight="1" x14ac:dyDescent="0.25">
      <c r="A41" s="5">
        <v>3</v>
      </c>
      <c r="B41" s="5">
        <v>40</v>
      </c>
      <c r="C41" s="50">
        <v>45412</v>
      </c>
      <c r="D41" s="5">
        <v>64</v>
      </c>
      <c r="E41" s="7">
        <v>60.4</v>
      </c>
      <c r="F41" s="7">
        <v>0</v>
      </c>
      <c r="G41" s="7">
        <v>0</v>
      </c>
      <c r="H41" s="7">
        <v>7.6</v>
      </c>
    </row>
    <row r="42" spans="1:9" ht="15" customHeight="1" x14ac:dyDescent="0.25">
      <c r="A42" s="5">
        <v>4</v>
      </c>
      <c r="B42" s="5">
        <v>41</v>
      </c>
      <c r="C42" s="50">
        <v>45413</v>
      </c>
      <c r="D42" s="5">
        <v>44</v>
      </c>
      <c r="E42" s="7">
        <v>69.400000000000006</v>
      </c>
      <c r="F42" s="7">
        <v>1.2E-2</v>
      </c>
      <c r="G42" s="7">
        <v>0</v>
      </c>
      <c r="H42" s="7">
        <v>10.5</v>
      </c>
    </row>
    <row r="43" spans="1:9" ht="15" customHeight="1" x14ac:dyDescent="0.25">
      <c r="A43" s="5">
        <v>5</v>
      </c>
      <c r="B43" s="5">
        <v>42</v>
      </c>
      <c r="C43" s="50">
        <v>45414</v>
      </c>
      <c r="D43" s="5">
        <v>86</v>
      </c>
      <c r="E43" s="7">
        <v>65.7</v>
      </c>
      <c r="F43" s="7">
        <v>0.63</v>
      </c>
      <c r="G43" s="7">
        <v>0</v>
      </c>
      <c r="H43" s="7">
        <v>8.9</v>
      </c>
    </row>
    <row r="44" spans="1:9" ht="15" customHeight="1" x14ac:dyDescent="0.25">
      <c r="A44" s="5">
        <v>6</v>
      </c>
      <c r="B44" s="5">
        <v>43</v>
      </c>
      <c r="C44" s="50">
        <v>45415</v>
      </c>
      <c r="D44" s="5">
        <v>148</v>
      </c>
      <c r="E44" s="7">
        <v>64.599999999999994</v>
      </c>
      <c r="F44" s="7">
        <v>0.161</v>
      </c>
      <c r="G44" s="7">
        <v>0</v>
      </c>
      <c r="H44" s="7">
        <v>7.8</v>
      </c>
    </row>
    <row r="45" spans="1:9" ht="15" customHeight="1" x14ac:dyDescent="0.25">
      <c r="A45" s="5">
        <v>7</v>
      </c>
      <c r="B45" s="5">
        <v>44</v>
      </c>
      <c r="C45" s="50">
        <v>45416</v>
      </c>
      <c r="D45" s="5">
        <v>133</v>
      </c>
      <c r="E45" s="7">
        <v>63.1</v>
      </c>
      <c r="F45" s="7">
        <v>0.22</v>
      </c>
      <c r="G45" s="7">
        <v>0</v>
      </c>
      <c r="H45" s="7">
        <v>8.5</v>
      </c>
    </row>
    <row r="46" spans="1:9" ht="15" customHeight="1" x14ac:dyDescent="0.25">
      <c r="A46" s="5">
        <v>1</v>
      </c>
      <c r="B46" s="5">
        <v>45</v>
      </c>
      <c r="C46" s="50">
        <v>45417</v>
      </c>
      <c r="D46" s="5">
        <v>84</v>
      </c>
      <c r="E46" s="7">
        <v>58.8</v>
      </c>
      <c r="F46" s="7">
        <v>0</v>
      </c>
      <c r="G46" s="7">
        <v>0</v>
      </c>
      <c r="H46" s="7">
        <v>8.1</v>
      </c>
      <c r="I46" s="39" t="s">
        <v>13</v>
      </c>
    </row>
    <row r="47" spans="1:9" ht="15" customHeight="1" x14ac:dyDescent="0.25">
      <c r="A47" s="5">
        <v>2</v>
      </c>
      <c r="B47" s="5">
        <v>46</v>
      </c>
      <c r="C47" s="50">
        <v>45418</v>
      </c>
      <c r="D47" s="5">
        <v>31</v>
      </c>
      <c r="E47" s="7">
        <v>58.1</v>
      </c>
      <c r="F47" s="7">
        <v>0</v>
      </c>
      <c r="G47" s="7">
        <v>0</v>
      </c>
      <c r="H47" s="7">
        <v>8.6999999999999993</v>
      </c>
    </row>
    <row r="48" spans="1:9" ht="15" customHeight="1" x14ac:dyDescent="0.25">
      <c r="A48" s="5">
        <v>3</v>
      </c>
      <c r="B48" s="5">
        <v>47</v>
      </c>
      <c r="C48" s="50">
        <v>45419</v>
      </c>
      <c r="D48" s="5">
        <v>53</v>
      </c>
      <c r="E48" s="7">
        <v>65.3</v>
      </c>
      <c r="F48" s="7">
        <v>0.78</v>
      </c>
      <c r="G48" s="7">
        <v>0</v>
      </c>
      <c r="H48" s="7">
        <v>10.1</v>
      </c>
    </row>
    <row r="49" spans="1:9" ht="15" customHeight="1" x14ac:dyDescent="0.25">
      <c r="A49" s="5">
        <v>4</v>
      </c>
      <c r="B49" s="5">
        <v>48</v>
      </c>
      <c r="C49" s="50">
        <v>45420</v>
      </c>
      <c r="D49" s="5">
        <v>38</v>
      </c>
      <c r="E49" s="7">
        <v>66.7</v>
      </c>
      <c r="F49" s="7">
        <v>0</v>
      </c>
      <c r="G49" s="7">
        <v>0</v>
      </c>
      <c r="H49" s="7">
        <v>7.1</v>
      </c>
    </row>
    <row r="50" spans="1:9" ht="15" customHeight="1" x14ac:dyDescent="0.25">
      <c r="A50" s="5">
        <v>5</v>
      </c>
      <c r="B50" s="5">
        <v>49</v>
      </c>
      <c r="C50" s="50">
        <v>45421</v>
      </c>
      <c r="D50" s="5">
        <v>104</v>
      </c>
      <c r="E50" s="7">
        <v>58.8</v>
      </c>
      <c r="F50" s="7">
        <v>0.51200000000000001</v>
      </c>
      <c r="G50" s="7">
        <v>0</v>
      </c>
      <c r="H50" s="7">
        <v>11.4</v>
      </c>
    </row>
    <row r="51" spans="1:9" ht="15" customHeight="1" x14ac:dyDescent="0.25">
      <c r="A51" s="5">
        <v>6</v>
      </c>
      <c r="B51" s="5">
        <v>50</v>
      </c>
      <c r="C51" s="50">
        <v>45422</v>
      </c>
      <c r="D51" s="5">
        <v>169</v>
      </c>
      <c r="E51" s="7">
        <v>55</v>
      </c>
      <c r="F51" s="7">
        <v>0.11</v>
      </c>
      <c r="G51" s="7">
        <v>0</v>
      </c>
      <c r="H51" s="7">
        <v>8.5</v>
      </c>
    </row>
    <row r="52" spans="1:9" ht="15" customHeight="1" x14ac:dyDescent="0.25">
      <c r="A52" s="5">
        <v>7</v>
      </c>
      <c r="B52" s="5">
        <v>51</v>
      </c>
      <c r="C52" s="50">
        <v>45423</v>
      </c>
      <c r="D52" s="5">
        <v>184</v>
      </c>
      <c r="E52" s="7">
        <v>59.7</v>
      </c>
      <c r="F52" s="7">
        <v>0</v>
      </c>
      <c r="G52" s="7">
        <v>0</v>
      </c>
      <c r="H52" s="7">
        <v>9.6</v>
      </c>
    </row>
    <row r="53" spans="1:9" ht="15" customHeight="1" x14ac:dyDescent="0.25">
      <c r="A53" s="5">
        <v>1</v>
      </c>
      <c r="B53" s="5">
        <v>52</v>
      </c>
      <c r="C53" s="50">
        <v>45424</v>
      </c>
      <c r="D53" s="5">
        <v>143</v>
      </c>
      <c r="E53" s="7">
        <v>63.7</v>
      </c>
      <c r="F53" s="7">
        <v>0</v>
      </c>
      <c r="G53" s="7">
        <v>0</v>
      </c>
      <c r="H53" s="7">
        <v>9.4</v>
      </c>
      <c r="I53" s="39" t="s">
        <v>14</v>
      </c>
    </row>
    <row r="54" spans="1:9" ht="15" customHeight="1" x14ac:dyDescent="0.25">
      <c r="A54" s="5">
        <v>2</v>
      </c>
      <c r="B54" s="5">
        <v>53</v>
      </c>
      <c r="C54" s="50">
        <v>45425</v>
      </c>
      <c r="D54" s="5">
        <v>57</v>
      </c>
      <c r="E54" s="7">
        <v>72.3</v>
      </c>
      <c r="F54" s="7">
        <v>0.11799999999999999</v>
      </c>
      <c r="G54" s="7">
        <v>0</v>
      </c>
      <c r="H54" s="7">
        <v>8.5</v>
      </c>
    </row>
    <row r="55" spans="1:9" ht="15" customHeight="1" x14ac:dyDescent="0.25">
      <c r="A55" s="5">
        <v>3</v>
      </c>
      <c r="B55" s="5">
        <v>54</v>
      </c>
      <c r="C55" s="50">
        <v>45426</v>
      </c>
      <c r="D55" s="5">
        <v>57</v>
      </c>
      <c r="E55" s="7">
        <v>58.1</v>
      </c>
      <c r="F55" s="7">
        <v>3.1E-2</v>
      </c>
      <c r="G55" s="7">
        <v>0</v>
      </c>
      <c r="H55" s="7">
        <v>14.3</v>
      </c>
    </row>
    <row r="56" spans="1:9" ht="15" customHeight="1" x14ac:dyDescent="0.25">
      <c r="A56" s="5">
        <v>4</v>
      </c>
      <c r="B56" s="5">
        <v>55</v>
      </c>
      <c r="C56" s="50">
        <v>45427</v>
      </c>
      <c r="D56" s="5">
        <v>77</v>
      </c>
      <c r="E56" s="7">
        <v>57.9</v>
      </c>
      <c r="F56" s="7">
        <v>0</v>
      </c>
      <c r="G56" s="7">
        <v>0</v>
      </c>
      <c r="H56" s="7">
        <v>11.9</v>
      </c>
    </row>
    <row r="57" spans="1:9" ht="15" customHeight="1" x14ac:dyDescent="0.25">
      <c r="A57" s="5">
        <v>5</v>
      </c>
      <c r="B57" s="5">
        <v>56</v>
      </c>
      <c r="C57" s="50">
        <v>45428</v>
      </c>
      <c r="D57" s="5">
        <v>78</v>
      </c>
      <c r="E57" s="7">
        <v>61.9</v>
      </c>
      <c r="F57" s="7">
        <v>0.48</v>
      </c>
      <c r="G57" s="7">
        <v>0</v>
      </c>
      <c r="H57" s="7">
        <v>7.1</v>
      </c>
    </row>
    <row r="58" spans="1:9" ht="15" customHeight="1" x14ac:dyDescent="0.25">
      <c r="A58" s="5">
        <v>6</v>
      </c>
      <c r="B58" s="5">
        <v>57</v>
      </c>
      <c r="C58" s="50">
        <v>45429</v>
      </c>
      <c r="D58" s="5">
        <v>160</v>
      </c>
      <c r="E58" s="7">
        <v>68.5</v>
      </c>
      <c r="F58" s="7">
        <v>0</v>
      </c>
      <c r="G58" s="7">
        <v>0</v>
      </c>
      <c r="H58" s="7">
        <v>5.3</v>
      </c>
    </row>
    <row r="59" spans="1:9" ht="15" customHeight="1" x14ac:dyDescent="0.25">
      <c r="A59" s="5">
        <v>7</v>
      </c>
      <c r="B59" s="5">
        <v>58</v>
      </c>
      <c r="C59" s="50">
        <v>45430</v>
      </c>
      <c r="D59" s="5">
        <v>157</v>
      </c>
      <c r="E59" s="7">
        <v>71.2</v>
      </c>
      <c r="F59" s="7">
        <v>0</v>
      </c>
      <c r="G59" s="7">
        <v>0</v>
      </c>
      <c r="H59" s="7">
        <v>6</v>
      </c>
    </row>
    <row r="60" spans="1:9" ht="15" customHeight="1" x14ac:dyDescent="0.25">
      <c r="A60" s="5">
        <v>1</v>
      </c>
      <c r="B60" s="5">
        <v>59</v>
      </c>
      <c r="C60" s="50">
        <v>45431</v>
      </c>
      <c r="D60" s="5">
        <v>70</v>
      </c>
      <c r="E60" s="7">
        <v>74.5</v>
      </c>
      <c r="F60" s="7">
        <v>0</v>
      </c>
      <c r="G60" s="7">
        <v>0</v>
      </c>
      <c r="H60" s="7">
        <v>9.1999999999999993</v>
      </c>
    </row>
    <row r="61" spans="1:9" ht="15" customHeight="1" x14ac:dyDescent="0.25">
      <c r="A61" s="5">
        <v>2</v>
      </c>
      <c r="B61" s="5">
        <v>60</v>
      </c>
      <c r="C61" s="50">
        <v>45432</v>
      </c>
      <c r="D61" s="5">
        <v>68</v>
      </c>
      <c r="E61" s="7">
        <v>71.099999999999994</v>
      </c>
      <c r="F61" s="7">
        <v>0</v>
      </c>
      <c r="G61" s="7">
        <v>0</v>
      </c>
      <c r="H61" s="7">
        <v>10.5</v>
      </c>
    </row>
    <row r="62" spans="1:9" ht="15" customHeight="1" x14ac:dyDescent="0.25">
      <c r="A62" s="5">
        <v>3</v>
      </c>
      <c r="B62" s="5">
        <v>61</v>
      </c>
      <c r="C62" s="50">
        <v>45433</v>
      </c>
      <c r="D62" s="5">
        <v>40</v>
      </c>
      <c r="E62" s="7">
        <v>74.7</v>
      </c>
      <c r="F62" s="7">
        <v>0</v>
      </c>
      <c r="G62" s="7">
        <v>0</v>
      </c>
      <c r="H62" s="7">
        <v>15.2</v>
      </c>
    </row>
    <row r="63" spans="1:9" ht="15" customHeight="1" x14ac:dyDescent="0.25">
      <c r="A63" s="5">
        <v>4</v>
      </c>
      <c r="B63" s="5">
        <v>62</v>
      </c>
      <c r="C63" s="50">
        <v>45434</v>
      </c>
      <c r="D63" s="5">
        <v>78</v>
      </c>
      <c r="E63" s="7">
        <v>73.599999999999994</v>
      </c>
      <c r="F63" s="7">
        <v>0</v>
      </c>
      <c r="G63" s="7">
        <v>0</v>
      </c>
      <c r="H63" s="7">
        <v>14.8</v>
      </c>
    </row>
    <row r="64" spans="1:9" ht="15" customHeight="1" x14ac:dyDescent="0.25">
      <c r="A64" s="5">
        <v>5</v>
      </c>
      <c r="B64" s="5">
        <v>63</v>
      </c>
      <c r="C64" s="50">
        <v>45435</v>
      </c>
      <c r="D64" s="5">
        <v>65</v>
      </c>
      <c r="E64" s="7">
        <v>69.099999999999994</v>
      </c>
      <c r="F64" s="7">
        <v>0</v>
      </c>
      <c r="G64" s="7">
        <v>0</v>
      </c>
      <c r="H64" s="7">
        <v>5.8</v>
      </c>
    </row>
    <row r="65" spans="1:9" ht="15" customHeight="1" x14ac:dyDescent="0.25">
      <c r="A65" s="5">
        <v>6</v>
      </c>
      <c r="B65" s="5">
        <v>64</v>
      </c>
      <c r="C65" s="50">
        <v>45436</v>
      </c>
      <c r="D65" s="5">
        <v>151</v>
      </c>
      <c r="E65" s="7">
        <v>69.400000000000006</v>
      </c>
      <c r="F65" s="7">
        <v>5.8999999999999997E-2</v>
      </c>
      <c r="G65" s="7">
        <v>0</v>
      </c>
      <c r="H65" s="7">
        <v>10.1</v>
      </c>
    </row>
    <row r="66" spans="1:9" ht="15" customHeight="1" x14ac:dyDescent="0.25">
      <c r="A66" s="5">
        <v>7</v>
      </c>
      <c r="B66" s="5">
        <v>65</v>
      </c>
      <c r="C66" s="50">
        <v>45437</v>
      </c>
      <c r="D66" s="5">
        <v>133</v>
      </c>
      <c r="E66" s="7">
        <v>67.599999999999994</v>
      </c>
      <c r="F66" s="7">
        <v>0</v>
      </c>
      <c r="G66" s="7">
        <v>0</v>
      </c>
      <c r="H66" s="7">
        <v>8.3000000000000007</v>
      </c>
    </row>
    <row r="67" spans="1:9" ht="15" customHeight="1" x14ac:dyDescent="0.25">
      <c r="A67" s="5">
        <v>1</v>
      </c>
      <c r="B67" s="5">
        <v>66</v>
      </c>
      <c r="C67" s="50">
        <v>45438</v>
      </c>
      <c r="D67" s="5">
        <v>82</v>
      </c>
      <c r="E67" s="7">
        <v>63.3</v>
      </c>
      <c r="F67" s="7">
        <v>0.74</v>
      </c>
      <c r="G67" s="7">
        <v>0</v>
      </c>
      <c r="H67" s="7">
        <v>8.9</v>
      </c>
    </row>
    <row r="68" spans="1:9" ht="15" customHeight="1" x14ac:dyDescent="0.25">
      <c r="A68" s="5">
        <v>2</v>
      </c>
      <c r="B68" s="5">
        <v>67</v>
      </c>
      <c r="C68" s="50">
        <v>45439</v>
      </c>
      <c r="D68" s="5">
        <v>63</v>
      </c>
      <c r="E68" s="7">
        <v>63.9</v>
      </c>
      <c r="F68" s="7">
        <v>0</v>
      </c>
      <c r="G68" s="7">
        <v>0</v>
      </c>
      <c r="H68" s="7">
        <v>11.2</v>
      </c>
      <c r="I68" s="39" t="s">
        <v>15</v>
      </c>
    </row>
    <row r="69" spans="1:9" ht="15" customHeight="1" x14ac:dyDescent="0.25">
      <c r="A69" s="5">
        <v>3</v>
      </c>
      <c r="B69" s="5">
        <v>68</v>
      </c>
      <c r="C69" s="50">
        <v>45440</v>
      </c>
      <c r="D69" s="5">
        <v>38</v>
      </c>
      <c r="E69" s="7">
        <v>63</v>
      </c>
      <c r="F69" s="7">
        <v>0.20899999999999999</v>
      </c>
      <c r="G69" s="7">
        <v>0</v>
      </c>
      <c r="H69" s="7">
        <v>7.8</v>
      </c>
    </row>
    <row r="70" spans="1:9" ht="15" customHeight="1" x14ac:dyDescent="0.25">
      <c r="A70" s="5">
        <v>4</v>
      </c>
      <c r="B70" s="5">
        <v>69</v>
      </c>
      <c r="C70" s="50">
        <v>45441</v>
      </c>
      <c r="D70" s="5">
        <v>76</v>
      </c>
      <c r="E70" s="7">
        <v>60.1</v>
      </c>
      <c r="F70" s="7">
        <v>0</v>
      </c>
      <c r="G70" s="7">
        <v>0</v>
      </c>
      <c r="H70" s="7">
        <v>10.9</v>
      </c>
    </row>
    <row r="71" spans="1:9" ht="15" customHeight="1" x14ac:dyDescent="0.25">
      <c r="A71" s="5">
        <v>5</v>
      </c>
      <c r="B71" s="5">
        <v>70</v>
      </c>
      <c r="C71" s="50">
        <v>45442</v>
      </c>
      <c r="D71" s="5">
        <v>73</v>
      </c>
      <c r="E71" s="7">
        <v>58.5</v>
      </c>
      <c r="F71" s="7">
        <v>0</v>
      </c>
      <c r="G71" s="7">
        <v>0</v>
      </c>
      <c r="H71" s="7">
        <v>7.1</v>
      </c>
    </row>
    <row r="72" spans="1:9" ht="15" customHeight="1" x14ac:dyDescent="0.25">
      <c r="A72" s="5">
        <v>6</v>
      </c>
      <c r="B72" s="5">
        <v>71</v>
      </c>
      <c r="C72" s="50">
        <v>45443</v>
      </c>
      <c r="D72" s="5">
        <v>169</v>
      </c>
      <c r="E72" s="7">
        <v>63.9</v>
      </c>
      <c r="F72" s="7">
        <v>0</v>
      </c>
      <c r="G72" s="7">
        <v>0</v>
      </c>
      <c r="H72" s="7">
        <v>7.1</v>
      </c>
    </row>
    <row r="73" spans="1:9" ht="15" customHeight="1" x14ac:dyDescent="0.25">
      <c r="A73" s="5">
        <v>7</v>
      </c>
      <c r="B73" s="5">
        <v>72</v>
      </c>
      <c r="C73" s="50">
        <v>45444</v>
      </c>
      <c r="D73" s="5">
        <v>118</v>
      </c>
      <c r="E73" s="7">
        <v>66.2</v>
      </c>
      <c r="F73" s="7">
        <v>0.94899999999999995</v>
      </c>
      <c r="G73" s="7">
        <v>0</v>
      </c>
      <c r="H73" s="7">
        <v>7</v>
      </c>
    </row>
    <row r="74" spans="1:9" ht="15" customHeight="1" x14ac:dyDescent="0.25">
      <c r="A74" s="5">
        <v>1</v>
      </c>
      <c r="B74" s="5">
        <v>73</v>
      </c>
      <c r="C74" s="50">
        <v>45445</v>
      </c>
      <c r="D74" s="5">
        <v>40</v>
      </c>
      <c r="E74" s="7">
        <v>64.900000000000006</v>
      </c>
      <c r="F74" s="7">
        <v>0</v>
      </c>
      <c r="G74" s="7">
        <v>0</v>
      </c>
      <c r="H74" s="7">
        <v>6.7</v>
      </c>
    </row>
    <row r="75" spans="1:9" ht="15" customHeight="1" x14ac:dyDescent="0.25">
      <c r="A75" s="5">
        <v>2</v>
      </c>
      <c r="B75" s="5">
        <v>74</v>
      </c>
      <c r="C75" s="50">
        <v>45446</v>
      </c>
      <c r="D75" s="5">
        <v>67</v>
      </c>
      <c r="E75" s="7">
        <v>70.5</v>
      </c>
      <c r="F75" s="7">
        <v>0</v>
      </c>
      <c r="G75" s="7">
        <v>0</v>
      </c>
      <c r="H75" s="7">
        <v>9.1999999999999993</v>
      </c>
    </row>
    <row r="76" spans="1:9" ht="15" customHeight="1" x14ac:dyDescent="0.25">
      <c r="A76" s="5">
        <v>3</v>
      </c>
      <c r="B76" s="5">
        <v>75</v>
      </c>
      <c r="C76" s="50">
        <v>45447</v>
      </c>
      <c r="D76" s="5">
        <v>80</v>
      </c>
      <c r="E76" s="7">
        <v>78.599999999999994</v>
      </c>
      <c r="F76" s="7">
        <v>0.13</v>
      </c>
      <c r="G76" s="7">
        <v>0</v>
      </c>
      <c r="H76" s="7">
        <v>8.1</v>
      </c>
    </row>
    <row r="77" spans="1:9" ht="15" customHeight="1" x14ac:dyDescent="0.25">
      <c r="A77" s="5">
        <v>4</v>
      </c>
      <c r="B77" s="5">
        <v>76</v>
      </c>
      <c r="C77" s="50">
        <v>45448</v>
      </c>
      <c r="D77" s="5">
        <v>72</v>
      </c>
      <c r="E77" s="7">
        <v>73.599999999999994</v>
      </c>
      <c r="F77" s="7">
        <v>0.29899999999999999</v>
      </c>
      <c r="G77" s="7">
        <v>0</v>
      </c>
      <c r="H77" s="7">
        <v>9.8000000000000007</v>
      </c>
    </row>
    <row r="78" spans="1:9" ht="15" customHeight="1" x14ac:dyDescent="0.25">
      <c r="A78" s="5">
        <v>5</v>
      </c>
      <c r="B78" s="5">
        <v>77</v>
      </c>
      <c r="C78" s="50">
        <v>45449</v>
      </c>
      <c r="D78" s="5">
        <v>51</v>
      </c>
      <c r="E78" s="7">
        <v>72.3</v>
      </c>
      <c r="F78" s="7">
        <v>0</v>
      </c>
      <c r="G78" s="7">
        <v>0</v>
      </c>
      <c r="H78" s="7">
        <v>14.1</v>
      </c>
    </row>
    <row r="79" spans="1:9" ht="15" customHeight="1" x14ac:dyDescent="0.25">
      <c r="A79" s="5">
        <v>6</v>
      </c>
      <c r="B79" s="5">
        <v>78</v>
      </c>
      <c r="C79" s="50">
        <v>45450</v>
      </c>
      <c r="D79" s="5">
        <v>168</v>
      </c>
      <c r="E79" s="7">
        <v>69.400000000000006</v>
      </c>
      <c r="F79" s="7">
        <v>0</v>
      </c>
      <c r="G79" s="7">
        <v>0</v>
      </c>
      <c r="H79" s="7">
        <v>10.9</v>
      </c>
    </row>
    <row r="80" spans="1:9" ht="15" customHeight="1" x14ac:dyDescent="0.25">
      <c r="A80" s="5">
        <v>7</v>
      </c>
      <c r="B80" s="5">
        <v>79</v>
      </c>
      <c r="C80" s="50">
        <v>45451</v>
      </c>
      <c r="D80" s="5">
        <v>140</v>
      </c>
      <c r="E80" s="7">
        <v>67.3</v>
      </c>
      <c r="F80" s="7">
        <v>7.0999999999999994E-2</v>
      </c>
      <c r="G80" s="7">
        <v>0</v>
      </c>
      <c r="H80" s="7">
        <v>6.7</v>
      </c>
    </row>
    <row r="81" spans="1:9" ht="15" customHeight="1" x14ac:dyDescent="0.25">
      <c r="A81" s="5">
        <v>1</v>
      </c>
      <c r="B81" s="5">
        <v>80</v>
      </c>
      <c r="C81" s="50">
        <v>45452</v>
      </c>
      <c r="D81" s="5">
        <v>76</v>
      </c>
      <c r="E81" s="7">
        <v>64.8</v>
      </c>
      <c r="F81" s="7">
        <v>0</v>
      </c>
      <c r="G81" s="7">
        <v>0</v>
      </c>
      <c r="H81" s="7">
        <v>13</v>
      </c>
    </row>
    <row r="82" spans="1:9" ht="15" customHeight="1" x14ac:dyDescent="0.25">
      <c r="A82" s="5">
        <v>2</v>
      </c>
      <c r="B82" s="5">
        <v>81</v>
      </c>
      <c r="C82" s="50">
        <v>45453</v>
      </c>
      <c r="D82" s="5">
        <v>74</v>
      </c>
      <c r="E82" s="7">
        <v>61.2</v>
      </c>
      <c r="F82" s="7">
        <v>1.2E-2</v>
      </c>
      <c r="G82" s="7">
        <v>0</v>
      </c>
      <c r="H82" s="7">
        <v>10.5</v>
      </c>
    </row>
    <row r="83" spans="1:9" ht="15" customHeight="1" x14ac:dyDescent="0.25">
      <c r="A83" s="5">
        <v>3</v>
      </c>
      <c r="B83" s="5">
        <v>82</v>
      </c>
      <c r="C83" s="50">
        <v>45454</v>
      </c>
      <c r="D83" s="5">
        <v>70</v>
      </c>
      <c r="E83" s="7">
        <v>62.8</v>
      </c>
      <c r="F83" s="7">
        <v>0</v>
      </c>
      <c r="G83" s="7">
        <v>0</v>
      </c>
      <c r="H83" s="7">
        <v>5.6</v>
      </c>
    </row>
    <row r="84" spans="1:9" ht="15" customHeight="1" x14ac:dyDescent="0.25">
      <c r="A84" s="5">
        <v>4</v>
      </c>
      <c r="B84" s="5">
        <v>83</v>
      </c>
      <c r="C84" s="50">
        <v>45455</v>
      </c>
      <c r="D84" s="5">
        <v>77</v>
      </c>
      <c r="E84" s="7">
        <v>76.5</v>
      </c>
      <c r="F84" s="7">
        <v>0</v>
      </c>
      <c r="G84" s="7">
        <v>0</v>
      </c>
      <c r="H84" s="7">
        <v>8.1</v>
      </c>
    </row>
    <row r="85" spans="1:9" ht="15" customHeight="1" x14ac:dyDescent="0.25">
      <c r="A85" s="5">
        <v>5</v>
      </c>
      <c r="B85" s="5">
        <v>84</v>
      </c>
      <c r="C85" s="50">
        <v>45456</v>
      </c>
      <c r="D85" s="5">
        <v>75</v>
      </c>
      <c r="E85" s="7">
        <v>81.5</v>
      </c>
      <c r="F85" s="7">
        <v>1.2E-2</v>
      </c>
      <c r="G85" s="7">
        <v>0</v>
      </c>
      <c r="H85" s="7">
        <v>9.6</v>
      </c>
    </row>
    <row r="86" spans="1:9" ht="15" customHeight="1" x14ac:dyDescent="0.25">
      <c r="A86" s="5">
        <v>6</v>
      </c>
      <c r="B86" s="5">
        <v>85</v>
      </c>
      <c r="C86" s="50">
        <v>45457</v>
      </c>
      <c r="D86" s="5">
        <v>128</v>
      </c>
      <c r="E86" s="7">
        <v>77.400000000000006</v>
      </c>
      <c r="F86" s="7">
        <v>0</v>
      </c>
      <c r="G86" s="7">
        <v>0</v>
      </c>
      <c r="H86" s="7">
        <v>8.6999999999999993</v>
      </c>
    </row>
    <row r="87" spans="1:9" ht="15" customHeight="1" x14ac:dyDescent="0.25">
      <c r="A87" s="5">
        <v>7</v>
      </c>
      <c r="B87" s="5">
        <v>86</v>
      </c>
      <c r="C87" s="50">
        <v>45458</v>
      </c>
      <c r="D87" s="5">
        <v>157</v>
      </c>
      <c r="E87" s="7">
        <v>70.900000000000006</v>
      </c>
      <c r="F87" s="7">
        <v>0</v>
      </c>
      <c r="G87" s="7">
        <v>0</v>
      </c>
      <c r="H87" s="7">
        <v>10.1</v>
      </c>
    </row>
    <row r="88" spans="1:9" ht="15" customHeight="1" x14ac:dyDescent="0.25">
      <c r="A88" s="5">
        <v>1</v>
      </c>
      <c r="B88" s="5">
        <v>87</v>
      </c>
      <c r="C88" s="50">
        <v>45459</v>
      </c>
      <c r="D88" s="5">
        <v>97</v>
      </c>
      <c r="E88" s="7">
        <v>80.400000000000006</v>
      </c>
      <c r="F88" s="7">
        <v>1.2E-2</v>
      </c>
      <c r="G88" s="7">
        <v>0</v>
      </c>
      <c r="H88" s="7">
        <v>12.6</v>
      </c>
      <c r="I88" s="39" t="s">
        <v>16</v>
      </c>
    </row>
    <row r="89" spans="1:9" ht="15" customHeight="1" x14ac:dyDescent="0.25">
      <c r="A89" s="5">
        <v>2</v>
      </c>
      <c r="B89" s="5">
        <v>88</v>
      </c>
      <c r="C89" s="50">
        <v>45460</v>
      </c>
      <c r="D89" s="5">
        <v>93</v>
      </c>
      <c r="E89" s="7">
        <v>84.4</v>
      </c>
      <c r="F89" s="7">
        <v>0</v>
      </c>
      <c r="G89" s="7">
        <v>0</v>
      </c>
      <c r="H89" s="7">
        <v>12.3</v>
      </c>
    </row>
    <row r="90" spans="1:9" ht="15" customHeight="1" x14ac:dyDescent="0.25">
      <c r="A90" s="5">
        <v>3</v>
      </c>
      <c r="B90" s="5">
        <v>89</v>
      </c>
      <c r="C90" s="50">
        <v>45461</v>
      </c>
      <c r="D90" s="5">
        <v>51</v>
      </c>
      <c r="E90" s="7">
        <v>85.3</v>
      </c>
      <c r="F90" s="7">
        <v>0</v>
      </c>
      <c r="G90" s="7">
        <v>0</v>
      </c>
      <c r="H90" s="7">
        <v>15.4</v>
      </c>
    </row>
    <row r="91" spans="1:9" ht="15" customHeight="1" x14ac:dyDescent="0.25">
      <c r="A91" s="5">
        <v>4</v>
      </c>
      <c r="B91" s="5">
        <v>90</v>
      </c>
      <c r="C91" s="50">
        <v>45462</v>
      </c>
      <c r="D91" s="5">
        <v>56</v>
      </c>
      <c r="E91" s="7">
        <v>84.7</v>
      </c>
      <c r="F91" s="7">
        <v>9.0999999999999998E-2</v>
      </c>
      <c r="G91" s="7">
        <v>0</v>
      </c>
      <c r="H91" s="7">
        <v>9.6</v>
      </c>
      <c r="I91" s="39" t="s">
        <v>17</v>
      </c>
    </row>
    <row r="92" spans="1:9" ht="15" customHeight="1" x14ac:dyDescent="0.25">
      <c r="A92" s="5">
        <v>5</v>
      </c>
      <c r="B92" s="5">
        <v>91</v>
      </c>
      <c r="C92" s="50">
        <v>45463</v>
      </c>
      <c r="D92" s="5">
        <v>94</v>
      </c>
      <c r="E92" s="7">
        <v>77</v>
      </c>
      <c r="F92" s="7">
        <v>1.2E-2</v>
      </c>
      <c r="G92" s="7">
        <v>0</v>
      </c>
      <c r="H92" s="7">
        <v>8.5</v>
      </c>
    </row>
    <row r="93" spans="1:9" ht="15" customHeight="1" x14ac:dyDescent="0.25">
      <c r="A93" s="5">
        <v>6</v>
      </c>
      <c r="B93" s="5">
        <v>92</v>
      </c>
      <c r="C93" s="50">
        <v>45464</v>
      </c>
      <c r="D93" s="5">
        <v>200</v>
      </c>
      <c r="E93" s="7">
        <v>76.3</v>
      </c>
      <c r="F93" s="7">
        <v>0</v>
      </c>
      <c r="G93" s="7">
        <v>0</v>
      </c>
      <c r="H93" s="7">
        <v>6</v>
      </c>
    </row>
    <row r="94" spans="1:9" ht="15" customHeight="1" x14ac:dyDescent="0.25">
      <c r="A94" s="5">
        <v>7</v>
      </c>
      <c r="B94" s="5">
        <v>93</v>
      </c>
      <c r="C94" s="50">
        <v>45465</v>
      </c>
      <c r="D94" s="5">
        <v>133</v>
      </c>
      <c r="E94" s="7">
        <v>82.4</v>
      </c>
      <c r="F94" s="7">
        <v>0.90900000000000003</v>
      </c>
      <c r="G94" s="7">
        <v>0</v>
      </c>
      <c r="H94" s="7">
        <v>14.1</v>
      </c>
    </row>
    <row r="95" spans="1:9" ht="15" customHeight="1" x14ac:dyDescent="0.25">
      <c r="A95" s="5">
        <v>1</v>
      </c>
      <c r="B95" s="5">
        <v>94</v>
      </c>
      <c r="C95" s="50">
        <v>45466</v>
      </c>
      <c r="D95" s="5">
        <v>82</v>
      </c>
      <c r="E95" s="7">
        <v>76.5</v>
      </c>
      <c r="F95" s="7">
        <v>0</v>
      </c>
      <c r="G95" s="7">
        <v>0</v>
      </c>
      <c r="H95" s="7">
        <v>9.8000000000000007</v>
      </c>
    </row>
    <row r="96" spans="1:9" ht="15" customHeight="1" x14ac:dyDescent="0.25">
      <c r="A96" s="5">
        <v>2</v>
      </c>
      <c r="B96" s="5">
        <v>95</v>
      </c>
      <c r="C96" s="50">
        <v>45467</v>
      </c>
      <c r="D96" s="5">
        <v>54</v>
      </c>
      <c r="E96" s="7">
        <v>75.599999999999994</v>
      </c>
      <c r="F96" s="7">
        <v>0</v>
      </c>
      <c r="G96" s="7">
        <v>0</v>
      </c>
      <c r="H96" s="7">
        <v>5.6</v>
      </c>
    </row>
    <row r="97" spans="1:9" ht="15" customHeight="1" x14ac:dyDescent="0.25">
      <c r="A97" s="5">
        <v>3</v>
      </c>
      <c r="B97" s="5">
        <v>96</v>
      </c>
      <c r="C97" s="50">
        <v>45468</v>
      </c>
      <c r="D97" s="5">
        <v>38</v>
      </c>
      <c r="E97" s="7">
        <v>79.5</v>
      </c>
      <c r="F97" s="7">
        <v>0.44900000000000001</v>
      </c>
      <c r="G97" s="7">
        <v>0</v>
      </c>
      <c r="H97" s="7">
        <v>13.4</v>
      </c>
    </row>
    <row r="98" spans="1:9" ht="15" customHeight="1" x14ac:dyDescent="0.25">
      <c r="A98" s="5">
        <v>4</v>
      </c>
      <c r="B98" s="5">
        <v>97</v>
      </c>
      <c r="C98" s="50">
        <v>45469</v>
      </c>
      <c r="D98" s="5">
        <v>85</v>
      </c>
      <c r="E98" s="7">
        <v>79</v>
      </c>
      <c r="F98" s="7">
        <v>0</v>
      </c>
      <c r="G98" s="7">
        <v>0</v>
      </c>
      <c r="H98" s="7">
        <v>9.6</v>
      </c>
    </row>
    <row r="99" spans="1:9" ht="15" customHeight="1" x14ac:dyDescent="0.25">
      <c r="A99" s="5">
        <v>5</v>
      </c>
      <c r="B99" s="5">
        <v>98</v>
      </c>
      <c r="C99" s="50">
        <v>45470</v>
      </c>
      <c r="D99" s="5">
        <v>78</v>
      </c>
      <c r="E99" s="7">
        <v>68.5</v>
      </c>
      <c r="F99" s="7">
        <v>0</v>
      </c>
      <c r="G99" s="7">
        <v>0</v>
      </c>
      <c r="H99" s="7">
        <v>9.8000000000000007</v>
      </c>
    </row>
    <row r="100" spans="1:9" ht="15" customHeight="1" x14ac:dyDescent="0.25">
      <c r="A100" s="5">
        <v>6</v>
      </c>
      <c r="B100" s="5">
        <v>99</v>
      </c>
      <c r="C100" s="50">
        <v>45471</v>
      </c>
      <c r="D100" s="5">
        <v>176</v>
      </c>
      <c r="E100" s="7">
        <v>68</v>
      </c>
      <c r="F100" s="7">
        <v>0.15</v>
      </c>
      <c r="G100" s="7">
        <v>0</v>
      </c>
      <c r="H100" s="7">
        <v>7.1</v>
      </c>
    </row>
    <row r="101" spans="1:9" ht="15" customHeight="1" x14ac:dyDescent="0.25">
      <c r="A101" s="5">
        <v>7</v>
      </c>
      <c r="B101" s="5">
        <v>100</v>
      </c>
      <c r="C101" s="50">
        <v>45472</v>
      </c>
      <c r="D101" s="5">
        <v>180</v>
      </c>
      <c r="E101" s="7">
        <v>78.099999999999994</v>
      </c>
      <c r="F101" s="7">
        <v>1.2E-2</v>
      </c>
      <c r="G101" s="7">
        <v>0</v>
      </c>
      <c r="H101" s="7">
        <v>10.5</v>
      </c>
    </row>
    <row r="102" spans="1:9" ht="15" customHeight="1" x14ac:dyDescent="0.25">
      <c r="A102" s="5">
        <v>1</v>
      </c>
      <c r="B102" s="5">
        <v>101</v>
      </c>
      <c r="C102" s="50">
        <v>45473</v>
      </c>
      <c r="D102" s="5">
        <v>69</v>
      </c>
      <c r="E102" s="7">
        <v>69.099999999999994</v>
      </c>
      <c r="F102" s="7">
        <v>0</v>
      </c>
      <c r="G102" s="7">
        <v>0</v>
      </c>
      <c r="H102" s="7">
        <v>12.1</v>
      </c>
    </row>
    <row r="103" spans="1:9" ht="15" customHeight="1" x14ac:dyDescent="0.25">
      <c r="A103" s="5">
        <v>2</v>
      </c>
      <c r="B103" s="5">
        <v>102</v>
      </c>
      <c r="C103" s="50">
        <v>45474</v>
      </c>
      <c r="D103" s="5">
        <v>81</v>
      </c>
      <c r="E103" s="7">
        <v>65.3</v>
      </c>
      <c r="F103" s="7">
        <v>0</v>
      </c>
      <c r="G103" s="7">
        <v>0</v>
      </c>
      <c r="H103" s="7">
        <v>7.4</v>
      </c>
    </row>
    <row r="104" spans="1:9" ht="15" customHeight="1" x14ac:dyDescent="0.25">
      <c r="A104" s="5">
        <v>3</v>
      </c>
      <c r="B104" s="5">
        <v>103</v>
      </c>
      <c r="C104" s="50">
        <v>45475</v>
      </c>
      <c r="D104" s="5">
        <v>58</v>
      </c>
      <c r="E104" s="7">
        <v>71.8</v>
      </c>
      <c r="F104" s="7">
        <v>1.2E-2</v>
      </c>
      <c r="G104" s="7">
        <v>0</v>
      </c>
      <c r="H104" s="7">
        <v>11.4</v>
      </c>
    </row>
    <row r="105" spans="1:9" ht="15" customHeight="1" x14ac:dyDescent="0.25">
      <c r="A105" s="5">
        <v>4</v>
      </c>
      <c r="B105" s="5">
        <v>104</v>
      </c>
      <c r="C105" s="50">
        <v>45476</v>
      </c>
      <c r="D105" s="5">
        <v>112</v>
      </c>
      <c r="E105" s="7">
        <v>79.900000000000006</v>
      </c>
      <c r="F105" s="7">
        <v>9.0999999999999998E-2</v>
      </c>
      <c r="G105" s="7">
        <v>0</v>
      </c>
      <c r="H105" s="7">
        <v>7.6</v>
      </c>
    </row>
    <row r="106" spans="1:9" ht="15" customHeight="1" x14ac:dyDescent="0.25">
      <c r="A106" s="5">
        <v>5</v>
      </c>
      <c r="B106" s="5">
        <v>105</v>
      </c>
      <c r="C106" s="50">
        <v>45477</v>
      </c>
      <c r="D106" s="5">
        <v>88</v>
      </c>
      <c r="E106" s="7">
        <v>77.400000000000006</v>
      </c>
      <c r="F106" s="7">
        <v>0</v>
      </c>
      <c r="G106" s="7">
        <v>0</v>
      </c>
      <c r="H106" s="7">
        <v>3.1</v>
      </c>
      <c r="I106" s="39" t="s">
        <v>18</v>
      </c>
    </row>
    <row r="107" spans="1:9" ht="15" customHeight="1" x14ac:dyDescent="0.25">
      <c r="A107" s="5">
        <v>6</v>
      </c>
      <c r="B107" s="5">
        <v>106</v>
      </c>
      <c r="C107" s="50">
        <v>45478</v>
      </c>
      <c r="D107" s="5">
        <v>151</v>
      </c>
      <c r="E107" s="7">
        <v>76.3</v>
      </c>
      <c r="F107" s="7">
        <v>0</v>
      </c>
      <c r="G107" s="7">
        <v>0</v>
      </c>
      <c r="H107" s="7">
        <v>11.2</v>
      </c>
    </row>
    <row r="108" spans="1:9" ht="15" customHeight="1" x14ac:dyDescent="0.25">
      <c r="A108" s="5">
        <v>7</v>
      </c>
      <c r="B108" s="5">
        <v>107</v>
      </c>
      <c r="C108" s="50">
        <v>45479</v>
      </c>
      <c r="D108" s="5">
        <v>194</v>
      </c>
      <c r="E108" s="7">
        <v>72.3</v>
      </c>
      <c r="F108" s="7">
        <v>0</v>
      </c>
      <c r="G108" s="7">
        <v>0</v>
      </c>
      <c r="H108" s="7">
        <v>5.3</v>
      </c>
    </row>
    <row r="109" spans="1:9" ht="15" customHeight="1" x14ac:dyDescent="0.25">
      <c r="A109" s="5">
        <v>1</v>
      </c>
      <c r="B109" s="5">
        <v>108</v>
      </c>
      <c r="C109" s="50">
        <v>45480</v>
      </c>
      <c r="D109" s="5">
        <v>54</v>
      </c>
      <c r="E109" s="7">
        <v>73.900000000000006</v>
      </c>
      <c r="F109" s="7">
        <v>1.071</v>
      </c>
      <c r="G109" s="7">
        <v>0</v>
      </c>
      <c r="H109" s="7">
        <v>7.4</v>
      </c>
    </row>
    <row r="110" spans="1:9" ht="15" customHeight="1" x14ac:dyDescent="0.25">
      <c r="A110" s="5">
        <v>2</v>
      </c>
      <c r="B110" s="5">
        <v>109</v>
      </c>
      <c r="C110" s="50">
        <v>45481</v>
      </c>
      <c r="D110" s="5">
        <v>85</v>
      </c>
      <c r="E110" s="7">
        <v>75.2</v>
      </c>
      <c r="F110" s="7">
        <v>0</v>
      </c>
      <c r="G110" s="7">
        <v>0</v>
      </c>
      <c r="H110" s="7">
        <v>7.8</v>
      </c>
    </row>
    <row r="111" spans="1:9" ht="15" customHeight="1" x14ac:dyDescent="0.25">
      <c r="A111" s="5">
        <v>3</v>
      </c>
      <c r="B111" s="5">
        <v>110</v>
      </c>
      <c r="C111" s="50">
        <v>45482</v>
      </c>
      <c r="D111" s="5">
        <v>47</v>
      </c>
      <c r="E111" s="7">
        <v>76.8</v>
      </c>
      <c r="F111" s="7">
        <v>0.38200000000000001</v>
      </c>
      <c r="G111" s="7">
        <v>0</v>
      </c>
      <c r="H111" s="7">
        <v>5.2</v>
      </c>
    </row>
    <row r="112" spans="1:9" ht="15" customHeight="1" x14ac:dyDescent="0.25">
      <c r="A112" s="5">
        <v>4</v>
      </c>
      <c r="B112" s="5">
        <v>111</v>
      </c>
      <c r="C112" s="50">
        <v>45483</v>
      </c>
      <c r="D112" s="5">
        <v>71</v>
      </c>
      <c r="E112" s="7">
        <v>73.2</v>
      </c>
      <c r="F112" s="7">
        <v>0.22800000000000001</v>
      </c>
      <c r="G112" s="7">
        <v>0</v>
      </c>
      <c r="H112" s="7">
        <v>7.8</v>
      </c>
    </row>
    <row r="113" spans="1:8" ht="15" customHeight="1" x14ac:dyDescent="0.25">
      <c r="A113" s="5">
        <v>5</v>
      </c>
      <c r="B113" s="5">
        <v>112</v>
      </c>
      <c r="C113" s="50">
        <v>45484</v>
      </c>
      <c r="D113" s="5">
        <v>135</v>
      </c>
      <c r="E113" s="7">
        <v>72.7</v>
      </c>
      <c r="F113" s="7">
        <v>0</v>
      </c>
      <c r="G113" s="7">
        <v>0</v>
      </c>
      <c r="H113" s="7">
        <v>7</v>
      </c>
    </row>
    <row r="114" spans="1:8" ht="15" customHeight="1" x14ac:dyDescent="0.25">
      <c r="A114" s="5">
        <v>6</v>
      </c>
      <c r="B114" s="5">
        <v>113</v>
      </c>
      <c r="C114" s="50">
        <v>45485</v>
      </c>
      <c r="D114" s="5">
        <v>167</v>
      </c>
      <c r="E114" s="7">
        <v>74.7</v>
      </c>
      <c r="F114" s="7">
        <v>0</v>
      </c>
      <c r="G114" s="7">
        <v>0</v>
      </c>
      <c r="H114" s="7">
        <v>6</v>
      </c>
    </row>
    <row r="115" spans="1:8" ht="15" customHeight="1" x14ac:dyDescent="0.25">
      <c r="A115" s="5">
        <v>7</v>
      </c>
      <c r="B115" s="5">
        <v>114</v>
      </c>
      <c r="C115" s="50">
        <v>45486</v>
      </c>
      <c r="D115" s="5">
        <v>184</v>
      </c>
      <c r="E115" s="7">
        <v>78.8</v>
      </c>
      <c r="F115" s="7">
        <v>1.5980000000000001</v>
      </c>
      <c r="G115" s="7">
        <v>0</v>
      </c>
      <c r="H115" s="7">
        <v>7.6</v>
      </c>
    </row>
    <row r="116" spans="1:8" ht="15" customHeight="1" x14ac:dyDescent="0.25">
      <c r="A116" s="5">
        <v>1</v>
      </c>
      <c r="B116" s="5">
        <v>115</v>
      </c>
      <c r="C116" s="50">
        <v>45487</v>
      </c>
      <c r="D116" s="5">
        <v>65</v>
      </c>
      <c r="E116" s="7">
        <v>75.7</v>
      </c>
      <c r="F116" s="7">
        <v>1.6419999999999999</v>
      </c>
      <c r="G116" s="7">
        <v>0</v>
      </c>
      <c r="H116" s="7">
        <v>8.9</v>
      </c>
    </row>
    <row r="117" spans="1:8" ht="15" customHeight="1" x14ac:dyDescent="0.25">
      <c r="A117" s="5">
        <v>2</v>
      </c>
      <c r="B117" s="5">
        <v>116</v>
      </c>
      <c r="C117" s="50">
        <v>45488</v>
      </c>
      <c r="D117" s="5">
        <v>73</v>
      </c>
      <c r="E117" s="7">
        <v>79</v>
      </c>
      <c r="F117" s="7">
        <v>0.53100000000000003</v>
      </c>
      <c r="G117" s="7">
        <v>0</v>
      </c>
      <c r="H117" s="7">
        <v>8.1</v>
      </c>
    </row>
    <row r="118" spans="1:8" ht="15" customHeight="1" x14ac:dyDescent="0.25">
      <c r="A118" s="5">
        <v>3</v>
      </c>
      <c r="B118" s="5">
        <v>117</v>
      </c>
      <c r="C118" s="50">
        <v>45489</v>
      </c>
      <c r="D118" s="5">
        <v>86</v>
      </c>
      <c r="E118" s="7">
        <v>77.400000000000006</v>
      </c>
      <c r="F118" s="7">
        <v>0</v>
      </c>
      <c r="G118" s="7">
        <v>0</v>
      </c>
      <c r="H118" s="7">
        <v>8.1</v>
      </c>
    </row>
    <row r="119" spans="1:8" ht="15" customHeight="1" x14ac:dyDescent="0.25">
      <c r="A119" s="5">
        <v>4</v>
      </c>
      <c r="B119" s="5">
        <v>118</v>
      </c>
      <c r="C119" s="50">
        <v>45490</v>
      </c>
      <c r="D119" s="5">
        <v>103</v>
      </c>
      <c r="E119" s="7">
        <v>76.599999999999994</v>
      </c>
      <c r="F119" s="7">
        <v>0</v>
      </c>
      <c r="G119" s="7">
        <v>0</v>
      </c>
      <c r="H119" s="7">
        <v>10.9</v>
      </c>
    </row>
    <row r="120" spans="1:8" ht="15" customHeight="1" x14ac:dyDescent="0.25">
      <c r="A120" s="5">
        <v>5</v>
      </c>
      <c r="B120" s="5">
        <v>119</v>
      </c>
      <c r="C120" s="50">
        <v>45491</v>
      </c>
      <c r="D120" s="5">
        <v>87</v>
      </c>
      <c r="E120" s="7">
        <v>69.099999999999994</v>
      </c>
      <c r="F120" s="7">
        <v>0</v>
      </c>
      <c r="G120" s="7">
        <v>0</v>
      </c>
      <c r="H120" s="7">
        <v>9.1999999999999993</v>
      </c>
    </row>
    <row r="121" spans="1:8" ht="15" customHeight="1" x14ac:dyDescent="0.25">
      <c r="A121" s="5">
        <v>6</v>
      </c>
      <c r="B121" s="5">
        <v>120</v>
      </c>
      <c r="C121" s="50">
        <v>45492</v>
      </c>
      <c r="D121" s="5">
        <v>190</v>
      </c>
      <c r="E121" s="7">
        <v>69.400000000000006</v>
      </c>
      <c r="F121" s="7">
        <v>0</v>
      </c>
      <c r="G121" s="7">
        <v>0</v>
      </c>
      <c r="H121" s="7">
        <v>6.3</v>
      </c>
    </row>
    <row r="122" spans="1:8" ht="15" customHeight="1" x14ac:dyDescent="0.25">
      <c r="A122" s="5">
        <v>7</v>
      </c>
      <c r="B122" s="5">
        <v>121</v>
      </c>
      <c r="C122" s="50">
        <v>45493</v>
      </c>
      <c r="D122" s="5">
        <v>202</v>
      </c>
      <c r="E122" s="7">
        <v>72.5</v>
      </c>
      <c r="F122" s="7">
        <v>0</v>
      </c>
      <c r="G122" s="7">
        <v>0</v>
      </c>
      <c r="H122" s="7">
        <v>3.8</v>
      </c>
    </row>
    <row r="123" spans="1:8" ht="15" customHeight="1" x14ac:dyDescent="0.25">
      <c r="A123" s="5">
        <v>1</v>
      </c>
      <c r="B123" s="5">
        <v>122</v>
      </c>
      <c r="C123" s="50">
        <v>45494</v>
      </c>
      <c r="D123" s="5">
        <v>69</v>
      </c>
      <c r="E123" s="7">
        <v>74.5</v>
      </c>
      <c r="F123" s="7">
        <v>0</v>
      </c>
      <c r="G123" s="7">
        <v>0</v>
      </c>
      <c r="H123" s="7">
        <v>4.5</v>
      </c>
    </row>
    <row r="124" spans="1:8" ht="15" customHeight="1" x14ac:dyDescent="0.25">
      <c r="A124" s="5">
        <v>2</v>
      </c>
      <c r="B124" s="5">
        <v>123</v>
      </c>
      <c r="C124" s="50">
        <v>45495</v>
      </c>
      <c r="D124" s="5">
        <v>83</v>
      </c>
      <c r="E124" s="7">
        <v>74.099999999999994</v>
      </c>
      <c r="F124" s="7">
        <v>0</v>
      </c>
      <c r="G124" s="7">
        <v>0</v>
      </c>
      <c r="H124" s="7">
        <v>4</v>
      </c>
    </row>
    <row r="125" spans="1:8" ht="15" customHeight="1" x14ac:dyDescent="0.25">
      <c r="A125" s="5">
        <v>3</v>
      </c>
      <c r="B125" s="5">
        <v>124</v>
      </c>
      <c r="C125" s="50">
        <v>45496</v>
      </c>
      <c r="D125" s="5">
        <v>107</v>
      </c>
      <c r="E125" s="7">
        <v>75.900000000000006</v>
      </c>
      <c r="F125" s="7">
        <v>0.20100000000000001</v>
      </c>
      <c r="G125" s="7">
        <v>0</v>
      </c>
      <c r="H125" s="7">
        <v>6.5</v>
      </c>
    </row>
    <row r="126" spans="1:8" ht="15" customHeight="1" x14ac:dyDescent="0.25">
      <c r="A126" s="5">
        <v>4</v>
      </c>
      <c r="B126" s="5">
        <v>125</v>
      </c>
      <c r="C126" s="50">
        <v>45497</v>
      </c>
      <c r="D126" s="5">
        <v>101</v>
      </c>
      <c r="E126" s="7">
        <v>71.8</v>
      </c>
      <c r="F126" s="7">
        <v>0</v>
      </c>
      <c r="G126" s="7">
        <v>0</v>
      </c>
      <c r="H126" s="7">
        <v>6.7</v>
      </c>
    </row>
    <row r="127" spans="1:8" ht="15" customHeight="1" x14ac:dyDescent="0.25">
      <c r="A127" s="5">
        <v>5</v>
      </c>
      <c r="B127" s="5">
        <v>126</v>
      </c>
      <c r="C127" s="50">
        <v>45498</v>
      </c>
      <c r="D127" s="5">
        <v>154</v>
      </c>
      <c r="E127" s="7">
        <v>70.7</v>
      </c>
      <c r="F127" s="7">
        <v>0</v>
      </c>
      <c r="G127" s="7">
        <v>0</v>
      </c>
      <c r="H127" s="7">
        <v>7.4</v>
      </c>
    </row>
    <row r="128" spans="1:8" ht="15" customHeight="1" x14ac:dyDescent="0.25">
      <c r="A128" s="5">
        <v>6</v>
      </c>
      <c r="B128" s="5">
        <v>127</v>
      </c>
      <c r="C128" s="50">
        <v>45499</v>
      </c>
      <c r="D128" s="5">
        <v>181</v>
      </c>
      <c r="E128" s="7">
        <v>71.099999999999994</v>
      </c>
      <c r="F128" s="7">
        <v>0</v>
      </c>
      <c r="G128" s="7">
        <v>0</v>
      </c>
      <c r="H128" s="7">
        <v>5.8</v>
      </c>
    </row>
    <row r="129" spans="1:8" ht="15" customHeight="1" x14ac:dyDescent="0.25">
      <c r="A129" s="5">
        <v>7</v>
      </c>
      <c r="B129" s="5">
        <v>128</v>
      </c>
      <c r="C129" s="50">
        <v>45500</v>
      </c>
      <c r="D129" s="5">
        <v>208</v>
      </c>
      <c r="E129" s="7">
        <v>74.8</v>
      </c>
      <c r="F129" s="7">
        <v>0</v>
      </c>
      <c r="G129" s="7">
        <v>0</v>
      </c>
      <c r="H129" s="7">
        <v>6</v>
      </c>
    </row>
    <row r="130" spans="1:8" ht="15" customHeight="1" x14ac:dyDescent="0.25">
      <c r="A130" s="5">
        <v>1</v>
      </c>
      <c r="B130" s="5">
        <v>129</v>
      </c>
      <c r="C130" s="50">
        <v>45501</v>
      </c>
      <c r="D130" s="5">
        <v>92</v>
      </c>
      <c r="E130" s="7">
        <v>76.5</v>
      </c>
      <c r="F130" s="7">
        <v>3.1E-2</v>
      </c>
      <c r="G130" s="7">
        <v>0</v>
      </c>
      <c r="H130" s="7">
        <v>7.8</v>
      </c>
    </row>
    <row r="131" spans="1:8" ht="15" customHeight="1" x14ac:dyDescent="0.25">
      <c r="A131" s="5">
        <v>2</v>
      </c>
      <c r="B131" s="5">
        <v>130</v>
      </c>
      <c r="C131" s="50">
        <v>45502</v>
      </c>
      <c r="D131" s="5">
        <v>72</v>
      </c>
      <c r="E131" s="7">
        <v>76.3</v>
      </c>
      <c r="F131" s="7">
        <v>0.11</v>
      </c>
      <c r="G131" s="7">
        <v>0</v>
      </c>
      <c r="H131" s="7">
        <v>6.7</v>
      </c>
    </row>
    <row r="132" spans="1:8" ht="15" customHeight="1" x14ac:dyDescent="0.25">
      <c r="A132" s="5">
        <v>3</v>
      </c>
      <c r="B132" s="5">
        <v>131</v>
      </c>
      <c r="C132" s="50">
        <v>45503</v>
      </c>
      <c r="D132" s="5">
        <v>85</v>
      </c>
      <c r="E132" s="7">
        <v>78.400000000000006</v>
      </c>
      <c r="F132" s="7">
        <v>0</v>
      </c>
      <c r="G132" s="7">
        <v>0</v>
      </c>
      <c r="H132" s="7">
        <v>4.2</v>
      </c>
    </row>
    <row r="133" spans="1:8" ht="15" customHeight="1" x14ac:dyDescent="0.25">
      <c r="A133" s="5">
        <v>4</v>
      </c>
      <c r="B133" s="5">
        <v>132</v>
      </c>
      <c r="C133" s="50">
        <v>45504</v>
      </c>
      <c r="D133" s="5">
        <v>62</v>
      </c>
      <c r="E133" s="7">
        <v>81</v>
      </c>
      <c r="F133" s="7">
        <v>0</v>
      </c>
      <c r="G133" s="7">
        <v>0</v>
      </c>
      <c r="H133" s="7">
        <v>5.2</v>
      </c>
    </row>
    <row r="134" spans="1:8" ht="15" customHeight="1" x14ac:dyDescent="0.25">
      <c r="A134" s="5">
        <v>5</v>
      </c>
      <c r="B134" s="5">
        <v>133</v>
      </c>
      <c r="C134" s="50">
        <v>45505</v>
      </c>
      <c r="D134" s="5">
        <v>99</v>
      </c>
      <c r="E134" s="7">
        <v>80.8</v>
      </c>
      <c r="F134" s="7">
        <v>0.51200000000000001</v>
      </c>
      <c r="G134" s="7">
        <v>0</v>
      </c>
      <c r="H134" s="7">
        <v>4.9000000000000004</v>
      </c>
    </row>
    <row r="135" spans="1:8" ht="15" customHeight="1" x14ac:dyDescent="0.25">
      <c r="A135" s="5">
        <v>6</v>
      </c>
      <c r="B135" s="5">
        <v>134</v>
      </c>
      <c r="C135" s="50">
        <v>45506</v>
      </c>
      <c r="D135" s="5">
        <v>200</v>
      </c>
      <c r="E135" s="7">
        <v>76.3</v>
      </c>
      <c r="F135" s="7">
        <v>0</v>
      </c>
      <c r="G135" s="7">
        <v>0</v>
      </c>
      <c r="H135" s="7">
        <v>8.1</v>
      </c>
    </row>
    <row r="136" spans="1:8" ht="15" customHeight="1" x14ac:dyDescent="0.25">
      <c r="A136" s="5">
        <v>7</v>
      </c>
      <c r="B136" s="5">
        <v>135</v>
      </c>
      <c r="C136" s="50">
        <v>45507</v>
      </c>
      <c r="D136" s="5">
        <v>164</v>
      </c>
      <c r="E136" s="7">
        <v>80.400000000000006</v>
      </c>
      <c r="F136" s="7">
        <v>0</v>
      </c>
      <c r="G136" s="7">
        <v>0</v>
      </c>
      <c r="H136" s="7">
        <v>6</v>
      </c>
    </row>
    <row r="137" spans="1:8" ht="15" customHeight="1" x14ac:dyDescent="0.25">
      <c r="A137" s="5">
        <v>1</v>
      </c>
      <c r="B137" s="5">
        <v>136</v>
      </c>
      <c r="C137" s="50">
        <v>45508</v>
      </c>
      <c r="D137" s="5">
        <v>115</v>
      </c>
      <c r="E137" s="7">
        <v>80.400000000000006</v>
      </c>
      <c r="F137" s="7">
        <v>0</v>
      </c>
      <c r="G137" s="7">
        <v>0</v>
      </c>
      <c r="H137" s="7">
        <v>4.7</v>
      </c>
    </row>
    <row r="138" spans="1:8" ht="15" customHeight="1" x14ac:dyDescent="0.25">
      <c r="A138" s="5">
        <v>2</v>
      </c>
      <c r="B138" s="5">
        <v>137</v>
      </c>
      <c r="C138" s="50">
        <v>45509</v>
      </c>
      <c r="D138" s="5">
        <v>61</v>
      </c>
      <c r="E138" s="7">
        <v>81.099999999999994</v>
      </c>
      <c r="F138" s="7">
        <v>0</v>
      </c>
      <c r="G138" s="7">
        <v>0</v>
      </c>
      <c r="H138" s="7">
        <v>8.1</v>
      </c>
    </row>
    <row r="139" spans="1:8" ht="15" customHeight="1" x14ac:dyDescent="0.25">
      <c r="A139" s="5">
        <v>3</v>
      </c>
      <c r="B139" s="5">
        <v>138</v>
      </c>
      <c r="C139" s="50">
        <v>45510</v>
      </c>
      <c r="D139" s="5">
        <v>79</v>
      </c>
      <c r="E139" s="7">
        <v>72</v>
      </c>
      <c r="F139" s="7">
        <v>0.33900000000000002</v>
      </c>
      <c r="G139" s="7">
        <v>0</v>
      </c>
      <c r="H139" s="7">
        <v>14.1</v>
      </c>
    </row>
    <row r="140" spans="1:8" ht="15" customHeight="1" x14ac:dyDescent="0.25">
      <c r="A140" s="5">
        <v>4</v>
      </c>
      <c r="B140" s="5">
        <v>139</v>
      </c>
      <c r="C140" s="50">
        <v>45511</v>
      </c>
      <c r="D140" s="5">
        <v>106</v>
      </c>
      <c r="E140" s="7">
        <v>72</v>
      </c>
      <c r="F140" s="7">
        <v>0</v>
      </c>
      <c r="G140" s="7">
        <v>0</v>
      </c>
      <c r="H140" s="7">
        <v>10.8</v>
      </c>
    </row>
    <row r="141" spans="1:8" ht="15" customHeight="1" x14ac:dyDescent="0.25">
      <c r="A141" s="5">
        <v>5</v>
      </c>
      <c r="B141" s="5">
        <v>140</v>
      </c>
      <c r="C141" s="50">
        <v>45512</v>
      </c>
      <c r="D141" s="5">
        <v>80</v>
      </c>
      <c r="E141" s="7">
        <v>72</v>
      </c>
      <c r="F141" s="7">
        <v>0</v>
      </c>
      <c r="G141" s="7">
        <v>0</v>
      </c>
      <c r="H141" s="7">
        <v>5.6</v>
      </c>
    </row>
    <row r="142" spans="1:8" ht="15" customHeight="1" x14ac:dyDescent="0.25">
      <c r="A142" s="5">
        <v>6</v>
      </c>
      <c r="B142" s="5">
        <v>141</v>
      </c>
      <c r="C142" s="50">
        <v>45513</v>
      </c>
      <c r="D142" s="5">
        <v>150</v>
      </c>
      <c r="E142" s="7">
        <v>69.3</v>
      </c>
      <c r="F142" s="7">
        <v>0</v>
      </c>
      <c r="G142" s="7">
        <v>0</v>
      </c>
      <c r="H142" s="7">
        <v>9.8000000000000007</v>
      </c>
    </row>
    <row r="143" spans="1:8" ht="15" customHeight="1" x14ac:dyDescent="0.25">
      <c r="A143" s="5">
        <v>7</v>
      </c>
      <c r="B143" s="5">
        <v>142</v>
      </c>
      <c r="C143" s="50">
        <v>45514</v>
      </c>
      <c r="D143" s="5">
        <v>161</v>
      </c>
      <c r="E143" s="7">
        <v>65.099999999999994</v>
      </c>
      <c r="F143" s="7">
        <v>0</v>
      </c>
      <c r="G143" s="7">
        <v>0</v>
      </c>
      <c r="H143" s="7">
        <v>10.5</v>
      </c>
    </row>
    <row r="144" spans="1:8" ht="15" customHeight="1" x14ac:dyDescent="0.25">
      <c r="A144" s="5">
        <v>1</v>
      </c>
      <c r="B144" s="5">
        <v>143</v>
      </c>
      <c r="C144" s="50">
        <v>45515</v>
      </c>
      <c r="D144" s="5">
        <v>60</v>
      </c>
      <c r="E144" s="7">
        <v>68.5</v>
      </c>
      <c r="F144" s="7">
        <v>0</v>
      </c>
      <c r="G144" s="7">
        <v>0</v>
      </c>
      <c r="H144" s="7">
        <v>7.4</v>
      </c>
    </row>
    <row r="145" spans="1:8" ht="15" customHeight="1" x14ac:dyDescent="0.25">
      <c r="A145" s="5">
        <v>2</v>
      </c>
      <c r="B145" s="5">
        <v>144</v>
      </c>
      <c r="C145" s="50">
        <v>45516</v>
      </c>
      <c r="D145" s="5">
        <v>67</v>
      </c>
      <c r="E145" s="7">
        <v>71.099999999999994</v>
      </c>
      <c r="F145" s="7">
        <v>0</v>
      </c>
      <c r="G145" s="7">
        <v>0</v>
      </c>
      <c r="H145" s="7">
        <v>4.5</v>
      </c>
    </row>
    <row r="146" spans="1:8" ht="15" customHeight="1" x14ac:dyDescent="0.25">
      <c r="A146" s="5">
        <v>3</v>
      </c>
      <c r="B146" s="5">
        <v>145</v>
      </c>
      <c r="C146" s="50">
        <v>45517</v>
      </c>
      <c r="D146" s="5">
        <v>73</v>
      </c>
      <c r="E146" s="7">
        <v>74.099999999999994</v>
      </c>
      <c r="F146" s="7">
        <v>0</v>
      </c>
      <c r="G146" s="7">
        <v>0</v>
      </c>
      <c r="H146" s="7">
        <v>4.7</v>
      </c>
    </row>
    <row r="147" spans="1:8" ht="15" customHeight="1" x14ac:dyDescent="0.25">
      <c r="A147" s="5">
        <v>4</v>
      </c>
      <c r="B147" s="5">
        <v>146</v>
      </c>
      <c r="C147" s="50">
        <v>45518</v>
      </c>
      <c r="D147" s="5">
        <v>74</v>
      </c>
      <c r="E147" s="7">
        <v>76.3</v>
      </c>
      <c r="F147" s="7">
        <v>0</v>
      </c>
      <c r="G147" s="7">
        <v>0</v>
      </c>
      <c r="H147" s="7">
        <v>6</v>
      </c>
    </row>
    <row r="148" spans="1:8" ht="15" customHeight="1" x14ac:dyDescent="0.25">
      <c r="A148" s="5">
        <v>5</v>
      </c>
      <c r="B148" s="5">
        <v>147</v>
      </c>
      <c r="C148" s="50">
        <v>45519</v>
      </c>
      <c r="D148" s="5">
        <v>103</v>
      </c>
      <c r="E148" s="7">
        <v>73.2</v>
      </c>
      <c r="F148" s="7">
        <v>0.252</v>
      </c>
      <c r="G148" s="7">
        <v>0</v>
      </c>
      <c r="H148" s="7">
        <v>10.3</v>
      </c>
    </row>
    <row r="149" spans="1:8" ht="15" customHeight="1" x14ac:dyDescent="0.25">
      <c r="A149" s="5">
        <v>6</v>
      </c>
      <c r="B149" s="5">
        <v>148</v>
      </c>
      <c r="C149" s="50">
        <v>45520</v>
      </c>
      <c r="D149" s="5">
        <v>159</v>
      </c>
      <c r="E149" s="7">
        <v>75.400000000000006</v>
      </c>
      <c r="F149" s="7">
        <v>0.22</v>
      </c>
      <c r="G149" s="7">
        <v>0</v>
      </c>
      <c r="H149" s="7">
        <v>9.1999999999999993</v>
      </c>
    </row>
    <row r="150" spans="1:8" ht="15" customHeight="1" x14ac:dyDescent="0.25">
      <c r="A150" s="5">
        <v>7</v>
      </c>
      <c r="B150" s="5">
        <v>149</v>
      </c>
      <c r="C150" s="50">
        <v>45521</v>
      </c>
      <c r="D150" s="5">
        <v>232</v>
      </c>
      <c r="E150" s="7">
        <v>74.099999999999994</v>
      </c>
      <c r="F150" s="7">
        <v>0.16900000000000001</v>
      </c>
      <c r="G150" s="7">
        <v>0</v>
      </c>
      <c r="H150" s="7">
        <v>8.3000000000000007</v>
      </c>
    </row>
    <row r="151" spans="1:8" ht="15" customHeight="1" x14ac:dyDescent="0.25">
      <c r="A151" s="5">
        <v>1</v>
      </c>
      <c r="B151" s="5">
        <v>150</v>
      </c>
      <c r="C151" s="50">
        <v>45522</v>
      </c>
      <c r="D151" s="5">
        <v>74</v>
      </c>
      <c r="E151" s="7">
        <v>72</v>
      </c>
      <c r="F151" s="7">
        <v>1.2E-2</v>
      </c>
      <c r="G151" s="7">
        <v>0</v>
      </c>
      <c r="H151" s="7">
        <v>12.6</v>
      </c>
    </row>
    <row r="152" spans="1:8" ht="15" customHeight="1" x14ac:dyDescent="0.25">
      <c r="A152" s="5">
        <v>2</v>
      </c>
      <c r="B152" s="5">
        <v>151</v>
      </c>
      <c r="C152" s="50">
        <v>45523</v>
      </c>
      <c r="D152" s="5">
        <v>65</v>
      </c>
      <c r="E152" s="7">
        <v>70.900000000000006</v>
      </c>
      <c r="F152" s="7">
        <v>0</v>
      </c>
      <c r="G152" s="7">
        <v>0</v>
      </c>
      <c r="H152" s="7">
        <v>13.4</v>
      </c>
    </row>
    <row r="153" spans="1:8" ht="15" customHeight="1" x14ac:dyDescent="0.25">
      <c r="A153" s="5">
        <v>3</v>
      </c>
      <c r="B153" s="5">
        <v>152</v>
      </c>
      <c r="C153" s="50">
        <v>45524</v>
      </c>
      <c r="D153" s="5">
        <v>41</v>
      </c>
      <c r="E153" s="7">
        <v>66.900000000000006</v>
      </c>
      <c r="F153" s="7">
        <v>0</v>
      </c>
      <c r="G153" s="7">
        <v>0</v>
      </c>
      <c r="H153" s="7">
        <v>8.1</v>
      </c>
    </row>
    <row r="154" spans="1:8" ht="15" customHeight="1" x14ac:dyDescent="0.25">
      <c r="A154" s="5">
        <v>4</v>
      </c>
      <c r="B154" s="5">
        <v>153</v>
      </c>
      <c r="C154" s="50">
        <v>45525</v>
      </c>
      <c r="D154" s="5">
        <v>61</v>
      </c>
      <c r="E154" s="7">
        <v>65.099999999999994</v>
      </c>
      <c r="F154" s="7">
        <v>0</v>
      </c>
      <c r="G154" s="7">
        <v>0</v>
      </c>
      <c r="H154" s="7">
        <v>4.5</v>
      </c>
    </row>
    <row r="155" spans="1:8" ht="15" customHeight="1" x14ac:dyDescent="0.25">
      <c r="A155" s="5">
        <v>5</v>
      </c>
      <c r="B155" s="5">
        <v>154</v>
      </c>
      <c r="C155" s="50">
        <v>45526</v>
      </c>
      <c r="D155" s="5">
        <v>117</v>
      </c>
      <c r="E155" s="7">
        <v>66.400000000000006</v>
      </c>
      <c r="F155" s="7">
        <v>0</v>
      </c>
      <c r="G155" s="7">
        <v>0</v>
      </c>
      <c r="H155" s="7">
        <v>3.4</v>
      </c>
    </row>
    <row r="156" spans="1:8" ht="15" customHeight="1" x14ac:dyDescent="0.25">
      <c r="A156" s="5">
        <v>6</v>
      </c>
      <c r="B156" s="5">
        <v>155</v>
      </c>
      <c r="C156" s="50">
        <v>45527</v>
      </c>
      <c r="D156" s="5">
        <v>124</v>
      </c>
      <c r="E156" s="7">
        <v>70.5</v>
      </c>
      <c r="F156" s="7">
        <v>0</v>
      </c>
      <c r="G156" s="7">
        <v>0</v>
      </c>
      <c r="H156" s="7">
        <v>4.9000000000000004</v>
      </c>
    </row>
    <row r="157" spans="1:8" ht="15" customHeight="1" x14ac:dyDescent="0.25">
      <c r="A157" s="5">
        <v>7</v>
      </c>
      <c r="B157" s="5">
        <v>156</v>
      </c>
      <c r="C157" s="50">
        <v>45528</v>
      </c>
      <c r="D157" s="5">
        <v>199</v>
      </c>
      <c r="E157" s="7">
        <v>76.3</v>
      </c>
      <c r="F157" s="7">
        <v>0</v>
      </c>
      <c r="G157" s="7">
        <v>0</v>
      </c>
      <c r="H157" s="7">
        <v>4</v>
      </c>
    </row>
    <row r="158" spans="1:8" ht="15" customHeight="1" x14ac:dyDescent="0.25">
      <c r="A158" s="5">
        <v>1</v>
      </c>
      <c r="B158" s="5">
        <v>157</v>
      </c>
      <c r="C158" s="50">
        <v>45529</v>
      </c>
      <c r="D158" s="5">
        <v>55</v>
      </c>
      <c r="E158" s="7">
        <v>81.900000000000006</v>
      </c>
      <c r="F158" s="7">
        <v>0</v>
      </c>
      <c r="G158" s="7">
        <v>0</v>
      </c>
      <c r="H158" s="7">
        <v>9.6</v>
      </c>
    </row>
    <row r="159" spans="1:8" ht="15" customHeight="1" x14ac:dyDescent="0.25">
      <c r="A159" s="5">
        <v>2</v>
      </c>
      <c r="B159" s="5">
        <v>158</v>
      </c>
      <c r="C159" s="50">
        <v>45530</v>
      </c>
      <c r="D159" s="5">
        <v>44</v>
      </c>
      <c r="E159" s="7">
        <v>85.8</v>
      </c>
      <c r="F159" s="7">
        <v>0</v>
      </c>
      <c r="G159" s="7">
        <v>0</v>
      </c>
      <c r="H159" s="7">
        <v>10.5</v>
      </c>
    </row>
    <row r="160" spans="1:8" ht="15" customHeight="1" x14ac:dyDescent="0.25">
      <c r="A160" s="5">
        <v>3</v>
      </c>
      <c r="B160" s="5">
        <v>159</v>
      </c>
      <c r="C160" s="50">
        <v>45531</v>
      </c>
      <c r="D160" s="5">
        <v>62</v>
      </c>
      <c r="E160" s="7">
        <v>87.6</v>
      </c>
      <c r="F160" s="7">
        <v>0.64200000000000002</v>
      </c>
      <c r="G160" s="7">
        <v>0</v>
      </c>
      <c r="H160" s="7">
        <v>8.5</v>
      </c>
    </row>
    <row r="161" spans="1:9" ht="15" customHeight="1" x14ac:dyDescent="0.25">
      <c r="A161" s="5">
        <v>4</v>
      </c>
      <c r="B161" s="5">
        <v>160</v>
      </c>
      <c r="C161" s="50">
        <v>45532</v>
      </c>
      <c r="D161" s="5">
        <v>48</v>
      </c>
      <c r="E161" s="7">
        <v>76.8</v>
      </c>
      <c r="F161" s="7">
        <v>0.18099999999999999</v>
      </c>
      <c r="G161" s="7">
        <v>0</v>
      </c>
      <c r="H161" s="7">
        <v>8.5</v>
      </c>
    </row>
    <row r="162" spans="1:9" ht="15" customHeight="1" x14ac:dyDescent="0.25">
      <c r="A162" s="5">
        <v>5</v>
      </c>
      <c r="B162" s="5">
        <v>161</v>
      </c>
      <c r="C162" s="50">
        <v>45533</v>
      </c>
      <c r="D162" s="5">
        <v>154</v>
      </c>
      <c r="E162" s="7">
        <v>76.099999999999994</v>
      </c>
      <c r="F162" s="7">
        <v>0</v>
      </c>
      <c r="G162" s="7">
        <v>0</v>
      </c>
      <c r="H162" s="7">
        <v>7.6</v>
      </c>
    </row>
    <row r="163" spans="1:9" ht="15" customHeight="1" x14ac:dyDescent="0.25">
      <c r="A163" s="5">
        <v>6</v>
      </c>
      <c r="B163" s="5">
        <v>162</v>
      </c>
      <c r="C163" s="50">
        <v>45534</v>
      </c>
      <c r="D163" s="5">
        <v>256</v>
      </c>
      <c r="E163" s="7">
        <v>77.2</v>
      </c>
      <c r="F163" s="7">
        <v>0.28000000000000003</v>
      </c>
      <c r="G163" s="7">
        <v>0</v>
      </c>
      <c r="H163" s="7">
        <v>7.4</v>
      </c>
    </row>
    <row r="164" spans="1:9" ht="15" customHeight="1" x14ac:dyDescent="0.25">
      <c r="A164" s="5">
        <v>7</v>
      </c>
      <c r="B164" s="5">
        <v>163</v>
      </c>
      <c r="C164" s="50">
        <v>45535</v>
      </c>
      <c r="D164" s="5">
        <v>168</v>
      </c>
      <c r="E164" s="7">
        <v>73.8</v>
      </c>
      <c r="F164" s="7">
        <v>0</v>
      </c>
      <c r="G164" s="7">
        <v>0</v>
      </c>
      <c r="H164" s="7">
        <v>5.8</v>
      </c>
    </row>
    <row r="165" spans="1:9" ht="15" customHeight="1" x14ac:dyDescent="0.25">
      <c r="A165" s="5">
        <v>1</v>
      </c>
      <c r="B165" s="5">
        <v>164</v>
      </c>
      <c r="C165" s="50">
        <v>45536</v>
      </c>
      <c r="D165" s="5">
        <v>115</v>
      </c>
      <c r="E165" s="7">
        <v>72.099999999999994</v>
      </c>
      <c r="F165" s="7">
        <v>0</v>
      </c>
      <c r="G165" s="7">
        <v>0</v>
      </c>
      <c r="H165" s="7">
        <v>11.4</v>
      </c>
    </row>
    <row r="166" spans="1:9" ht="15" customHeight="1" x14ac:dyDescent="0.25">
      <c r="A166" s="5">
        <v>2</v>
      </c>
      <c r="B166" s="5">
        <v>165</v>
      </c>
      <c r="C166" s="50">
        <v>45537</v>
      </c>
      <c r="D166" s="5">
        <v>0</v>
      </c>
      <c r="E166" s="7">
        <v>66.400000000000006</v>
      </c>
      <c r="F166" s="7">
        <v>0</v>
      </c>
      <c r="G166" s="7">
        <v>0</v>
      </c>
      <c r="H166" s="7">
        <v>5.3</v>
      </c>
      <c r="I166" s="39" t="s">
        <v>19</v>
      </c>
    </row>
    <row r="167" spans="1:9" ht="15" customHeight="1" x14ac:dyDescent="0.25">
      <c r="A167" s="5">
        <v>3</v>
      </c>
      <c r="B167" s="5">
        <v>166</v>
      </c>
      <c r="C167" s="50">
        <v>45538</v>
      </c>
      <c r="D167" s="5">
        <v>54</v>
      </c>
      <c r="E167" s="7">
        <v>66.900000000000006</v>
      </c>
      <c r="F167" s="7">
        <v>0</v>
      </c>
      <c r="G167" s="7">
        <v>0</v>
      </c>
      <c r="H167" s="7">
        <v>5.6</v>
      </c>
    </row>
    <row r="168" spans="1:9" ht="15" customHeight="1" x14ac:dyDescent="0.25">
      <c r="A168" s="5">
        <v>4</v>
      </c>
      <c r="B168" s="5">
        <v>167</v>
      </c>
      <c r="C168" s="50">
        <v>45539</v>
      </c>
      <c r="D168" s="5">
        <v>73</v>
      </c>
      <c r="E168" s="7">
        <v>70</v>
      </c>
      <c r="F168" s="7">
        <v>0</v>
      </c>
      <c r="G168" s="7">
        <v>0</v>
      </c>
      <c r="H168" s="7">
        <v>5.3</v>
      </c>
    </row>
    <row r="169" spans="1:9" ht="15" customHeight="1" x14ac:dyDescent="0.25">
      <c r="A169" s="5">
        <v>5</v>
      </c>
      <c r="B169" s="5">
        <v>168</v>
      </c>
      <c r="C169" s="50">
        <v>45540</v>
      </c>
      <c r="D169" s="5">
        <v>76</v>
      </c>
      <c r="E169" s="7">
        <v>75</v>
      </c>
      <c r="F169" s="7">
        <v>3.9E-2</v>
      </c>
      <c r="G169" s="7">
        <v>0</v>
      </c>
      <c r="H169" s="7">
        <v>6.5</v>
      </c>
    </row>
    <row r="170" spans="1:9" ht="15" customHeight="1" x14ac:dyDescent="0.25">
      <c r="A170" s="5">
        <v>6</v>
      </c>
      <c r="B170" s="5">
        <v>169</v>
      </c>
      <c r="C170" s="50">
        <v>45541</v>
      </c>
      <c r="D170" s="5">
        <v>163</v>
      </c>
      <c r="E170" s="7">
        <v>68.2</v>
      </c>
      <c r="F170" s="7">
        <v>0</v>
      </c>
      <c r="G170" s="7">
        <v>0</v>
      </c>
      <c r="H170" s="7">
        <v>11.6</v>
      </c>
    </row>
    <row r="171" spans="1:9" ht="15" customHeight="1" x14ac:dyDescent="0.25">
      <c r="A171" s="5">
        <v>7</v>
      </c>
      <c r="B171" s="5">
        <v>170</v>
      </c>
      <c r="C171" s="50">
        <v>45542</v>
      </c>
      <c r="D171" s="5">
        <v>177</v>
      </c>
      <c r="E171" s="7">
        <v>57.9</v>
      </c>
      <c r="F171" s="7">
        <v>0</v>
      </c>
      <c r="G171" s="7">
        <v>0</v>
      </c>
      <c r="H171" s="7">
        <v>8.9</v>
      </c>
    </row>
    <row r="172" spans="1:9" ht="15" customHeight="1" x14ac:dyDescent="0.25">
      <c r="A172" s="5">
        <v>1</v>
      </c>
      <c r="B172" s="5">
        <v>171</v>
      </c>
      <c r="C172" s="50">
        <v>45543</v>
      </c>
      <c r="D172" s="5">
        <v>58</v>
      </c>
      <c r="E172" s="7">
        <v>59</v>
      </c>
      <c r="F172" s="7">
        <v>0</v>
      </c>
      <c r="G172" s="7">
        <v>0</v>
      </c>
      <c r="H172" s="7">
        <v>8.1</v>
      </c>
    </row>
    <row r="173" spans="1:9" ht="15" customHeight="1" x14ac:dyDescent="0.25">
      <c r="A173" s="5">
        <v>2</v>
      </c>
      <c r="B173" s="5">
        <v>172</v>
      </c>
      <c r="C173" s="50">
        <v>45544</v>
      </c>
      <c r="D173" s="5">
        <v>84</v>
      </c>
      <c r="E173" s="7">
        <v>67.3</v>
      </c>
      <c r="F173" s="7">
        <v>0</v>
      </c>
      <c r="G173" s="7">
        <v>0</v>
      </c>
      <c r="H173" s="7">
        <v>8.6999999999999993</v>
      </c>
    </row>
    <row r="174" spans="1:9" ht="15" customHeight="1" x14ac:dyDescent="0.25">
      <c r="A174" s="5">
        <v>3</v>
      </c>
      <c r="B174" s="5">
        <v>173</v>
      </c>
      <c r="C174" s="50">
        <v>45545</v>
      </c>
      <c r="D174" s="5">
        <v>61</v>
      </c>
      <c r="E174" s="7">
        <v>70</v>
      </c>
      <c r="F174" s="7">
        <v>0</v>
      </c>
      <c r="G174" s="7">
        <v>0</v>
      </c>
      <c r="H174" s="7">
        <v>5.8</v>
      </c>
    </row>
    <row r="175" spans="1:9" ht="15" customHeight="1" x14ac:dyDescent="0.25">
      <c r="A175" s="5">
        <v>4</v>
      </c>
      <c r="B175" s="5">
        <v>174</v>
      </c>
      <c r="C175" s="50">
        <v>45546</v>
      </c>
      <c r="D175" s="5">
        <v>92</v>
      </c>
      <c r="E175" s="7">
        <v>72.7</v>
      </c>
      <c r="F175" s="7">
        <v>0</v>
      </c>
      <c r="G175" s="7">
        <v>0</v>
      </c>
      <c r="H175" s="7">
        <v>3.4</v>
      </c>
    </row>
    <row r="176" spans="1:9" ht="15" customHeight="1" x14ac:dyDescent="0.25">
      <c r="A176" s="5">
        <v>5</v>
      </c>
      <c r="B176" s="5">
        <v>175</v>
      </c>
      <c r="C176" s="50">
        <v>45547</v>
      </c>
      <c r="D176" s="5">
        <v>140</v>
      </c>
      <c r="E176" s="7">
        <v>75.2</v>
      </c>
      <c r="F176" s="7">
        <v>0</v>
      </c>
      <c r="G176" s="7">
        <v>0</v>
      </c>
      <c r="H176" s="7">
        <v>7</v>
      </c>
    </row>
    <row r="177" spans="1:8" ht="15" customHeight="1" x14ac:dyDescent="0.25">
      <c r="A177" s="5">
        <v>6</v>
      </c>
      <c r="B177" s="5">
        <v>176</v>
      </c>
      <c r="C177" s="50">
        <v>45548</v>
      </c>
      <c r="D177" s="5">
        <v>178</v>
      </c>
      <c r="E177" s="7">
        <v>75.900000000000006</v>
      </c>
      <c r="F177" s="7">
        <v>0</v>
      </c>
      <c r="G177" s="7">
        <v>0</v>
      </c>
      <c r="H177" s="7">
        <v>8.5</v>
      </c>
    </row>
    <row r="178" spans="1:8" ht="15" customHeight="1" x14ac:dyDescent="0.25">
      <c r="A178" s="5">
        <v>7</v>
      </c>
      <c r="B178" s="5">
        <v>177</v>
      </c>
      <c r="C178" s="50">
        <v>45549</v>
      </c>
      <c r="D178" s="5">
        <v>231</v>
      </c>
      <c r="E178" s="7">
        <v>77</v>
      </c>
      <c r="F178" s="7">
        <v>0</v>
      </c>
      <c r="G178" s="7">
        <v>0</v>
      </c>
      <c r="H178" s="7">
        <v>5.3</v>
      </c>
    </row>
    <row r="179" spans="1:8" ht="15" customHeight="1" x14ac:dyDescent="0.25">
      <c r="A179" s="5">
        <v>1</v>
      </c>
      <c r="B179" s="5">
        <v>178</v>
      </c>
      <c r="C179" s="50">
        <v>45550</v>
      </c>
      <c r="D179" s="5">
        <v>47</v>
      </c>
      <c r="E179" s="7">
        <v>77.400000000000006</v>
      </c>
      <c r="F179" s="7">
        <v>0</v>
      </c>
      <c r="G179" s="7">
        <v>0</v>
      </c>
      <c r="H179" s="7">
        <v>5.3</v>
      </c>
    </row>
    <row r="180" spans="1:8" ht="15" customHeight="1" x14ac:dyDescent="0.25">
      <c r="A180" s="5">
        <v>2</v>
      </c>
      <c r="B180" s="5">
        <v>179</v>
      </c>
      <c r="C180" s="50">
        <v>45551</v>
      </c>
      <c r="D180" s="5">
        <v>84</v>
      </c>
      <c r="E180" s="7">
        <v>76.599999999999994</v>
      </c>
      <c r="F180" s="7">
        <v>0</v>
      </c>
      <c r="G180" s="7">
        <v>0</v>
      </c>
      <c r="H180" s="7">
        <v>5.8</v>
      </c>
    </row>
    <row r="181" spans="1:8" ht="15" customHeight="1" x14ac:dyDescent="0.25">
      <c r="A181" s="5">
        <v>3</v>
      </c>
      <c r="B181" s="5">
        <v>180</v>
      </c>
      <c r="C181" s="50">
        <v>45552</v>
      </c>
      <c r="D181" s="5">
        <v>112</v>
      </c>
      <c r="E181" s="7">
        <v>74.099999999999994</v>
      </c>
      <c r="F181" s="7">
        <v>0</v>
      </c>
      <c r="G181" s="7">
        <v>0</v>
      </c>
      <c r="H181" s="7">
        <v>4.9000000000000004</v>
      </c>
    </row>
    <row r="182" spans="1:8" ht="15" customHeight="1" x14ac:dyDescent="0.25">
      <c r="A182" s="5">
        <v>4</v>
      </c>
      <c r="B182" s="5">
        <v>181</v>
      </c>
      <c r="C182" s="50">
        <v>45553</v>
      </c>
      <c r="D182" s="5">
        <v>104</v>
      </c>
      <c r="E182" s="7">
        <v>72.5</v>
      </c>
      <c r="F182" s="7">
        <v>0</v>
      </c>
      <c r="G182" s="7">
        <v>0</v>
      </c>
      <c r="H182" s="7">
        <v>3.1</v>
      </c>
    </row>
    <row r="183" spans="1:8" ht="15" customHeight="1" x14ac:dyDescent="0.25">
      <c r="A183" s="5">
        <v>5</v>
      </c>
      <c r="B183" s="5">
        <v>182</v>
      </c>
      <c r="C183" s="50">
        <v>45554</v>
      </c>
      <c r="D183" s="5">
        <v>82</v>
      </c>
      <c r="E183" s="7">
        <v>75.400000000000006</v>
      </c>
      <c r="F183" s="7">
        <v>0</v>
      </c>
      <c r="G183" s="7">
        <v>0</v>
      </c>
      <c r="H183" s="7">
        <v>5.2</v>
      </c>
    </row>
    <row r="184" spans="1:8" ht="15" customHeight="1" x14ac:dyDescent="0.25">
      <c r="A184" s="5">
        <v>6</v>
      </c>
      <c r="B184" s="5">
        <v>183</v>
      </c>
      <c r="C184" s="50">
        <v>45555</v>
      </c>
      <c r="D184" s="5">
        <v>181</v>
      </c>
      <c r="E184" s="7">
        <v>78.8</v>
      </c>
      <c r="F184" s="7">
        <v>0.02</v>
      </c>
      <c r="G184" s="7">
        <v>0</v>
      </c>
      <c r="H184" s="7">
        <v>7.8</v>
      </c>
    </row>
    <row r="185" spans="1:8" ht="15" customHeight="1" x14ac:dyDescent="0.25">
      <c r="A185" s="5">
        <v>7</v>
      </c>
      <c r="B185" s="5">
        <v>184</v>
      </c>
      <c r="C185" s="50">
        <v>45556</v>
      </c>
      <c r="D185" s="5">
        <v>231</v>
      </c>
      <c r="E185" s="7">
        <v>77.400000000000006</v>
      </c>
      <c r="F185" s="7">
        <v>0</v>
      </c>
      <c r="G185" s="7">
        <v>0</v>
      </c>
      <c r="H185" s="7">
        <v>5.3</v>
      </c>
    </row>
    <row r="186" spans="1:8" ht="15" customHeight="1" x14ac:dyDescent="0.25">
      <c r="A186" s="5">
        <v>1</v>
      </c>
      <c r="B186" s="5">
        <v>185</v>
      </c>
      <c r="C186" s="50">
        <v>45557</v>
      </c>
      <c r="D186" s="5">
        <v>64</v>
      </c>
      <c r="E186" s="7">
        <v>73.8</v>
      </c>
      <c r="F186" s="7">
        <v>0.79900000000000004</v>
      </c>
      <c r="G186" s="7">
        <v>0</v>
      </c>
      <c r="H186" s="7">
        <v>8.5</v>
      </c>
    </row>
    <row r="187" spans="1:8" ht="15" customHeight="1" x14ac:dyDescent="0.25">
      <c r="A187" s="5">
        <v>2</v>
      </c>
      <c r="B187" s="5">
        <v>186</v>
      </c>
      <c r="C187" s="50">
        <v>45558</v>
      </c>
      <c r="D187" s="5">
        <v>59</v>
      </c>
      <c r="E187" s="7">
        <v>64.599999999999994</v>
      </c>
      <c r="F187" s="7">
        <v>0.02</v>
      </c>
      <c r="G187" s="7">
        <v>0</v>
      </c>
      <c r="H187" s="7">
        <v>9.4</v>
      </c>
    </row>
    <row r="188" spans="1:8" ht="15" customHeight="1" x14ac:dyDescent="0.25">
      <c r="A188" s="5">
        <v>3</v>
      </c>
      <c r="B188" s="5">
        <v>187</v>
      </c>
      <c r="C188" s="50">
        <v>45559</v>
      </c>
      <c r="D188" s="5">
        <v>53</v>
      </c>
      <c r="E188" s="7">
        <v>64.400000000000006</v>
      </c>
      <c r="F188" s="7">
        <v>0.42899999999999999</v>
      </c>
      <c r="G188" s="7">
        <v>0</v>
      </c>
      <c r="H188" s="7">
        <v>6</v>
      </c>
    </row>
    <row r="189" spans="1:8" ht="15" customHeight="1" x14ac:dyDescent="0.25">
      <c r="A189" s="5">
        <v>4</v>
      </c>
      <c r="B189" s="5">
        <v>188</v>
      </c>
      <c r="C189" s="50">
        <v>45560</v>
      </c>
      <c r="D189" s="5">
        <v>116</v>
      </c>
      <c r="E189" s="7">
        <v>65.5</v>
      </c>
      <c r="F189" s="7">
        <v>0</v>
      </c>
      <c r="G189" s="7">
        <v>0</v>
      </c>
      <c r="H189" s="7">
        <v>4.2</v>
      </c>
    </row>
    <row r="190" spans="1:8" ht="15" customHeight="1" x14ac:dyDescent="0.25">
      <c r="A190" s="5">
        <v>5</v>
      </c>
      <c r="B190" s="5">
        <v>189</v>
      </c>
      <c r="C190" s="50">
        <v>45561</v>
      </c>
      <c r="D190" s="5">
        <v>84</v>
      </c>
      <c r="E190" s="7">
        <v>66.599999999999994</v>
      </c>
      <c r="F190" s="7">
        <v>0</v>
      </c>
      <c r="G190" s="7">
        <v>0</v>
      </c>
      <c r="H190" s="7">
        <v>7.1</v>
      </c>
    </row>
    <row r="191" spans="1:8" ht="15" customHeight="1" x14ac:dyDescent="0.25">
      <c r="A191" s="5">
        <v>6</v>
      </c>
      <c r="B191" s="5">
        <v>190</v>
      </c>
      <c r="C191" s="50">
        <v>45562</v>
      </c>
      <c r="D191" s="5">
        <v>135</v>
      </c>
      <c r="E191" s="7">
        <v>68.5</v>
      </c>
      <c r="F191" s="7">
        <v>0</v>
      </c>
      <c r="G191" s="7">
        <v>0</v>
      </c>
      <c r="H191" s="7">
        <v>20.6</v>
      </c>
    </row>
    <row r="192" spans="1:8" ht="15" customHeight="1" x14ac:dyDescent="0.25">
      <c r="A192" s="5">
        <v>7</v>
      </c>
      <c r="B192" s="5">
        <v>191</v>
      </c>
      <c r="C192" s="50">
        <v>45563</v>
      </c>
      <c r="D192" s="5">
        <v>158</v>
      </c>
      <c r="E192" s="7">
        <v>68.900000000000006</v>
      </c>
      <c r="F192" s="7">
        <v>0</v>
      </c>
      <c r="G192" s="7">
        <v>0</v>
      </c>
      <c r="H192" s="7">
        <v>17.600000000000001</v>
      </c>
    </row>
    <row r="193" spans="1:9" ht="15" customHeight="1" x14ac:dyDescent="0.25">
      <c r="A193" s="5">
        <v>1</v>
      </c>
      <c r="B193" s="5">
        <v>192</v>
      </c>
      <c r="C193" s="50">
        <v>45564</v>
      </c>
      <c r="D193" s="5">
        <v>63</v>
      </c>
      <c r="E193" s="7">
        <v>70</v>
      </c>
      <c r="F193" s="7">
        <v>1.2E-2</v>
      </c>
      <c r="G193" s="7">
        <v>0</v>
      </c>
      <c r="H193" s="7">
        <v>13.2</v>
      </c>
    </row>
    <row r="194" spans="1:9" ht="15" customHeight="1" x14ac:dyDescent="0.25">
      <c r="A194" s="5">
        <v>2</v>
      </c>
      <c r="B194" s="5">
        <v>193</v>
      </c>
      <c r="C194" s="50">
        <v>45565</v>
      </c>
      <c r="D194" s="5">
        <v>84</v>
      </c>
      <c r="E194" s="7">
        <v>70.900000000000006</v>
      </c>
      <c r="F194" s="7">
        <v>0</v>
      </c>
      <c r="G194" s="7">
        <v>0</v>
      </c>
      <c r="H194" s="7">
        <v>6</v>
      </c>
    </row>
    <row r="195" spans="1:9" ht="15" customHeight="1" x14ac:dyDescent="0.25">
      <c r="A195" s="5">
        <v>3</v>
      </c>
      <c r="B195" s="5">
        <v>194</v>
      </c>
      <c r="C195" s="50">
        <v>45566</v>
      </c>
      <c r="D195" s="5">
        <v>39</v>
      </c>
      <c r="E195" s="7">
        <v>66.599999999999994</v>
      </c>
      <c r="F195" s="7">
        <v>0</v>
      </c>
      <c r="G195" s="7">
        <v>0</v>
      </c>
      <c r="H195" s="7">
        <v>10.9</v>
      </c>
    </row>
    <row r="196" spans="1:9" ht="15" customHeight="1" x14ac:dyDescent="0.25">
      <c r="A196" s="5">
        <v>4</v>
      </c>
      <c r="B196" s="5">
        <v>195</v>
      </c>
      <c r="C196" s="50">
        <v>45567</v>
      </c>
      <c r="D196" s="5">
        <v>65</v>
      </c>
      <c r="E196" s="7">
        <v>59.4</v>
      </c>
      <c r="F196" s="7">
        <v>0</v>
      </c>
      <c r="G196" s="7">
        <v>0</v>
      </c>
      <c r="H196" s="7">
        <v>5.8</v>
      </c>
    </row>
    <row r="197" spans="1:9" ht="15" customHeight="1" x14ac:dyDescent="0.25">
      <c r="A197" s="5">
        <v>5</v>
      </c>
      <c r="B197" s="5">
        <v>196</v>
      </c>
      <c r="C197" s="50">
        <v>45568</v>
      </c>
      <c r="D197" s="5">
        <v>39</v>
      </c>
      <c r="E197" s="7">
        <v>63.9</v>
      </c>
      <c r="F197" s="7">
        <v>0</v>
      </c>
      <c r="G197" s="7">
        <v>0</v>
      </c>
      <c r="H197" s="7">
        <v>6.7</v>
      </c>
    </row>
    <row r="198" spans="1:9" ht="15" customHeight="1" x14ac:dyDescent="0.25">
      <c r="A198" s="5">
        <v>6</v>
      </c>
      <c r="B198" s="5">
        <v>197</v>
      </c>
      <c r="C198" s="50">
        <v>45569</v>
      </c>
      <c r="D198" s="5">
        <v>219</v>
      </c>
      <c r="E198" s="7">
        <v>63.9</v>
      </c>
      <c r="F198" s="7">
        <v>1.2E-2</v>
      </c>
      <c r="G198" s="7">
        <v>0</v>
      </c>
      <c r="H198" s="7">
        <v>9.4</v>
      </c>
    </row>
    <row r="199" spans="1:9" ht="15" customHeight="1" x14ac:dyDescent="0.25">
      <c r="A199" s="5">
        <v>7</v>
      </c>
      <c r="B199" s="5">
        <v>198</v>
      </c>
      <c r="C199" s="50">
        <v>45570</v>
      </c>
      <c r="D199" s="5">
        <v>255</v>
      </c>
      <c r="E199" s="7">
        <v>66.7</v>
      </c>
      <c r="F199" s="7">
        <v>0</v>
      </c>
      <c r="G199" s="7">
        <v>0</v>
      </c>
      <c r="H199" s="7">
        <v>12.7</v>
      </c>
    </row>
    <row r="200" spans="1:9" ht="15" customHeight="1" x14ac:dyDescent="0.25">
      <c r="A200" s="5">
        <v>1</v>
      </c>
      <c r="B200" s="5">
        <v>199</v>
      </c>
      <c r="C200" s="50">
        <v>45571</v>
      </c>
      <c r="D200" s="5">
        <v>78</v>
      </c>
      <c r="E200" s="7">
        <v>72</v>
      </c>
      <c r="F200" s="7">
        <v>0</v>
      </c>
      <c r="G200" s="7">
        <v>0</v>
      </c>
      <c r="H200" s="7">
        <v>12.3</v>
      </c>
    </row>
    <row r="201" spans="1:9" ht="15" customHeight="1" x14ac:dyDescent="0.25">
      <c r="A201" s="5">
        <v>2</v>
      </c>
      <c r="B201" s="5">
        <v>200</v>
      </c>
      <c r="C201" s="50">
        <v>45572</v>
      </c>
      <c r="D201" s="5">
        <v>30</v>
      </c>
      <c r="E201" s="7">
        <v>58.1</v>
      </c>
      <c r="F201" s="7">
        <v>0</v>
      </c>
      <c r="G201" s="7">
        <v>0</v>
      </c>
      <c r="H201" s="7">
        <v>6.7</v>
      </c>
    </row>
    <row r="202" spans="1:9" ht="15" customHeight="1" x14ac:dyDescent="0.25">
      <c r="A202" s="5">
        <v>3</v>
      </c>
      <c r="B202" s="5">
        <v>201</v>
      </c>
      <c r="C202" s="50">
        <v>45573</v>
      </c>
      <c r="D202" s="5">
        <v>31</v>
      </c>
      <c r="E202" s="7">
        <v>59.4</v>
      </c>
      <c r="F202" s="7">
        <v>0</v>
      </c>
      <c r="G202" s="7">
        <v>0</v>
      </c>
      <c r="H202" s="7">
        <v>6.7</v>
      </c>
    </row>
    <row r="203" spans="1:9" ht="15" customHeight="1" x14ac:dyDescent="0.25">
      <c r="A203" s="5">
        <v>4</v>
      </c>
      <c r="B203" s="5">
        <v>202</v>
      </c>
      <c r="C203" s="50">
        <v>45574</v>
      </c>
      <c r="D203" s="5">
        <v>71</v>
      </c>
      <c r="E203" s="7">
        <v>60.3</v>
      </c>
      <c r="F203" s="7">
        <v>0</v>
      </c>
      <c r="G203" s="7">
        <v>0</v>
      </c>
      <c r="H203" s="7">
        <v>7.1</v>
      </c>
    </row>
    <row r="204" spans="1:9" ht="15" customHeight="1" x14ac:dyDescent="0.25">
      <c r="A204" s="5">
        <v>5</v>
      </c>
      <c r="B204" s="5">
        <v>203</v>
      </c>
      <c r="C204" s="50">
        <v>45575</v>
      </c>
      <c r="D204" s="5">
        <v>95</v>
      </c>
      <c r="E204" s="7">
        <v>61.7</v>
      </c>
      <c r="F204" s="7">
        <v>0</v>
      </c>
      <c r="G204" s="7">
        <v>0</v>
      </c>
      <c r="H204" s="7">
        <v>4.5</v>
      </c>
    </row>
    <row r="205" spans="1:9" ht="15" customHeight="1" x14ac:dyDescent="0.25">
      <c r="A205" s="5">
        <v>6</v>
      </c>
      <c r="B205" s="5">
        <v>204</v>
      </c>
      <c r="C205" s="50">
        <v>45576</v>
      </c>
      <c r="D205" s="5">
        <v>210</v>
      </c>
      <c r="E205" s="7">
        <v>65.5</v>
      </c>
      <c r="F205" s="7">
        <v>0</v>
      </c>
      <c r="G205" s="7">
        <v>0</v>
      </c>
      <c r="H205" s="7">
        <v>9.4</v>
      </c>
    </row>
    <row r="206" spans="1:9" ht="15" customHeight="1" x14ac:dyDescent="0.25">
      <c r="A206" s="5">
        <v>7</v>
      </c>
      <c r="B206" s="5">
        <v>205</v>
      </c>
      <c r="C206" s="50">
        <v>45577</v>
      </c>
      <c r="D206" s="5">
        <v>164</v>
      </c>
      <c r="E206" s="7">
        <v>66.2</v>
      </c>
      <c r="F206" s="7">
        <v>0</v>
      </c>
      <c r="G206" s="7">
        <v>0</v>
      </c>
      <c r="H206" s="7">
        <v>12.7</v>
      </c>
      <c r="I206" s="39" t="s">
        <v>20</v>
      </c>
    </row>
    <row r="207" spans="1:9" ht="15" customHeight="1" x14ac:dyDescent="0.25">
      <c r="A207" s="5">
        <v>1</v>
      </c>
      <c r="B207" s="5">
        <v>206</v>
      </c>
      <c r="C207" s="50">
        <v>45578</v>
      </c>
      <c r="D207" s="5">
        <v>69</v>
      </c>
      <c r="E207" s="7">
        <v>60.1</v>
      </c>
      <c r="F207" s="7">
        <v>0</v>
      </c>
      <c r="G207" s="7">
        <v>0</v>
      </c>
      <c r="H207" s="7">
        <v>14.5</v>
      </c>
    </row>
    <row r="208" spans="1:9" ht="15" customHeight="1" x14ac:dyDescent="0.25">
      <c r="A208" s="5">
        <v>2</v>
      </c>
      <c r="B208" s="5">
        <v>207</v>
      </c>
      <c r="C208" s="50">
        <v>45579</v>
      </c>
      <c r="D208" s="5">
        <v>40</v>
      </c>
      <c r="E208" s="7">
        <v>51.4</v>
      </c>
      <c r="F208" s="7">
        <v>0.02</v>
      </c>
      <c r="G208" s="7">
        <v>0</v>
      </c>
      <c r="H208" s="7">
        <v>11.9</v>
      </c>
      <c r="I208" s="39" t="s">
        <v>21</v>
      </c>
    </row>
    <row r="209" spans="1:8" ht="15" customHeight="1" x14ac:dyDescent="0.25">
      <c r="A209" s="5">
        <v>3</v>
      </c>
      <c r="B209" s="5">
        <v>208</v>
      </c>
      <c r="C209" s="50">
        <v>45580</v>
      </c>
      <c r="D209" s="5">
        <v>42</v>
      </c>
      <c r="E209" s="7">
        <v>45</v>
      </c>
      <c r="F209" s="7">
        <v>0.27200000000000002</v>
      </c>
      <c r="G209" s="7">
        <v>0</v>
      </c>
      <c r="H209" s="7">
        <v>13.7</v>
      </c>
    </row>
    <row r="210" spans="1:8" ht="15" customHeight="1" x14ac:dyDescent="0.25">
      <c r="A210" s="5">
        <v>4</v>
      </c>
      <c r="B210" s="5">
        <v>209</v>
      </c>
      <c r="C210" s="50">
        <v>45581</v>
      </c>
      <c r="D210" s="5">
        <v>69</v>
      </c>
      <c r="E210" s="7">
        <v>46</v>
      </c>
      <c r="F210" s="7">
        <v>0</v>
      </c>
      <c r="G210" s="7">
        <v>0</v>
      </c>
      <c r="H210" s="7">
        <v>5.8</v>
      </c>
    </row>
    <row r="211" spans="1:8" ht="15" customHeight="1" x14ac:dyDescent="0.25">
      <c r="A211" s="5">
        <v>5</v>
      </c>
      <c r="B211" s="5">
        <v>210</v>
      </c>
      <c r="C211" s="50">
        <v>45582</v>
      </c>
      <c r="D211" s="5">
        <v>89</v>
      </c>
      <c r="E211" s="7">
        <v>49.5</v>
      </c>
      <c r="F211" s="7">
        <v>0</v>
      </c>
      <c r="G211" s="7">
        <v>0</v>
      </c>
      <c r="H211" s="7">
        <v>7.1</v>
      </c>
    </row>
    <row r="212" spans="1:8" ht="15" customHeight="1" x14ac:dyDescent="0.25">
      <c r="A212" s="5">
        <v>6</v>
      </c>
      <c r="B212" s="5">
        <v>211</v>
      </c>
      <c r="C212" s="50">
        <v>45583</v>
      </c>
      <c r="D212" s="5">
        <v>170</v>
      </c>
      <c r="E212" s="7">
        <v>54.7</v>
      </c>
      <c r="F212" s="7">
        <v>0</v>
      </c>
      <c r="G212" s="7">
        <v>0</v>
      </c>
      <c r="H212" s="7">
        <v>6.7</v>
      </c>
    </row>
    <row r="213" spans="1:8" ht="15" customHeight="1" x14ac:dyDescent="0.25">
      <c r="A213" s="5">
        <v>7</v>
      </c>
      <c r="B213" s="5">
        <v>212</v>
      </c>
      <c r="C213" s="50">
        <v>45584</v>
      </c>
      <c r="D213" s="5">
        <v>201</v>
      </c>
      <c r="E213" s="7">
        <v>57.7</v>
      </c>
      <c r="F213" s="7">
        <v>0</v>
      </c>
      <c r="G213" s="7">
        <v>0</v>
      </c>
      <c r="H213" s="7">
        <v>6.3</v>
      </c>
    </row>
    <row r="214" spans="1:8" ht="15" customHeight="1" x14ac:dyDescent="0.25">
      <c r="A214" s="5">
        <v>1</v>
      </c>
      <c r="B214" s="5">
        <v>213</v>
      </c>
      <c r="C214" s="50">
        <v>45585</v>
      </c>
      <c r="D214" s="5">
        <v>69</v>
      </c>
      <c r="E214" s="7">
        <v>62.1</v>
      </c>
      <c r="F214" s="7">
        <v>0</v>
      </c>
      <c r="G214" s="7">
        <v>0</v>
      </c>
      <c r="H214" s="7">
        <v>9.4</v>
      </c>
    </row>
    <row r="215" spans="1:8" ht="15" customHeight="1" x14ac:dyDescent="0.25">
      <c r="A215" s="5">
        <v>2</v>
      </c>
      <c r="B215" s="5">
        <v>214</v>
      </c>
      <c r="C215" s="50">
        <v>45586</v>
      </c>
      <c r="D215" s="5">
        <v>37</v>
      </c>
      <c r="E215" s="7">
        <v>66.900000000000006</v>
      </c>
      <c r="F215" s="7">
        <v>0</v>
      </c>
      <c r="G215" s="7">
        <v>0</v>
      </c>
      <c r="H215" s="7">
        <v>7.6</v>
      </c>
    </row>
    <row r="216" spans="1:8" ht="15" customHeight="1" x14ac:dyDescent="0.25">
      <c r="A216" s="5">
        <v>3</v>
      </c>
      <c r="B216" s="5">
        <v>215</v>
      </c>
      <c r="C216" s="50">
        <v>45587</v>
      </c>
      <c r="D216" s="5">
        <v>80</v>
      </c>
      <c r="E216" s="7">
        <v>65.099999999999994</v>
      </c>
      <c r="F216" s="7">
        <v>1.2E-2</v>
      </c>
      <c r="G216" s="7">
        <v>0</v>
      </c>
      <c r="H216" s="7">
        <v>10.1</v>
      </c>
    </row>
    <row r="217" spans="1:8" ht="15" customHeight="1" x14ac:dyDescent="0.25">
      <c r="A217" s="5">
        <v>4</v>
      </c>
      <c r="B217" s="5">
        <v>216</v>
      </c>
      <c r="C217" s="50">
        <v>45588</v>
      </c>
      <c r="D217" s="5">
        <v>54</v>
      </c>
      <c r="E217" s="7">
        <v>62.2</v>
      </c>
      <c r="F217" s="7">
        <v>0</v>
      </c>
      <c r="G217" s="7">
        <v>0</v>
      </c>
      <c r="H217" s="7">
        <v>8.5</v>
      </c>
    </row>
    <row r="218" spans="1:8" ht="15" customHeight="1" x14ac:dyDescent="0.25">
      <c r="A218" s="5">
        <v>5</v>
      </c>
      <c r="B218" s="5">
        <v>217</v>
      </c>
      <c r="C218" s="50">
        <v>45589</v>
      </c>
      <c r="D218" s="5">
        <v>45</v>
      </c>
      <c r="E218" s="7">
        <v>52</v>
      </c>
      <c r="F218" s="7">
        <v>0.20899999999999999</v>
      </c>
      <c r="G218" s="7">
        <v>0</v>
      </c>
      <c r="H218" s="7">
        <v>6.7</v>
      </c>
    </row>
    <row r="219" spans="1:8" ht="15" customHeight="1" x14ac:dyDescent="0.25">
      <c r="A219" s="5">
        <v>6</v>
      </c>
      <c r="B219" s="5">
        <v>218</v>
      </c>
      <c r="C219" s="50">
        <v>45590</v>
      </c>
      <c r="D219" s="5">
        <v>106</v>
      </c>
      <c r="E219" s="7">
        <v>56.3</v>
      </c>
      <c r="F219" s="7">
        <v>0.63</v>
      </c>
      <c r="G219" s="7">
        <v>0</v>
      </c>
      <c r="H219" s="7">
        <v>8.1</v>
      </c>
    </row>
    <row r="220" spans="1:8" ht="15" customHeight="1" x14ac:dyDescent="0.25">
      <c r="A220" s="5">
        <v>7</v>
      </c>
      <c r="B220" s="5">
        <v>219</v>
      </c>
      <c r="C220" s="50">
        <v>45591</v>
      </c>
      <c r="D220" s="5">
        <v>163</v>
      </c>
      <c r="E220" s="7">
        <v>51.4</v>
      </c>
      <c r="F220" s="7">
        <v>0</v>
      </c>
      <c r="G220" s="7">
        <v>0</v>
      </c>
      <c r="H220" s="7">
        <v>6.7</v>
      </c>
    </row>
    <row r="221" spans="1:8" ht="15" customHeight="1" x14ac:dyDescent="0.25">
      <c r="A221" s="5">
        <v>1</v>
      </c>
      <c r="B221" s="5">
        <v>220</v>
      </c>
      <c r="C221" s="50">
        <v>45592</v>
      </c>
      <c r="D221" s="5">
        <v>53</v>
      </c>
      <c r="E221" s="7">
        <v>47.8</v>
      </c>
      <c r="F221" s="7">
        <v>0</v>
      </c>
      <c r="G221" s="7">
        <v>0</v>
      </c>
      <c r="H221" s="7">
        <v>4.7</v>
      </c>
    </row>
    <row r="222" spans="1:8" ht="15" customHeight="1" x14ac:dyDescent="0.25">
      <c r="A222" s="5">
        <v>2</v>
      </c>
      <c r="B222" s="5">
        <v>221</v>
      </c>
      <c r="C222" s="50">
        <v>45593</v>
      </c>
      <c r="D222" s="5">
        <v>21</v>
      </c>
      <c r="E222" s="7">
        <v>52.3</v>
      </c>
      <c r="F222" s="7">
        <v>0</v>
      </c>
      <c r="G222" s="7">
        <v>0</v>
      </c>
      <c r="H222" s="7">
        <v>10.5</v>
      </c>
    </row>
    <row r="223" spans="1:8" ht="15" customHeight="1" x14ac:dyDescent="0.25">
      <c r="A223" s="5">
        <v>3</v>
      </c>
      <c r="B223" s="5">
        <v>222</v>
      </c>
      <c r="C223" s="50">
        <v>45594</v>
      </c>
      <c r="D223" s="5">
        <v>47</v>
      </c>
      <c r="E223" s="7">
        <v>71.2</v>
      </c>
      <c r="F223" s="7">
        <v>0</v>
      </c>
      <c r="G223" s="7">
        <v>0</v>
      </c>
      <c r="H223" s="7">
        <v>17.2</v>
      </c>
    </row>
    <row r="224" spans="1:8" ht="15" customHeight="1" x14ac:dyDescent="0.25">
      <c r="A224" s="5">
        <v>4</v>
      </c>
      <c r="B224" s="5">
        <v>223</v>
      </c>
      <c r="C224" s="50">
        <v>45595</v>
      </c>
      <c r="D224" s="5">
        <v>46</v>
      </c>
      <c r="E224" s="7">
        <v>73.599999999999994</v>
      </c>
      <c r="F224" s="7">
        <v>0</v>
      </c>
      <c r="G224" s="7">
        <v>0</v>
      </c>
      <c r="H224" s="7">
        <v>17.899999999999999</v>
      </c>
    </row>
    <row r="225" spans="1:9" ht="15" customHeight="1" x14ac:dyDescent="0.25">
      <c r="A225" s="5">
        <v>5</v>
      </c>
      <c r="B225" s="5">
        <v>224</v>
      </c>
      <c r="C225" s="50">
        <v>45596</v>
      </c>
      <c r="D225" s="5">
        <v>18</v>
      </c>
      <c r="E225" s="7">
        <v>65.7</v>
      </c>
      <c r="F225" s="7">
        <v>3.1E-2</v>
      </c>
      <c r="G225" s="7">
        <v>0</v>
      </c>
      <c r="H225" s="7">
        <v>19</v>
      </c>
      <c r="I225" s="39" t="s">
        <v>22</v>
      </c>
    </row>
    <row r="226" spans="1:9" ht="15" customHeight="1" x14ac:dyDescent="0.25">
      <c r="A226" s="5">
        <v>6</v>
      </c>
      <c r="B226" s="5">
        <v>225</v>
      </c>
      <c r="C226" s="50">
        <v>45597</v>
      </c>
      <c r="D226" s="5">
        <v>167</v>
      </c>
      <c r="E226" s="7">
        <v>45.7</v>
      </c>
      <c r="F226" s="7">
        <v>0</v>
      </c>
      <c r="G226" s="7">
        <v>0</v>
      </c>
      <c r="H226" s="7">
        <v>4.7</v>
      </c>
    </row>
    <row r="227" spans="1:9" ht="15" customHeight="1" x14ac:dyDescent="0.25">
      <c r="A227" s="5">
        <v>7</v>
      </c>
      <c r="B227" s="5">
        <v>226</v>
      </c>
      <c r="C227" s="50">
        <v>45598</v>
      </c>
      <c r="D227" s="5">
        <v>208</v>
      </c>
      <c r="E227" s="7">
        <v>46</v>
      </c>
      <c r="F227" s="7">
        <v>0</v>
      </c>
      <c r="G227" s="7">
        <v>0</v>
      </c>
      <c r="H227" s="7">
        <v>6.3</v>
      </c>
    </row>
    <row r="228" spans="1:9" ht="15" customHeight="1" x14ac:dyDescent="0.25">
      <c r="A228" s="5">
        <v>1</v>
      </c>
      <c r="B228" s="5">
        <v>227</v>
      </c>
      <c r="C228" s="50">
        <v>45599</v>
      </c>
      <c r="D228" s="5">
        <v>32</v>
      </c>
      <c r="E228" s="7">
        <v>53.2</v>
      </c>
      <c r="F228" s="7">
        <v>0.02</v>
      </c>
      <c r="G228" s="7">
        <v>0</v>
      </c>
      <c r="H228" s="7">
        <v>11.4</v>
      </c>
      <c r="I228" t="s">
        <v>62</v>
      </c>
    </row>
    <row r="229" spans="1:9" ht="15" customHeight="1" x14ac:dyDescent="0.25">
      <c r="A229" s="5">
        <v>2</v>
      </c>
      <c r="B229" s="5">
        <v>228</v>
      </c>
      <c r="C229" s="50">
        <v>45600</v>
      </c>
      <c r="D229" s="5">
        <v>48</v>
      </c>
      <c r="E229" s="7">
        <v>64.8</v>
      </c>
      <c r="F229" s="7">
        <v>0.57899999999999996</v>
      </c>
      <c r="G229" s="7">
        <v>0</v>
      </c>
      <c r="H229" s="7">
        <v>11.6</v>
      </c>
    </row>
    <row r="230" spans="1:9" ht="15" customHeight="1" x14ac:dyDescent="0.25">
      <c r="A230" s="5">
        <v>3</v>
      </c>
      <c r="B230" s="5">
        <v>229</v>
      </c>
      <c r="C230" s="50">
        <v>45601</v>
      </c>
      <c r="D230" s="5">
        <v>37</v>
      </c>
      <c r="E230" s="7">
        <v>64.8</v>
      </c>
      <c r="F230" s="7">
        <v>1.28</v>
      </c>
      <c r="G230" s="7">
        <v>0</v>
      </c>
      <c r="H230" s="7">
        <v>13.9</v>
      </c>
      <c r="I230" s="39" t="s">
        <v>23</v>
      </c>
    </row>
    <row r="231" spans="1:9" ht="15" customHeight="1" x14ac:dyDescent="0.25">
      <c r="A231" s="5">
        <v>4</v>
      </c>
      <c r="B231" s="5">
        <v>230</v>
      </c>
      <c r="C231" s="50">
        <v>45602</v>
      </c>
      <c r="D231" s="5">
        <v>88</v>
      </c>
      <c r="E231" s="7">
        <v>55.2</v>
      </c>
      <c r="F231" s="7">
        <v>0</v>
      </c>
      <c r="G231" s="7">
        <v>0</v>
      </c>
      <c r="H231" s="7">
        <v>7.8</v>
      </c>
    </row>
    <row r="232" spans="1:9" ht="15" customHeight="1" x14ac:dyDescent="0.25">
      <c r="A232" s="5">
        <v>5</v>
      </c>
      <c r="B232" s="5">
        <v>231</v>
      </c>
      <c r="C232" s="50">
        <v>45603</v>
      </c>
      <c r="D232" s="5">
        <v>79</v>
      </c>
      <c r="E232" s="7">
        <v>51.1</v>
      </c>
      <c r="F232" s="7">
        <v>0</v>
      </c>
      <c r="G232" s="7">
        <v>0</v>
      </c>
      <c r="H232" s="7">
        <v>6</v>
      </c>
    </row>
    <row r="233" spans="1:9" ht="15" customHeight="1" x14ac:dyDescent="0.25">
      <c r="A233" s="5">
        <v>6</v>
      </c>
      <c r="B233" s="5">
        <v>232</v>
      </c>
      <c r="C233" s="50">
        <v>45604</v>
      </c>
      <c r="D233" s="5">
        <v>150</v>
      </c>
      <c r="E233" s="7">
        <v>51.3</v>
      </c>
      <c r="F233" s="7">
        <v>0</v>
      </c>
      <c r="G233" s="7">
        <v>0</v>
      </c>
      <c r="H233" s="7">
        <v>8.5</v>
      </c>
    </row>
    <row r="234" spans="1:9" ht="15" customHeight="1" x14ac:dyDescent="0.25">
      <c r="A234" s="5">
        <v>7</v>
      </c>
      <c r="B234" s="5">
        <v>233</v>
      </c>
      <c r="C234" s="50">
        <v>45605</v>
      </c>
      <c r="D234" s="5">
        <v>199</v>
      </c>
      <c r="E234" s="7">
        <v>50.9</v>
      </c>
      <c r="F234" s="7">
        <v>0.20100000000000001</v>
      </c>
      <c r="G234" s="7">
        <v>0</v>
      </c>
      <c r="H234" s="7">
        <v>8.6999999999999993</v>
      </c>
    </row>
    <row r="235" spans="1:9" ht="15" customHeight="1" x14ac:dyDescent="0.25">
      <c r="A235" s="5">
        <v>1</v>
      </c>
      <c r="B235" s="5">
        <v>234</v>
      </c>
      <c r="C235" s="50">
        <v>45606</v>
      </c>
      <c r="D235" s="5">
        <v>94</v>
      </c>
      <c r="E235" s="7">
        <v>53.2</v>
      </c>
      <c r="F235" s="7">
        <v>7.9000000000000001E-2</v>
      </c>
      <c r="G235" s="7">
        <v>0</v>
      </c>
      <c r="H235" s="7">
        <v>11.4</v>
      </c>
    </row>
    <row r="236" spans="1:9" ht="15" customHeight="1" x14ac:dyDescent="0.25">
      <c r="A236" s="5">
        <v>2</v>
      </c>
      <c r="B236" s="5">
        <v>235</v>
      </c>
      <c r="C236" s="50">
        <v>45607</v>
      </c>
      <c r="D236" s="5">
        <v>50</v>
      </c>
      <c r="E236" s="7">
        <v>52.9</v>
      </c>
      <c r="F236" s="7">
        <v>0</v>
      </c>
      <c r="G236" s="7">
        <v>0</v>
      </c>
      <c r="H236" s="7">
        <v>13</v>
      </c>
      <c r="I236" s="39" t="s">
        <v>24</v>
      </c>
    </row>
    <row r="237" spans="1:9" ht="15" customHeight="1" x14ac:dyDescent="0.25">
      <c r="A237" s="5">
        <v>3</v>
      </c>
      <c r="B237" s="5">
        <v>236</v>
      </c>
      <c r="C237" s="50">
        <v>45608</v>
      </c>
      <c r="D237" s="5">
        <v>58</v>
      </c>
      <c r="E237" s="7">
        <v>45</v>
      </c>
      <c r="F237" s="7">
        <v>0</v>
      </c>
      <c r="G237" s="7">
        <v>0</v>
      </c>
      <c r="H237" s="7">
        <v>10.3</v>
      </c>
    </row>
    <row r="238" spans="1:9" ht="15" customHeight="1" x14ac:dyDescent="0.25">
      <c r="A238" s="5">
        <v>4</v>
      </c>
      <c r="B238" s="5">
        <v>237</v>
      </c>
      <c r="C238" s="50">
        <v>45609</v>
      </c>
      <c r="D238" s="5">
        <v>137</v>
      </c>
      <c r="E238" s="7">
        <v>45</v>
      </c>
      <c r="F238" s="7">
        <v>0.57099999999999995</v>
      </c>
      <c r="G238" s="7">
        <v>0</v>
      </c>
      <c r="H238" s="7">
        <v>9.6</v>
      </c>
    </row>
    <row r="239" spans="1:9" ht="15" customHeight="1" x14ac:dyDescent="0.25">
      <c r="A239" s="5">
        <v>5</v>
      </c>
      <c r="B239" s="5">
        <v>238</v>
      </c>
      <c r="C239" s="50">
        <v>45610</v>
      </c>
      <c r="D239" s="5">
        <v>82</v>
      </c>
      <c r="E239" s="7">
        <v>50.5</v>
      </c>
      <c r="F239" s="7">
        <v>0.11</v>
      </c>
      <c r="G239" s="7">
        <v>0</v>
      </c>
      <c r="H239" s="7">
        <v>7.4</v>
      </c>
    </row>
    <row r="240" spans="1:9" ht="15" customHeight="1" x14ac:dyDescent="0.25">
      <c r="A240" s="5">
        <v>6</v>
      </c>
      <c r="B240" s="5">
        <v>239</v>
      </c>
      <c r="C240" s="50">
        <v>45611</v>
      </c>
      <c r="D240" s="5">
        <v>134</v>
      </c>
      <c r="E240" s="7">
        <v>49.6</v>
      </c>
      <c r="F240" s="7">
        <v>0</v>
      </c>
      <c r="G240" s="7">
        <v>0</v>
      </c>
      <c r="H240" s="7">
        <v>4.5</v>
      </c>
    </row>
    <row r="241" spans="1:9" ht="15" customHeight="1" x14ac:dyDescent="0.25">
      <c r="A241" s="5">
        <v>7</v>
      </c>
      <c r="B241" s="5">
        <v>240</v>
      </c>
      <c r="C241" s="50">
        <v>45612</v>
      </c>
      <c r="D241" s="5">
        <v>189</v>
      </c>
      <c r="E241" s="7">
        <v>47.1</v>
      </c>
      <c r="F241" s="7">
        <v>0</v>
      </c>
      <c r="G241" s="7">
        <v>0</v>
      </c>
      <c r="H241" s="7">
        <v>7.8</v>
      </c>
    </row>
    <row r="242" spans="1:9" ht="15" customHeight="1" x14ac:dyDescent="0.25">
      <c r="A242" s="5">
        <v>1</v>
      </c>
      <c r="B242" s="5">
        <v>241</v>
      </c>
      <c r="C242" s="50">
        <v>45613</v>
      </c>
      <c r="D242" s="5">
        <v>58</v>
      </c>
      <c r="E242" s="7">
        <v>50.5</v>
      </c>
      <c r="F242" s="7">
        <v>3.1E-2</v>
      </c>
      <c r="G242" s="7">
        <v>0</v>
      </c>
      <c r="H242" s="7">
        <v>7.4</v>
      </c>
    </row>
    <row r="243" spans="1:9" ht="15" customHeight="1" x14ac:dyDescent="0.25">
      <c r="A243" s="5">
        <v>2</v>
      </c>
      <c r="B243" s="5">
        <v>242</v>
      </c>
      <c r="C243" s="50">
        <v>45614</v>
      </c>
      <c r="D243" s="5">
        <v>53</v>
      </c>
      <c r="E243" s="7">
        <v>53.2</v>
      </c>
      <c r="F243" s="7">
        <v>0.42099999999999999</v>
      </c>
      <c r="G243" s="7">
        <v>0</v>
      </c>
      <c r="H243" s="7">
        <v>8.9</v>
      </c>
    </row>
    <row r="244" spans="1:9" ht="15" customHeight="1" x14ac:dyDescent="0.25">
      <c r="A244" s="5">
        <v>3</v>
      </c>
      <c r="B244" s="5">
        <v>243</v>
      </c>
      <c r="C244" s="50">
        <v>45615</v>
      </c>
      <c r="D244" s="5">
        <v>34</v>
      </c>
      <c r="E244" s="7">
        <v>59.5</v>
      </c>
      <c r="F244" s="7">
        <v>5.8999999999999997E-2</v>
      </c>
      <c r="G244" s="7">
        <v>0</v>
      </c>
      <c r="H244" s="7">
        <v>14.5</v>
      </c>
    </row>
    <row r="245" spans="1:9" ht="15" customHeight="1" x14ac:dyDescent="0.25">
      <c r="A245" s="5">
        <v>4</v>
      </c>
      <c r="B245" s="5">
        <v>244</v>
      </c>
      <c r="C245" s="50">
        <v>45616</v>
      </c>
      <c r="D245" s="5">
        <v>60</v>
      </c>
      <c r="E245" s="7">
        <v>45.3</v>
      </c>
      <c r="F245" s="7">
        <v>0</v>
      </c>
      <c r="G245" s="7">
        <v>0</v>
      </c>
      <c r="H245" s="7">
        <v>13.2</v>
      </c>
    </row>
    <row r="246" spans="1:9" ht="15" customHeight="1" x14ac:dyDescent="0.25">
      <c r="A246" s="5">
        <v>5</v>
      </c>
      <c r="B246" s="5">
        <v>245</v>
      </c>
      <c r="C246" s="50">
        <v>45617</v>
      </c>
      <c r="D246" s="5">
        <v>69</v>
      </c>
      <c r="E246" s="7">
        <v>33.1</v>
      </c>
      <c r="F246" s="7">
        <v>0.28000000000000003</v>
      </c>
      <c r="G246" s="7">
        <v>0</v>
      </c>
      <c r="H246" s="7">
        <v>14.3</v>
      </c>
    </row>
    <row r="247" spans="1:9" ht="15" customHeight="1" x14ac:dyDescent="0.25">
      <c r="A247" s="5">
        <v>6</v>
      </c>
      <c r="B247" s="5">
        <v>246</v>
      </c>
      <c r="C247" s="50">
        <v>45618</v>
      </c>
      <c r="D247" s="5">
        <v>170</v>
      </c>
      <c r="E247" s="7">
        <v>41.5</v>
      </c>
      <c r="F247" s="7">
        <v>0</v>
      </c>
      <c r="G247" s="7">
        <v>0</v>
      </c>
      <c r="H247" s="7">
        <v>13</v>
      </c>
    </row>
    <row r="248" spans="1:9" ht="15" customHeight="1" x14ac:dyDescent="0.25">
      <c r="A248" s="5">
        <v>7</v>
      </c>
      <c r="B248" s="5">
        <v>247</v>
      </c>
      <c r="C248" s="50">
        <v>45619</v>
      </c>
      <c r="D248" s="5">
        <v>174</v>
      </c>
      <c r="E248" s="7">
        <v>41.4</v>
      </c>
      <c r="F248" s="7">
        <v>0</v>
      </c>
      <c r="G248" s="7">
        <v>0</v>
      </c>
      <c r="H248" s="7">
        <v>8.3000000000000007</v>
      </c>
    </row>
    <row r="249" spans="1:9" ht="15" customHeight="1" x14ac:dyDescent="0.25">
      <c r="A249" s="5">
        <v>1</v>
      </c>
      <c r="B249" s="5">
        <v>248</v>
      </c>
      <c r="C249" s="50">
        <v>45620</v>
      </c>
      <c r="D249" s="5">
        <v>63</v>
      </c>
      <c r="E249" s="7">
        <v>41.4</v>
      </c>
      <c r="F249" s="7">
        <v>0</v>
      </c>
      <c r="G249" s="7">
        <v>0</v>
      </c>
      <c r="H249" s="7">
        <v>7.6</v>
      </c>
    </row>
    <row r="250" spans="1:9" ht="15" customHeight="1" x14ac:dyDescent="0.25">
      <c r="A250" s="5">
        <v>2</v>
      </c>
      <c r="B250" s="5">
        <v>249</v>
      </c>
      <c r="C250" s="50">
        <v>45621</v>
      </c>
      <c r="D250" s="5">
        <v>48</v>
      </c>
      <c r="E250" s="7">
        <v>49.3</v>
      </c>
      <c r="F250" s="7">
        <v>0</v>
      </c>
      <c r="G250" s="7">
        <v>0</v>
      </c>
      <c r="H250" s="7">
        <v>8.9</v>
      </c>
    </row>
    <row r="251" spans="1:9" ht="15" customHeight="1" x14ac:dyDescent="0.25">
      <c r="A251" s="5">
        <v>3</v>
      </c>
      <c r="B251" s="5">
        <v>250</v>
      </c>
      <c r="C251" s="50">
        <v>45622</v>
      </c>
      <c r="D251" s="5">
        <v>50</v>
      </c>
      <c r="E251" s="7">
        <v>34.200000000000003</v>
      </c>
      <c r="F251" s="7">
        <v>0</v>
      </c>
      <c r="G251" s="7">
        <v>0</v>
      </c>
      <c r="H251" s="7">
        <v>9.6</v>
      </c>
    </row>
    <row r="252" spans="1:9" ht="15" customHeight="1" x14ac:dyDescent="0.25">
      <c r="A252" s="5">
        <v>4</v>
      </c>
      <c r="B252" s="5">
        <v>251</v>
      </c>
      <c r="C252" s="50">
        <v>45623</v>
      </c>
      <c r="D252" s="5">
        <v>82</v>
      </c>
      <c r="E252" s="7">
        <v>37.9</v>
      </c>
      <c r="F252" s="7">
        <v>0</v>
      </c>
      <c r="G252" s="7">
        <v>0</v>
      </c>
      <c r="H252" s="7">
        <v>6.3</v>
      </c>
    </row>
    <row r="253" spans="1:9" ht="15" customHeight="1" x14ac:dyDescent="0.25">
      <c r="A253" s="5">
        <v>5</v>
      </c>
      <c r="B253" s="5">
        <v>252</v>
      </c>
      <c r="C253" s="50">
        <v>45624</v>
      </c>
      <c r="D253" s="5">
        <v>78</v>
      </c>
      <c r="E253" s="7">
        <v>31.8</v>
      </c>
      <c r="F253" s="7">
        <v>0</v>
      </c>
      <c r="G253" s="7">
        <v>0</v>
      </c>
      <c r="H253" s="7">
        <v>12.3</v>
      </c>
      <c r="I253" s="39" t="s">
        <v>25</v>
      </c>
    </row>
    <row r="254" spans="1:9" ht="15" customHeight="1" x14ac:dyDescent="0.25">
      <c r="A254" s="5">
        <v>6</v>
      </c>
      <c r="B254" s="5">
        <v>253</v>
      </c>
      <c r="C254" s="50">
        <v>45625</v>
      </c>
      <c r="D254" s="5">
        <v>100</v>
      </c>
      <c r="E254" s="7">
        <v>25</v>
      </c>
      <c r="F254" s="7">
        <v>0</v>
      </c>
      <c r="G254" s="7">
        <v>0</v>
      </c>
      <c r="H254" s="7">
        <v>13.2</v>
      </c>
      <c r="I254" s="39" t="s">
        <v>26</v>
      </c>
    </row>
    <row r="255" spans="1:9" ht="15" customHeight="1" x14ac:dyDescent="0.25">
      <c r="A255" s="5">
        <v>7</v>
      </c>
      <c r="B255" s="5">
        <v>254</v>
      </c>
      <c r="C255" s="50">
        <v>45626</v>
      </c>
      <c r="D255" s="5">
        <v>179</v>
      </c>
      <c r="E255" s="7">
        <v>19.2</v>
      </c>
      <c r="F255" s="7">
        <v>0</v>
      </c>
      <c r="G255" s="7">
        <v>0</v>
      </c>
      <c r="H255" s="7">
        <v>10.9</v>
      </c>
    </row>
    <row r="256" spans="1:9" ht="15" customHeight="1" x14ac:dyDescent="0.25">
      <c r="A256" s="5">
        <v>1</v>
      </c>
      <c r="B256" s="5">
        <v>255</v>
      </c>
      <c r="C256" s="50">
        <v>45627</v>
      </c>
      <c r="D256" s="5">
        <v>55</v>
      </c>
      <c r="E256" s="7">
        <v>21</v>
      </c>
      <c r="F256" s="7">
        <v>0</v>
      </c>
      <c r="G256" s="7">
        <v>0</v>
      </c>
      <c r="H256" s="7">
        <v>8.3000000000000007</v>
      </c>
    </row>
    <row r="257" spans="1:8" ht="15" customHeight="1" x14ac:dyDescent="0.25">
      <c r="A257" s="5">
        <v>2</v>
      </c>
      <c r="B257" s="5">
        <v>256</v>
      </c>
      <c r="C257" s="50">
        <v>45628</v>
      </c>
      <c r="D257" s="5">
        <v>61</v>
      </c>
      <c r="E257" s="7">
        <v>19.399999999999999</v>
      </c>
      <c r="F257" s="7">
        <v>0</v>
      </c>
      <c r="G257" s="7">
        <v>0</v>
      </c>
      <c r="H257" s="7">
        <v>5.8</v>
      </c>
    </row>
    <row r="258" spans="1:8" ht="15" customHeight="1" x14ac:dyDescent="0.25">
      <c r="A258" s="5">
        <v>3</v>
      </c>
      <c r="B258" s="5">
        <v>257</v>
      </c>
      <c r="C258" s="50">
        <v>45629</v>
      </c>
      <c r="D258" s="5">
        <v>58</v>
      </c>
      <c r="E258" s="7">
        <v>21.2</v>
      </c>
      <c r="F258" s="7">
        <v>0</v>
      </c>
      <c r="G258" s="7">
        <v>0</v>
      </c>
      <c r="H258" s="7">
        <v>10.9</v>
      </c>
    </row>
    <row r="259" spans="1:8" ht="15" customHeight="1" x14ac:dyDescent="0.25">
      <c r="A259" s="5">
        <v>4</v>
      </c>
      <c r="B259" s="5">
        <v>258</v>
      </c>
      <c r="C259" s="50">
        <v>45630</v>
      </c>
      <c r="D259" s="5">
        <v>78</v>
      </c>
      <c r="E259" s="7">
        <v>29.5</v>
      </c>
      <c r="F259" s="7">
        <v>0</v>
      </c>
      <c r="G259" s="7">
        <v>0</v>
      </c>
      <c r="H259" s="7">
        <v>18.3</v>
      </c>
    </row>
    <row r="260" spans="1:8" ht="15" customHeight="1" x14ac:dyDescent="0.25">
      <c r="A260" s="5">
        <v>5</v>
      </c>
      <c r="B260" s="5">
        <v>259</v>
      </c>
      <c r="C260" s="50">
        <v>45631</v>
      </c>
      <c r="D260" s="5">
        <v>90</v>
      </c>
      <c r="E260" s="7">
        <v>20.3</v>
      </c>
      <c r="F260" s="7">
        <v>0</v>
      </c>
      <c r="G260" s="7">
        <v>0</v>
      </c>
      <c r="H260" s="7">
        <v>13.4</v>
      </c>
    </row>
    <row r="261" spans="1:8" ht="15" customHeight="1" x14ac:dyDescent="0.25">
      <c r="A261" s="5">
        <v>6</v>
      </c>
      <c r="B261" s="5">
        <v>260</v>
      </c>
      <c r="C261" s="50">
        <v>45632</v>
      </c>
      <c r="D261" s="5">
        <v>125</v>
      </c>
      <c r="E261" s="7">
        <v>22.3</v>
      </c>
      <c r="F261" s="7">
        <v>0</v>
      </c>
      <c r="G261" s="7">
        <v>0</v>
      </c>
      <c r="H261" s="7">
        <v>9.6</v>
      </c>
    </row>
    <row r="262" spans="1:8" ht="15" customHeight="1" x14ac:dyDescent="0.25">
      <c r="A262" s="5">
        <v>7</v>
      </c>
      <c r="B262" s="5">
        <v>261</v>
      </c>
      <c r="C262" s="50">
        <v>45633</v>
      </c>
      <c r="D262" s="5">
        <v>207</v>
      </c>
      <c r="E262" s="7">
        <v>32.700000000000003</v>
      </c>
      <c r="F262" s="7">
        <v>0</v>
      </c>
      <c r="G262" s="7">
        <v>0</v>
      </c>
      <c r="H262" s="7">
        <v>13.4</v>
      </c>
    </row>
    <row r="263" spans="1:8" ht="15" customHeight="1" x14ac:dyDescent="0.25">
      <c r="A263" s="5">
        <v>1</v>
      </c>
      <c r="B263" s="5">
        <v>262</v>
      </c>
      <c r="C263" s="50">
        <v>45634</v>
      </c>
      <c r="D263" s="5">
        <v>90</v>
      </c>
      <c r="E263" s="7">
        <v>46.2</v>
      </c>
      <c r="F263" s="7">
        <v>0</v>
      </c>
      <c r="G263" s="7">
        <v>0</v>
      </c>
      <c r="H263" s="7">
        <v>9.6</v>
      </c>
    </row>
    <row r="264" spans="1:8" ht="15" customHeight="1" x14ac:dyDescent="0.25">
      <c r="A264" s="5">
        <v>2</v>
      </c>
      <c r="B264" s="5">
        <v>263</v>
      </c>
      <c r="C264" s="50">
        <v>45635</v>
      </c>
      <c r="D264" s="5">
        <v>58</v>
      </c>
      <c r="E264" s="7">
        <v>48.9</v>
      </c>
      <c r="F264" s="7">
        <v>0</v>
      </c>
      <c r="G264" s="7">
        <v>0</v>
      </c>
      <c r="H264" s="7">
        <v>10.8</v>
      </c>
    </row>
    <row r="265" spans="1:8" ht="15" customHeight="1" x14ac:dyDescent="0.25">
      <c r="A265" s="5">
        <v>3</v>
      </c>
      <c r="B265" s="5">
        <v>264</v>
      </c>
      <c r="C265" s="50">
        <v>45636</v>
      </c>
      <c r="D265" s="5">
        <v>118</v>
      </c>
      <c r="E265" s="7">
        <v>37.6</v>
      </c>
      <c r="F265" s="7">
        <v>0</v>
      </c>
      <c r="G265" s="7">
        <v>2.008</v>
      </c>
      <c r="H265" s="7">
        <v>9.6</v>
      </c>
    </row>
    <row r="266" spans="1:8" ht="15" customHeight="1" x14ac:dyDescent="0.25">
      <c r="A266" s="5">
        <v>4</v>
      </c>
      <c r="B266" s="5">
        <v>265</v>
      </c>
      <c r="C266" s="50">
        <v>45637</v>
      </c>
      <c r="D266" s="5">
        <v>92</v>
      </c>
      <c r="E266" s="7">
        <v>29.1</v>
      </c>
      <c r="F266" s="7">
        <v>0</v>
      </c>
      <c r="G266" s="7">
        <v>0</v>
      </c>
      <c r="H266" s="7">
        <v>13.9</v>
      </c>
    </row>
    <row r="267" spans="1:8" ht="15" customHeight="1" x14ac:dyDescent="0.25">
      <c r="A267" s="5">
        <v>5</v>
      </c>
      <c r="B267" s="5">
        <v>266</v>
      </c>
      <c r="C267" s="50">
        <v>45638</v>
      </c>
      <c r="D267" s="5">
        <v>58</v>
      </c>
      <c r="E267" s="7">
        <v>11.1</v>
      </c>
      <c r="F267" s="7">
        <v>0</v>
      </c>
      <c r="G267" s="7">
        <v>0</v>
      </c>
      <c r="H267" s="7">
        <v>10.5</v>
      </c>
    </row>
    <row r="268" spans="1:8" ht="15" customHeight="1" x14ac:dyDescent="0.25">
      <c r="A268" s="5">
        <v>6</v>
      </c>
      <c r="B268" s="5">
        <v>267</v>
      </c>
      <c r="C268" s="50">
        <v>45639</v>
      </c>
      <c r="D268" s="5">
        <v>160</v>
      </c>
      <c r="E268" s="7">
        <v>14.5</v>
      </c>
      <c r="F268" s="7">
        <v>0</v>
      </c>
      <c r="G268" s="7">
        <v>0</v>
      </c>
      <c r="H268" s="7">
        <v>7.8</v>
      </c>
    </row>
    <row r="269" spans="1:8" ht="15" customHeight="1" x14ac:dyDescent="0.25">
      <c r="A269" s="5">
        <v>7</v>
      </c>
      <c r="B269" s="5">
        <v>268</v>
      </c>
      <c r="C269" s="50">
        <v>45640</v>
      </c>
      <c r="D269" s="5">
        <v>203</v>
      </c>
      <c r="E269" s="7">
        <v>30</v>
      </c>
      <c r="F269" s="7">
        <v>0.33100000000000002</v>
      </c>
      <c r="G269" s="7">
        <v>0</v>
      </c>
      <c r="H269" s="7">
        <v>11.6</v>
      </c>
    </row>
    <row r="270" spans="1:8" ht="15" customHeight="1" x14ac:dyDescent="0.25">
      <c r="A270" s="5">
        <v>1</v>
      </c>
      <c r="B270" s="5">
        <v>269</v>
      </c>
      <c r="C270" s="50">
        <v>45641</v>
      </c>
      <c r="D270" s="5">
        <v>78</v>
      </c>
      <c r="E270" s="7">
        <v>40.299999999999997</v>
      </c>
      <c r="F270" s="7">
        <v>5.0999999999999997E-2</v>
      </c>
      <c r="G270" s="7">
        <v>0</v>
      </c>
      <c r="H270" s="7">
        <v>5.8</v>
      </c>
    </row>
    <row r="271" spans="1:8" ht="15" customHeight="1" x14ac:dyDescent="0.25">
      <c r="A271" s="5">
        <v>2</v>
      </c>
      <c r="B271" s="5">
        <v>270</v>
      </c>
      <c r="C271" s="50">
        <v>45642</v>
      </c>
      <c r="D271" s="5">
        <v>22</v>
      </c>
      <c r="E271" s="7">
        <v>45.3</v>
      </c>
      <c r="F271" s="7">
        <v>3.1E-2</v>
      </c>
      <c r="G271" s="7">
        <v>0</v>
      </c>
      <c r="H271" s="7">
        <v>10.9</v>
      </c>
    </row>
    <row r="272" spans="1:8" ht="15" customHeight="1" x14ac:dyDescent="0.25">
      <c r="A272" s="5">
        <v>3</v>
      </c>
      <c r="B272" s="5">
        <v>271</v>
      </c>
      <c r="C272" s="50">
        <v>45643</v>
      </c>
      <c r="D272" s="5">
        <v>67</v>
      </c>
      <c r="E272" s="7">
        <v>37</v>
      </c>
      <c r="F272" s="7">
        <v>0</v>
      </c>
      <c r="G272" s="7">
        <v>0</v>
      </c>
      <c r="H272" s="7">
        <v>8.1</v>
      </c>
    </row>
    <row r="273" spans="1:9" ht="15" customHeight="1" x14ac:dyDescent="0.25">
      <c r="A273" s="5">
        <v>4</v>
      </c>
      <c r="B273" s="5">
        <v>272</v>
      </c>
      <c r="C273" s="50">
        <v>45644</v>
      </c>
      <c r="D273" s="5">
        <v>119</v>
      </c>
      <c r="E273" s="7">
        <v>32.700000000000003</v>
      </c>
      <c r="F273" s="7">
        <v>0</v>
      </c>
      <c r="G273" s="7">
        <v>0</v>
      </c>
      <c r="H273" s="7">
        <v>9.6</v>
      </c>
    </row>
    <row r="274" spans="1:9" ht="15" customHeight="1" x14ac:dyDescent="0.25">
      <c r="A274" s="5">
        <v>5</v>
      </c>
      <c r="B274" s="5">
        <v>273</v>
      </c>
      <c r="C274" s="50">
        <v>45645</v>
      </c>
      <c r="D274" s="5">
        <v>135</v>
      </c>
      <c r="E274" s="7">
        <v>27.9</v>
      </c>
      <c r="F274" s="7">
        <v>9.0999999999999998E-2</v>
      </c>
      <c r="G274" s="7">
        <v>0</v>
      </c>
      <c r="H274" s="7">
        <v>8.1</v>
      </c>
    </row>
    <row r="275" spans="1:9" ht="15" customHeight="1" x14ac:dyDescent="0.25">
      <c r="A275" s="5">
        <v>6</v>
      </c>
      <c r="B275" s="5">
        <v>274</v>
      </c>
      <c r="C275" s="50">
        <v>45646</v>
      </c>
      <c r="D275" s="5">
        <v>149</v>
      </c>
      <c r="E275" s="7">
        <v>32.4</v>
      </c>
      <c r="F275" s="7">
        <v>7.9000000000000001E-2</v>
      </c>
      <c r="G275" s="7">
        <v>2.008</v>
      </c>
      <c r="H275" s="7">
        <v>14.1</v>
      </c>
    </row>
    <row r="276" spans="1:9" ht="15" customHeight="1" x14ac:dyDescent="0.25">
      <c r="A276" s="5">
        <v>7</v>
      </c>
      <c r="B276" s="5">
        <v>275</v>
      </c>
      <c r="C276" s="50">
        <v>45647</v>
      </c>
      <c r="D276" s="5">
        <v>189</v>
      </c>
      <c r="E276" s="7">
        <v>21.6</v>
      </c>
      <c r="F276" s="7">
        <v>0</v>
      </c>
      <c r="G276" s="7">
        <v>2.008</v>
      </c>
      <c r="H276" s="7">
        <v>5.8</v>
      </c>
    </row>
    <row r="277" spans="1:9" ht="15" customHeight="1" x14ac:dyDescent="0.25">
      <c r="A277" s="5">
        <v>1</v>
      </c>
      <c r="B277" s="5">
        <v>276</v>
      </c>
      <c r="C277" s="50">
        <v>45648</v>
      </c>
      <c r="D277" s="5">
        <v>98</v>
      </c>
      <c r="E277" s="7">
        <v>22.3</v>
      </c>
      <c r="F277" s="7">
        <v>0</v>
      </c>
      <c r="G277" s="7">
        <v>0.98399999999999999</v>
      </c>
      <c r="H277" s="7">
        <v>8.6999999999999993</v>
      </c>
    </row>
    <row r="278" spans="1:9" ht="15" customHeight="1" x14ac:dyDescent="0.25">
      <c r="A278" s="5">
        <v>2</v>
      </c>
      <c r="B278" s="5">
        <v>277</v>
      </c>
      <c r="C278" s="50">
        <v>45649</v>
      </c>
      <c r="D278" s="5">
        <v>118</v>
      </c>
      <c r="E278" s="7">
        <v>34.700000000000003</v>
      </c>
      <c r="F278" s="7">
        <v>0</v>
      </c>
      <c r="G278" s="7">
        <v>0.98399999999999999</v>
      </c>
      <c r="H278" s="7">
        <v>10.3</v>
      </c>
    </row>
    <row r="279" spans="1:9" ht="15" customHeight="1" x14ac:dyDescent="0.25">
      <c r="A279" s="5">
        <v>3</v>
      </c>
      <c r="B279" s="5">
        <v>278</v>
      </c>
      <c r="C279" s="50">
        <v>45650</v>
      </c>
      <c r="D279" s="5">
        <v>144</v>
      </c>
      <c r="E279" s="7">
        <v>36</v>
      </c>
      <c r="F279" s="7">
        <v>0</v>
      </c>
      <c r="G279" s="7">
        <v>0</v>
      </c>
      <c r="H279" s="7">
        <v>8.1</v>
      </c>
      <c r="I279" s="39" t="s">
        <v>27</v>
      </c>
    </row>
    <row r="280" spans="1:9" ht="15" customHeight="1" x14ac:dyDescent="0.25">
      <c r="A280" s="5">
        <v>4</v>
      </c>
      <c r="B280" s="5">
        <v>279</v>
      </c>
      <c r="C280" s="50">
        <v>45651</v>
      </c>
      <c r="D280" s="5">
        <v>0</v>
      </c>
      <c r="E280" s="7">
        <v>34.5</v>
      </c>
      <c r="F280" s="7">
        <v>0</v>
      </c>
      <c r="G280" s="7">
        <v>0</v>
      </c>
      <c r="H280" s="7">
        <v>6.3</v>
      </c>
      <c r="I280" s="39" t="s">
        <v>28</v>
      </c>
    </row>
    <row r="281" spans="1:9" ht="15" customHeight="1" x14ac:dyDescent="0.25">
      <c r="A281" s="5">
        <v>5</v>
      </c>
      <c r="B281" s="5">
        <v>280</v>
      </c>
      <c r="C281" s="50">
        <v>45652</v>
      </c>
      <c r="D281" s="5">
        <v>52</v>
      </c>
      <c r="E281" s="7">
        <v>41.4</v>
      </c>
      <c r="F281" s="7">
        <v>5.0999999999999997E-2</v>
      </c>
      <c r="G281" s="7">
        <v>0</v>
      </c>
      <c r="H281" s="7">
        <v>6.7</v>
      </c>
      <c r="I281" s="39" t="s">
        <v>29</v>
      </c>
    </row>
    <row r="282" spans="1:9" ht="15" customHeight="1" x14ac:dyDescent="0.25">
      <c r="A282" s="5">
        <v>6</v>
      </c>
      <c r="B282" s="5">
        <v>281</v>
      </c>
      <c r="C282" s="50">
        <v>45653</v>
      </c>
      <c r="D282" s="5">
        <v>155</v>
      </c>
      <c r="E282" s="7">
        <v>47.1</v>
      </c>
      <c r="F282" s="7">
        <v>0.26</v>
      </c>
      <c r="G282" s="7">
        <v>0</v>
      </c>
      <c r="H282" s="7">
        <v>9.1999999999999993</v>
      </c>
    </row>
    <row r="283" spans="1:9" ht="15" customHeight="1" x14ac:dyDescent="0.25">
      <c r="A283" s="5">
        <v>7</v>
      </c>
      <c r="B283" s="5">
        <v>282</v>
      </c>
      <c r="C283" s="50">
        <v>45654</v>
      </c>
      <c r="D283" s="5">
        <v>154</v>
      </c>
      <c r="E283" s="7">
        <v>49.8</v>
      </c>
      <c r="F283" s="7">
        <v>0</v>
      </c>
      <c r="G283" s="7">
        <v>0</v>
      </c>
      <c r="H283" s="7">
        <v>10.5</v>
      </c>
    </row>
    <row r="284" spans="1:9" ht="15" customHeight="1" x14ac:dyDescent="0.25">
      <c r="A284" s="5">
        <v>1</v>
      </c>
      <c r="B284" s="5">
        <v>283</v>
      </c>
      <c r="C284" s="50">
        <v>45655</v>
      </c>
      <c r="D284" s="5">
        <v>62</v>
      </c>
      <c r="E284" s="7">
        <v>43.9</v>
      </c>
      <c r="F284" s="7">
        <v>0.46899999999999997</v>
      </c>
      <c r="G284" s="7">
        <v>0</v>
      </c>
      <c r="H284" s="7">
        <v>10.5</v>
      </c>
    </row>
    <row r="285" spans="1:9" ht="15" customHeight="1" x14ac:dyDescent="0.25">
      <c r="A285" s="5">
        <v>2</v>
      </c>
      <c r="B285" s="5">
        <v>284</v>
      </c>
      <c r="C285" s="50">
        <v>45656</v>
      </c>
      <c r="D285" s="5">
        <v>77</v>
      </c>
      <c r="E285" s="7">
        <v>36.700000000000003</v>
      </c>
      <c r="F285" s="7">
        <v>0</v>
      </c>
      <c r="G285" s="7">
        <v>0</v>
      </c>
      <c r="H285" s="7">
        <v>4.9000000000000004</v>
      </c>
    </row>
    <row r="286" spans="1:9" ht="15" customHeight="1" x14ac:dyDescent="0.25">
      <c r="A286" s="5">
        <v>3</v>
      </c>
      <c r="B286" s="5">
        <v>285</v>
      </c>
      <c r="C286" s="50">
        <v>45657</v>
      </c>
      <c r="D286" s="5">
        <v>186</v>
      </c>
      <c r="E286" s="7">
        <v>38.799999999999997</v>
      </c>
      <c r="F286" s="7">
        <v>0.57099999999999995</v>
      </c>
      <c r="G286" s="7">
        <v>0</v>
      </c>
      <c r="H286" s="7">
        <v>14.9</v>
      </c>
      <c r="I286" s="39" t="s">
        <v>30</v>
      </c>
    </row>
    <row r="287" spans="1:9" ht="15" customHeight="1" x14ac:dyDescent="0.25">
      <c r="A287" s="5">
        <v>4</v>
      </c>
      <c r="B287" s="5">
        <v>286</v>
      </c>
      <c r="C287" s="50">
        <v>45658</v>
      </c>
      <c r="D287" s="5">
        <v>50</v>
      </c>
      <c r="E287" s="7">
        <v>31.3</v>
      </c>
      <c r="F287" s="7">
        <v>0</v>
      </c>
      <c r="G287" s="7">
        <v>0</v>
      </c>
      <c r="H287" s="7">
        <v>13.2</v>
      </c>
      <c r="I287" s="39" t="s">
        <v>31</v>
      </c>
    </row>
    <row r="288" spans="1:9" ht="15" customHeight="1" x14ac:dyDescent="0.25">
      <c r="A288" s="5">
        <v>5</v>
      </c>
      <c r="B288" s="5">
        <v>287</v>
      </c>
      <c r="C288" s="50">
        <v>45659</v>
      </c>
      <c r="D288" s="5">
        <v>57</v>
      </c>
      <c r="E288" s="7">
        <v>27</v>
      </c>
      <c r="F288" s="7">
        <v>1.2E-2</v>
      </c>
      <c r="G288" s="7">
        <v>0</v>
      </c>
      <c r="H288" s="7">
        <v>9.1999999999999993</v>
      </c>
    </row>
    <row r="289" spans="1:8" ht="15" customHeight="1" x14ac:dyDescent="0.25">
      <c r="A289" s="5">
        <v>6</v>
      </c>
      <c r="B289" s="5">
        <v>288</v>
      </c>
      <c r="C289" s="50">
        <v>45660</v>
      </c>
      <c r="D289" s="5">
        <v>137</v>
      </c>
      <c r="E289" s="7">
        <v>24.4</v>
      </c>
      <c r="F289" s="7">
        <v>0</v>
      </c>
      <c r="G289" s="7">
        <v>0</v>
      </c>
      <c r="H289" s="7">
        <v>11.9</v>
      </c>
    </row>
    <row r="290" spans="1:8" ht="15" customHeight="1" x14ac:dyDescent="0.25">
      <c r="A290" s="5">
        <v>7</v>
      </c>
      <c r="B290" s="5">
        <v>289</v>
      </c>
      <c r="C290" s="50">
        <v>45661</v>
      </c>
      <c r="D290" s="5">
        <v>147</v>
      </c>
      <c r="E290" s="7">
        <v>18.3</v>
      </c>
      <c r="F290" s="7">
        <v>0</v>
      </c>
      <c r="G290" s="7">
        <v>0</v>
      </c>
      <c r="H290" s="7">
        <v>9.4</v>
      </c>
    </row>
    <row r="291" spans="1:8" ht="15" customHeight="1" x14ac:dyDescent="0.25">
      <c r="A291" s="5">
        <v>1</v>
      </c>
      <c r="B291" s="5">
        <v>290</v>
      </c>
      <c r="C291" s="50">
        <v>45662</v>
      </c>
      <c r="D291" s="5">
        <v>26</v>
      </c>
      <c r="E291" s="7">
        <v>18.100000000000001</v>
      </c>
      <c r="F291" s="7">
        <v>0</v>
      </c>
      <c r="G291" s="7">
        <v>0</v>
      </c>
      <c r="H291" s="7">
        <v>9.1999999999999993</v>
      </c>
    </row>
    <row r="292" spans="1:8" ht="15" customHeight="1" x14ac:dyDescent="0.25">
      <c r="A292" s="5">
        <v>2</v>
      </c>
      <c r="B292" s="5">
        <v>291</v>
      </c>
      <c r="C292" s="50">
        <v>45663</v>
      </c>
      <c r="D292" s="5">
        <v>38</v>
      </c>
      <c r="E292" s="7">
        <v>23.9</v>
      </c>
      <c r="F292" s="7">
        <v>1.2E-2</v>
      </c>
      <c r="G292" s="7">
        <v>0</v>
      </c>
      <c r="H292" s="7">
        <v>15</v>
      </c>
    </row>
    <row r="293" spans="1:8" ht="15" customHeight="1" x14ac:dyDescent="0.25">
      <c r="A293" s="5">
        <v>3</v>
      </c>
      <c r="B293" s="5">
        <v>292</v>
      </c>
      <c r="C293" s="50">
        <v>45664</v>
      </c>
      <c r="D293" s="5">
        <v>46</v>
      </c>
      <c r="E293" s="7">
        <v>21.6</v>
      </c>
      <c r="F293" s="7">
        <v>0</v>
      </c>
      <c r="G293" s="7">
        <v>0</v>
      </c>
      <c r="H293" s="7">
        <v>6.7</v>
      </c>
    </row>
    <row r="294" spans="1:8" ht="15" customHeight="1" x14ac:dyDescent="0.25">
      <c r="A294" s="5">
        <v>4</v>
      </c>
      <c r="B294" s="5">
        <v>293</v>
      </c>
      <c r="C294" s="50">
        <v>45665</v>
      </c>
      <c r="D294" s="5">
        <v>49</v>
      </c>
      <c r="E294" s="7">
        <v>19.899999999999999</v>
      </c>
      <c r="F294" s="7">
        <v>0</v>
      </c>
      <c r="G294" s="7">
        <v>0</v>
      </c>
      <c r="H294" s="7">
        <v>5.8</v>
      </c>
    </row>
    <row r="295" spans="1:8" ht="15" customHeight="1" x14ac:dyDescent="0.25">
      <c r="A295" s="5">
        <v>5</v>
      </c>
      <c r="B295" s="5">
        <v>294</v>
      </c>
      <c r="C295" s="50">
        <v>45666</v>
      </c>
      <c r="D295" s="5">
        <v>53</v>
      </c>
      <c r="E295" s="7">
        <v>20.100000000000001</v>
      </c>
      <c r="F295" s="7">
        <v>0</v>
      </c>
      <c r="G295" s="7">
        <v>0</v>
      </c>
      <c r="H295" s="7">
        <v>8.3000000000000007</v>
      </c>
    </row>
    <row r="296" spans="1:8" ht="15" customHeight="1" x14ac:dyDescent="0.25">
      <c r="A296" s="5">
        <v>6</v>
      </c>
      <c r="B296" s="5">
        <v>295</v>
      </c>
      <c r="C296" s="50">
        <v>45667</v>
      </c>
      <c r="D296" s="5">
        <v>73</v>
      </c>
      <c r="E296" s="7">
        <v>25</v>
      </c>
      <c r="F296" s="7">
        <v>0.13</v>
      </c>
      <c r="G296" s="7">
        <v>0</v>
      </c>
      <c r="H296" s="7">
        <v>7.8</v>
      </c>
    </row>
    <row r="297" spans="1:8" ht="15" customHeight="1" x14ac:dyDescent="0.25">
      <c r="A297" s="5">
        <v>7</v>
      </c>
      <c r="B297" s="5">
        <v>296</v>
      </c>
      <c r="C297" s="50">
        <v>45668</v>
      </c>
      <c r="D297" s="5">
        <v>200</v>
      </c>
      <c r="E297" s="7">
        <v>28.4</v>
      </c>
      <c r="F297" s="7">
        <v>0</v>
      </c>
      <c r="G297" s="7">
        <v>2.008</v>
      </c>
      <c r="H297" s="7">
        <v>8.9</v>
      </c>
    </row>
    <row r="298" spans="1:8" ht="15" customHeight="1" x14ac:dyDescent="0.25">
      <c r="A298" s="5">
        <v>1</v>
      </c>
      <c r="B298" s="5">
        <v>297</v>
      </c>
      <c r="C298" s="50">
        <v>45669</v>
      </c>
      <c r="D298" s="5">
        <v>38</v>
      </c>
      <c r="E298" s="7">
        <v>29.8</v>
      </c>
      <c r="F298" s="7">
        <v>3.1E-2</v>
      </c>
      <c r="G298" s="7">
        <v>0.98399999999999999</v>
      </c>
      <c r="H298" s="7">
        <v>13.9</v>
      </c>
    </row>
    <row r="299" spans="1:8" ht="15" customHeight="1" x14ac:dyDescent="0.25">
      <c r="A299" s="5">
        <v>2</v>
      </c>
      <c r="B299" s="5">
        <v>298</v>
      </c>
      <c r="C299" s="50">
        <v>45670</v>
      </c>
      <c r="D299" s="5">
        <v>16</v>
      </c>
      <c r="E299" s="7">
        <v>17.2</v>
      </c>
      <c r="F299" s="7">
        <v>0</v>
      </c>
      <c r="G299" s="7">
        <v>0.98399999999999999</v>
      </c>
      <c r="H299" s="7">
        <v>12.7</v>
      </c>
    </row>
    <row r="300" spans="1:8" ht="15" customHeight="1" x14ac:dyDescent="0.25">
      <c r="A300" s="5">
        <v>3</v>
      </c>
      <c r="B300" s="5">
        <v>299</v>
      </c>
      <c r="C300" s="50">
        <v>45671</v>
      </c>
      <c r="D300" s="5">
        <v>45</v>
      </c>
      <c r="E300" s="7">
        <v>14.2</v>
      </c>
      <c r="F300" s="7">
        <v>1.2E-2</v>
      </c>
      <c r="G300" s="7">
        <v>0.98399999999999999</v>
      </c>
      <c r="H300" s="7">
        <v>9.1999999999999993</v>
      </c>
    </row>
    <row r="301" spans="1:8" ht="15" customHeight="1" x14ac:dyDescent="0.25">
      <c r="A301" s="5">
        <v>4</v>
      </c>
      <c r="B301" s="5">
        <v>300</v>
      </c>
      <c r="C301" s="50">
        <v>45672</v>
      </c>
      <c r="D301" s="5">
        <v>52</v>
      </c>
      <c r="E301" s="7">
        <v>10.9</v>
      </c>
      <c r="F301" s="7">
        <v>0</v>
      </c>
      <c r="G301" s="7">
        <v>0.98399999999999999</v>
      </c>
      <c r="H301" s="7">
        <v>9.6</v>
      </c>
    </row>
    <row r="302" spans="1:8" ht="15" customHeight="1" x14ac:dyDescent="0.25">
      <c r="A302" s="5">
        <v>5</v>
      </c>
      <c r="B302" s="5">
        <v>301</v>
      </c>
      <c r="C302" s="50">
        <v>45673</v>
      </c>
      <c r="D302" s="5">
        <v>38</v>
      </c>
      <c r="E302" s="7">
        <v>25.5</v>
      </c>
      <c r="F302" s="7">
        <v>1.2E-2</v>
      </c>
      <c r="G302" s="7">
        <v>0.98399999999999999</v>
      </c>
      <c r="H302" s="7">
        <v>10.5</v>
      </c>
    </row>
    <row r="303" spans="1:8" ht="15" customHeight="1" x14ac:dyDescent="0.25">
      <c r="A303" s="5">
        <v>6</v>
      </c>
      <c r="B303" s="5">
        <v>302</v>
      </c>
      <c r="C303" s="50">
        <v>45674</v>
      </c>
      <c r="D303" s="5">
        <v>176</v>
      </c>
      <c r="E303" s="7">
        <v>34.9</v>
      </c>
      <c r="F303" s="7">
        <v>0</v>
      </c>
      <c r="G303" s="7">
        <v>0</v>
      </c>
      <c r="H303" s="7">
        <v>13.2</v>
      </c>
    </row>
    <row r="304" spans="1:8" ht="15" customHeight="1" x14ac:dyDescent="0.25">
      <c r="A304" s="5">
        <v>7</v>
      </c>
      <c r="B304" s="5">
        <v>303</v>
      </c>
      <c r="C304" s="50">
        <v>45675</v>
      </c>
      <c r="D304" s="5">
        <v>173</v>
      </c>
      <c r="E304" s="7">
        <v>34</v>
      </c>
      <c r="F304" s="7">
        <v>0</v>
      </c>
      <c r="G304" s="7">
        <v>0</v>
      </c>
      <c r="H304" s="7">
        <v>13.4</v>
      </c>
    </row>
    <row r="305" spans="1:9" ht="15" customHeight="1" x14ac:dyDescent="0.25">
      <c r="A305" s="5">
        <v>1</v>
      </c>
      <c r="B305" s="5">
        <v>304</v>
      </c>
      <c r="C305" s="50">
        <v>45676</v>
      </c>
      <c r="D305" s="5">
        <v>73</v>
      </c>
      <c r="E305" s="7">
        <v>11.7</v>
      </c>
      <c r="F305" s="7">
        <v>0</v>
      </c>
      <c r="G305" s="7">
        <v>0</v>
      </c>
      <c r="H305" s="7">
        <v>12.7</v>
      </c>
    </row>
    <row r="306" spans="1:9" ht="15" customHeight="1" x14ac:dyDescent="0.25">
      <c r="A306" s="5">
        <v>2</v>
      </c>
      <c r="B306" s="5">
        <v>305</v>
      </c>
      <c r="C306" s="50">
        <v>45677</v>
      </c>
      <c r="D306" s="5">
        <v>0</v>
      </c>
      <c r="E306" s="7">
        <v>3.6</v>
      </c>
      <c r="F306" s="7">
        <v>0</v>
      </c>
      <c r="G306" s="7">
        <v>0</v>
      </c>
      <c r="H306" s="7">
        <v>11.9</v>
      </c>
      <c r="I306" s="39" t="s">
        <v>32</v>
      </c>
    </row>
    <row r="307" spans="1:9" ht="15" customHeight="1" x14ac:dyDescent="0.25">
      <c r="A307" s="5">
        <v>3</v>
      </c>
      <c r="B307" s="5">
        <v>306</v>
      </c>
      <c r="C307" s="50">
        <v>45678</v>
      </c>
      <c r="D307" s="5">
        <v>19</v>
      </c>
      <c r="E307" s="7">
        <v>-1.1000000000000001</v>
      </c>
      <c r="F307" s="7">
        <v>0</v>
      </c>
      <c r="G307" s="7">
        <v>0</v>
      </c>
      <c r="H307" s="7">
        <v>12.6</v>
      </c>
    </row>
    <row r="308" spans="1:9" ht="15" customHeight="1" x14ac:dyDescent="0.25">
      <c r="A308" s="5">
        <v>4</v>
      </c>
      <c r="B308" s="5">
        <v>307</v>
      </c>
      <c r="C308" s="50">
        <v>45679</v>
      </c>
      <c r="D308" s="5">
        <v>57</v>
      </c>
      <c r="E308" s="7">
        <v>8.1999999999999993</v>
      </c>
      <c r="F308" s="7">
        <v>0.02</v>
      </c>
      <c r="G308" s="7">
        <v>0</v>
      </c>
      <c r="H308" s="7">
        <v>13</v>
      </c>
    </row>
    <row r="309" spans="1:9" ht="15" customHeight="1" x14ac:dyDescent="0.25">
      <c r="A309" s="5">
        <v>5</v>
      </c>
      <c r="B309" s="5">
        <v>308</v>
      </c>
      <c r="C309" s="50">
        <v>45680</v>
      </c>
      <c r="D309" s="5">
        <v>45</v>
      </c>
      <c r="E309" s="7">
        <v>20.5</v>
      </c>
      <c r="F309" s="7">
        <v>1.2E-2</v>
      </c>
      <c r="G309" s="7">
        <v>0.98399999999999999</v>
      </c>
      <c r="H309" s="7">
        <v>10.1</v>
      </c>
    </row>
    <row r="310" spans="1:9" ht="15" customHeight="1" x14ac:dyDescent="0.25">
      <c r="A310" s="5">
        <v>6</v>
      </c>
      <c r="B310" s="5">
        <v>309</v>
      </c>
      <c r="C310" s="50">
        <v>45681</v>
      </c>
      <c r="D310" s="5">
        <v>165</v>
      </c>
      <c r="E310" s="7">
        <v>10.8</v>
      </c>
      <c r="F310" s="7">
        <v>0</v>
      </c>
      <c r="G310" s="7">
        <v>0</v>
      </c>
      <c r="H310" s="7">
        <v>8.6999999999999993</v>
      </c>
    </row>
    <row r="311" spans="1:9" ht="15" customHeight="1" x14ac:dyDescent="0.25">
      <c r="A311" s="5">
        <v>7</v>
      </c>
      <c r="B311" s="5">
        <v>310</v>
      </c>
      <c r="C311" s="50">
        <v>45682</v>
      </c>
      <c r="D311" s="5">
        <v>196</v>
      </c>
      <c r="E311" s="7">
        <v>27.3</v>
      </c>
      <c r="F311" s="7">
        <v>0</v>
      </c>
      <c r="G311" s="7">
        <v>0</v>
      </c>
      <c r="H311" s="7">
        <v>14.3</v>
      </c>
    </row>
    <row r="312" spans="1:9" ht="15" customHeight="1" x14ac:dyDescent="0.25">
      <c r="A312" s="5">
        <v>1</v>
      </c>
      <c r="B312" s="5">
        <v>311</v>
      </c>
      <c r="C312" s="50">
        <v>45683</v>
      </c>
      <c r="D312" s="5">
        <v>41</v>
      </c>
      <c r="E312" s="7">
        <v>25.9</v>
      </c>
      <c r="F312" s="7">
        <v>0</v>
      </c>
      <c r="G312" s="7">
        <v>0</v>
      </c>
      <c r="H312" s="7">
        <v>8.1</v>
      </c>
    </row>
    <row r="313" spans="1:9" ht="15" customHeight="1" x14ac:dyDescent="0.25">
      <c r="A313" s="5">
        <v>2</v>
      </c>
      <c r="B313" s="5">
        <v>312</v>
      </c>
      <c r="C313" s="50">
        <v>45684</v>
      </c>
      <c r="D313" s="5">
        <v>52</v>
      </c>
      <c r="E313" s="7">
        <v>27.1</v>
      </c>
      <c r="F313" s="7">
        <v>0</v>
      </c>
      <c r="G313" s="7">
        <v>0</v>
      </c>
      <c r="H313" s="7">
        <v>15</v>
      </c>
    </row>
    <row r="314" spans="1:9" ht="15" customHeight="1" x14ac:dyDescent="0.25">
      <c r="A314" s="5">
        <v>3</v>
      </c>
      <c r="B314" s="5">
        <v>313</v>
      </c>
      <c r="C314" s="50">
        <v>45685</v>
      </c>
      <c r="D314" s="5">
        <v>48</v>
      </c>
      <c r="E314" s="7">
        <v>37.799999999999997</v>
      </c>
      <c r="F314" s="7">
        <v>0</v>
      </c>
      <c r="G314" s="7">
        <v>0</v>
      </c>
      <c r="H314" s="7">
        <v>13.7</v>
      </c>
    </row>
    <row r="315" spans="1:9" ht="15" customHeight="1" x14ac:dyDescent="0.25">
      <c r="A315" s="5">
        <v>4</v>
      </c>
      <c r="B315" s="5">
        <v>314</v>
      </c>
      <c r="C315" s="50">
        <v>45686</v>
      </c>
      <c r="D315" s="5">
        <v>33</v>
      </c>
      <c r="E315" s="7">
        <v>42.4</v>
      </c>
      <c r="F315" s="7">
        <v>0</v>
      </c>
      <c r="G315" s="7">
        <v>0</v>
      </c>
      <c r="H315" s="7">
        <v>10.9</v>
      </c>
    </row>
    <row r="316" spans="1:9" ht="15" customHeight="1" x14ac:dyDescent="0.25">
      <c r="A316" s="5">
        <v>5</v>
      </c>
      <c r="B316" s="5">
        <v>315</v>
      </c>
      <c r="C316" s="50">
        <v>45687</v>
      </c>
      <c r="D316" s="5">
        <v>74</v>
      </c>
      <c r="E316" s="7">
        <v>37.9</v>
      </c>
      <c r="F316" s="7">
        <v>0.51200000000000001</v>
      </c>
      <c r="G316" s="7">
        <v>0</v>
      </c>
      <c r="H316" s="7">
        <v>7.4</v>
      </c>
    </row>
    <row r="317" spans="1:9" ht="15" customHeight="1" x14ac:dyDescent="0.25">
      <c r="A317" s="5">
        <v>6</v>
      </c>
      <c r="B317" s="5">
        <v>316</v>
      </c>
      <c r="C317" s="50">
        <v>45688</v>
      </c>
      <c r="D317" s="5">
        <v>142</v>
      </c>
      <c r="E317" s="7">
        <v>39.200000000000003</v>
      </c>
      <c r="F317" s="7">
        <v>1.24</v>
      </c>
      <c r="G317" s="7">
        <v>0</v>
      </c>
      <c r="H317" s="7">
        <v>16.3</v>
      </c>
    </row>
    <row r="318" spans="1:9" ht="15" customHeight="1" x14ac:dyDescent="0.25">
      <c r="A318" s="5">
        <v>7</v>
      </c>
      <c r="B318" s="5">
        <v>317</v>
      </c>
      <c r="C318" s="50">
        <v>45689</v>
      </c>
      <c r="D318" s="5">
        <v>174</v>
      </c>
      <c r="E318" s="7">
        <v>31.8</v>
      </c>
      <c r="F318" s="7">
        <v>0</v>
      </c>
      <c r="G318" s="7">
        <v>0</v>
      </c>
      <c r="H318" s="7">
        <v>13.9</v>
      </c>
    </row>
    <row r="319" spans="1:9" ht="15" customHeight="1" x14ac:dyDescent="0.25">
      <c r="A319" s="5">
        <v>1</v>
      </c>
      <c r="B319" s="5">
        <v>318</v>
      </c>
      <c r="C319" s="50">
        <v>45690</v>
      </c>
      <c r="D319" s="5">
        <v>61</v>
      </c>
      <c r="E319" s="7">
        <v>35.6</v>
      </c>
      <c r="F319" s="7">
        <v>0</v>
      </c>
      <c r="G319" s="7">
        <v>0</v>
      </c>
      <c r="H319" s="7">
        <v>7.6</v>
      </c>
    </row>
    <row r="320" spans="1:9" ht="15" customHeight="1" x14ac:dyDescent="0.25">
      <c r="A320" s="5">
        <v>2</v>
      </c>
      <c r="B320" s="5">
        <v>319</v>
      </c>
      <c r="C320" s="50">
        <v>45691</v>
      </c>
      <c r="D320" s="5">
        <v>36</v>
      </c>
      <c r="E320" s="7">
        <v>39.6</v>
      </c>
      <c r="F320" s="7">
        <v>0</v>
      </c>
      <c r="G320" s="7">
        <v>0</v>
      </c>
      <c r="H320" s="7">
        <v>10.9</v>
      </c>
    </row>
    <row r="321" spans="1:9" ht="15" customHeight="1" x14ac:dyDescent="0.25">
      <c r="A321" s="5">
        <v>3</v>
      </c>
      <c r="B321" s="5">
        <v>320</v>
      </c>
      <c r="C321" s="50">
        <v>45692</v>
      </c>
      <c r="D321" s="5">
        <v>45</v>
      </c>
      <c r="E321" s="7">
        <v>28.8</v>
      </c>
      <c r="F321" s="7">
        <v>0</v>
      </c>
      <c r="G321" s="7">
        <v>0</v>
      </c>
      <c r="H321" s="7">
        <v>13.9</v>
      </c>
    </row>
    <row r="322" spans="1:9" ht="15" customHeight="1" x14ac:dyDescent="0.25">
      <c r="A322" s="5">
        <v>4</v>
      </c>
      <c r="B322" s="5">
        <v>321</v>
      </c>
      <c r="C322" s="50">
        <v>45693</v>
      </c>
      <c r="D322" s="5">
        <v>49</v>
      </c>
      <c r="E322" s="7">
        <v>26.4</v>
      </c>
      <c r="F322" s="7">
        <v>5.0999999999999997E-2</v>
      </c>
      <c r="G322" s="7">
        <v>0</v>
      </c>
      <c r="H322" s="7">
        <v>11.9</v>
      </c>
    </row>
    <row r="323" spans="1:9" ht="15" customHeight="1" x14ac:dyDescent="0.25">
      <c r="A323" s="5">
        <v>5</v>
      </c>
      <c r="B323" s="5">
        <v>322</v>
      </c>
      <c r="C323" s="50">
        <v>45694</v>
      </c>
      <c r="D323" s="5">
        <v>36</v>
      </c>
      <c r="E323" s="7">
        <v>31.5</v>
      </c>
      <c r="F323" s="7">
        <v>0</v>
      </c>
      <c r="G323" s="7">
        <v>0</v>
      </c>
      <c r="H323" s="7">
        <v>13</v>
      </c>
    </row>
    <row r="324" spans="1:9" ht="15" customHeight="1" x14ac:dyDescent="0.25">
      <c r="A324" s="5">
        <v>6</v>
      </c>
      <c r="B324" s="5">
        <v>323</v>
      </c>
      <c r="C324" s="50">
        <v>45695</v>
      </c>
      <c r="D324" s="5">
        <v>106</v>
      </c>
      <c r="E324" s="7">
        <v>26.4</v>
      </c>
      <c r="F324" s="7">
        <v>0</v>
      </c>
      <c r="G324" s="7">
        <v>0</v>
      </c>
      <c r="H324" s="7">
        <v>6.5</v>
      </c>
    </row>
    <row r="325" spans="1:9" ht="15" customHeight="1" x14ac:dyDescent="0.25">
      <c r="A325" s="5">
        <v>7</v>
      </c>
      <c r="B325" s="5">
        <v>324</v>
      </c>
      <c r="C325" s="50">
        <v>45696</v>
      </c>
      <c r="D325" s="5">
        <v>157</v>
      </c>
      <c r="E325" s="7">
        <v>29.8</v>
      </c>
      <c r="F325" s="7">
        <v>1.2E-2</v>
      </c>
      <c r="G325" s="7">
        <v>0</v>
      </c>
      <c r="H325" s="7">
        <v>9.1999999999999993</v>
      </c>
    </row>
    <row r="326" spans="1:9" ht="15" customHeight="1" x14ac:dyDescent="0.25">
      <c r="A326" s="5">
        <v>1</v>
      </c>
      <c r="B326" s="5">
        <v>325</v>
      </c>
      <c r="C326" s="50">
        <v>45697</v>
      </c>
      <c r="D326" s="5">
        <v>0</v>
      </c>
      <c r="E326" s="7">
        <v>28</v>
      </c>
      <c r="F326" s="7">
        <v>0</v>
      </c>
      <c r="G326" s="7">
        <v>0</v>
      </c>
      <c r="H326" s="7">
        <v>7.8</v>
      </c>
      <c r="I326" s="39" t="s">
        <v>33</v>
      </c>
    </row>
    <row r="327" spans="1:9" ht="15" customHeight="1" x14ac:dyDescent="0.25">
      <c r="A327" s="5">
        <v>2</v>
      </c>
      <c r="B327" s="5">
        <v>326</v>
      </c>
      <c r="C327" s="50">
        <v>45698</v>
      </c>
      <c r="D327" s="5">
        <v>52</v>
      </c>
      <c r="E327" s="7">
        <v>25.2</v>
      </c>
      <c r="F327" s="7">
        <v>0</v>
      </c>
      <c r="G327" s="7">
        <v>0</v>
      </c>
      <c r="H327" s="7">
        <v>4.7</v>
      </c>
    </row>
    <row r="328" spans="1:9" ht="15" customHeight="1" x14ac:dyDescent="0.25">
      <c r="A328" s="5">
        <v>3</v>
      </c>
      <c r="B328" s="5">
        <v>327</v>
      </c>
      <c r="C328" s="50">
        <v>45699</v>
      </c>
      <c r="D328" s="5">
        <v>36</v>
      </c>
      <c r="E328" s="7">
        <v>25</v>
      </c>
      <c r="F328" s="7">
        <v>0</v>
      </c>
      <c r="G328" s="7">
        <v>0</v>
      </c>
      <c r="H328" s="7">
        <v>13.9</v>
      </c>
    </row>
    <row r="329" spans="1:9" ht="15" customHeight="1" x14ac:dyDescent="0.25">
      <c r="A329" s="5">
        <v>4</v>
      </c>
      <c r="B329" s="5">
        <v>328</v>
      </c>
      <c r="C329" s="50">
        <v>45700</v>
      </c>
      <c r="D329" s="5">
        <v>29</v>
      </c>
      <c r="E329" s="7">
        <v>24.4</v>
      </c>
      <c r="F329" s="7">
        <v>0.18099999999999999</v>
      </c>
      <c r="G329" s="7">
        <v>0</v>
      </c>
      <c r="H329" s="7">
        <v>11.9</v>
      </c>
    </row>
    <row r="330" spans="1:9" ht="15" customHeight="1" x14ac:dyDescent="0.25">
      <c r="A330" s="5">
        <v>5</v>
      </c>
      <c r="B330" s="5">
        <v>329</v>
      </c>
      <c r="C330" s="50">
        <v>45701</v>
      </c>
      <c r="D330" s="5">
        <v>65</v>
      </c>
      <c r="E330" s="7">
        <v>20.3</v>
      </c>
      <c r="F330" s="7">
        <v>0</v>
      </c>
      <c r="G330" s="7">
        <v>3.15</v>
      </c>
      <c r="H330" s="7">
        <v>12.7</v>
      </c>
    </row>
    <row r="331" spans="1:9" ht="15" customHeight="1" x14ac:dyDescent="0.25">
      <c r="A331" s="5">
        <v>6</v>
      </c>
      <c r="B331" s="5">
        <v>330</v>
      </c>
      <c r="C331" s="50">
        <v>45702</v>
      </c>
      <c r="D331" s="5">
        <v>265</v>
      </c>
      <c r="E331" s="7">
        <v>12</v>
      </c>
      <c r="F331" s="7">
        <v>0.15</v>
      </c>
      <c r="G331" s="7">
        <v>1.9690000000000001</v>
      </c>
      <c r="H331" s="7">
        <v>9.1999999999999993</v>
      </c>
      <c r="I331" s="39" t="s">
        <v>34</v>
      </c>
    </row>
    <row r="332" spans="1:9" ht="15" customHeight="1" x14ac:dyDescent="0.25">
      <c r="A332" s="5">
        <v>7</v>
      </c>
      <c r="B332" s="5">
        <v>331</v>
      </c>
      <c r="C332" s="50">
        <v>45703</v>
      </c>
      <c r="D332" s="5">
        <v>197</v>
      </c>
      <c r="E332" s="7">
        <v>28.8</v>
      </c>
      <c r="F332" s="7">
        <v>0.02</v>
      </c>
      <c r="G332" s="7">
        <v>3.15</v>
      </c>
      <c r="H332" s="7">
        <v>8.6999999999999993</v>
      </c>
    </row>
    <row r="333" spans="1:9" ht="15" customHeight="1" x14ac:dyDescent="0.25">
      <c r="A333" s="5">
        <v>1</v>
      </c>
      <c r="B333" s="5">
        <v>332</v>
      </c>
      <c r="C333" s="50">
        <v>45704</v>
      </c>
      <c r="D333" s="5">
        <v>97</v>
      </c>
      <c r="E333" s="7">
        <v>27.1</v>
      </c>
      <c r="F333" s="7">
        <v>0</v>
      </c>
      <c r="G333" s="7">
        <v>3.15</v>
      </c>
      <c r="H333" s="7">
        <v>15.2</v>
      </c>
    </row>
    <row r="334" spans="1:9" ht="15" customHeight="1" x14ac:dyDescent="0.25">
      <c r="A334" s="5">
        <v>2</v>
      </c>
      <c r="B334" s="5">
        <v>333</v>
      </c>
      <c r="C334" s="50">
        <v>45705</v>
      </c>
      <c r="D334" s="5">
        <v>42</v>
      </c>
      <c r="E334" s="7">
        <v>8.4</v>
      </c>
      <c r="F334" s="7">
        <v>0</v>
      </c>
      <c r="G334" s="7">
        <v>3.15</v>
      </c>
      <c r="H334" s="7">
        <v>11.6</v>
      </c>
      <c r="I334" s="39" t="s">
        <v>35</v>
      </c>
    </row>
    <row r="335" spans="1:9" ht="15" customHeight="1" x14ac:dyDescent="0.25">
      <c r="A335" s="5">
        <v>3</v>
      </c>
      <c r="B335" s="5">
        <v>334</v>
      </c>
      <c r="C335" s="50">
        <v>45706</v>
      </c>
      <c r="D335" s="5">
        <v>36</v>
      </c>
      <c r="E335" s="7">
        <v>3.4</v>
      </c>
      <c r="F335" s="7">
        <v>0</v>
      </c>
      <c r="G335" s="7">
        <v>3.15</v>
      </c>
      <c r="H335" s="7">
        <v>8.9</v>
      </c>
    </row>
    <row r="336" spans="1:9" ht="15" customHeight="1" x14ac:dyDescent="0.25">
      <c r="A336" s="5">
        <v>4</v>
      </c>
      <c r="B336" s="5">
        <v>335</v>
      </c>
      <c r="C336" s="50">
        <v>45707</v>
      </c>
      <c r="D336" s="5">
        <v>57</v>
      </c>
      <c r="E336" s="7">
        <v>8.6</v>
      </c>
      <c r="F336" s="7">
        <v>0</v>
      </c>
      <c r="G336" s="7">
        <v>1.9690000000000001</v>
      </c>
      <c r="H336" s="7">
        <v>8.9</v>
      </c>
    </row>
    <row r="337" spans="1:9" ht="15" customHeight="1" x14ac:dyDescent="0.25">
      <c r="A337" s="5">
        <v>5</v>
      </c>
      <c r="B337" s="5">
        <v>336</v>
      </c>
      <c r="C337" s="50">
        <v>45708</v>
      </c>
      <c r="D337" s="5">
        <v>32</v>
      </c>
      <c r="E337" s="7">
        <v>12.4</v>
      </c>
      <c r="F337" s="7">
        <v>0</v>
      </c>
      <c r="G337" s="7">
        <v>1.9690000000000001</v>
      </c>
      <c r="H337" s="7">
        <v>9.6</v>
      </c>
    </row>
    <row r="338" spans="1:9" ht="15" customHeight="1" x14ac:dyDescent="0.25">
      <c r="A338" s="5">
        <v>6</v>
      </c>
      <c r="B338" s="5">
        <v>337</v>
      </c>
      <c r="C338" s="50">
        <v>45709</v>
      </c>
      <c r="D338" s="5">
        <v>167</v>
      </c>
      <c r="E338" s="7">
        <v>18.100000000000001</v>
      </c>
      <c r="F338" s="7">
        <v>0</v>
      </c>
      <c r="G338" s="7">
        <v>1.9690000000000001</v>
      </c>
      <c r="H338" s="7">
        <v>7.6</v>
      </c>
    </row>
    <row r="339" spans="1:9" ht="15" customHeight="1" x14ac:dyDescent="0.25">
      <c r="A339" s="5">
        <v>7</v>
      </c>
      <c r="B339" s="5">
        <v>338</v>
      </c>
      <c r="C339" s="50">
        <v>45710</v>
      </c>
      <c r="D339" s="5">
        <v>202</v>
      </c>
      <c r="E339" s="7">
        <v>22.6</v>
      </c>
      <c r="F339" s="7">
        <v>0</v>
      </c>
      <c r="G339" s="7">
        <v>1.9690000000000001</v>
      </c>
      <c r="H339" s="7">
        <v>11.2</v>
      </c>
    </row>
    <row r="340" spans="1:9" ht="15" customHeight="1" x14ac:dyDescent="0.25">
      <c r="A340" s="5">
        <v>1</v>
      </c>
      <c r="B340" s="5">
        <v>339</v>
      </c>
      <c r="C340" s="50">
        <v>45711</v>
      </c>
      <c r="D340" s="5">
        <v>23</v>
      </c>
      <c r="E340" s="7">
        <v>31.8</v>
      </c>
      <c r="F340" s="7">
        <v>0</v>
      </c>
      <c r="G340" s="7">
        <v>1.181</v>
      </c>
      <c r="H340" s="7">
        <v>7.1</v>
      </c>
    </row>
    <row r="341" spans="1:9" ht="15" customHeight="1" x14ac:dyDescent="0.25">
      <c r="A341" s="5">
        <v>2</v>
      </c>
      <c r="B341" s="5">
        <v>340</v>
      </c>
      <c r="C341" s="50">
        <v>45712</v>
      </c>
      <c r="D341" s="5">
        <v>28</v>
      </c>
      <c r="E341" s="7">
        <v>43.3</v>
      </c>
      <c r="F341" s="7">
        <v>0</v>
      </c>
      <c r="G341" s="7">
        <v>0</v>
      </c>
      <c r="H341" s="7">
        <v>11.9</v>
      </c>
    </row>
    <row r="342" spans="1:9" ht="15" customHeight="1" x14ac:dyDescent="0.25">
      <c r="A342" s="5">
        <v>3</v>
      </c>
      <c r="B342" s="5">
        <v>341</v>
      </c>
      <c r="C342" s="50">
        <v>45713</v>
      </c>
      <c r="D342" s="5">
        <v>52</v>
      </c>
      <c r="E342" s="7">
        <v>46.9</v>
      </c>
      <c r="F342" s="7">
        <v>0.02</v>
      </c>
      <c r="G342" s="7">
        <v>0</v>
      </c>
      <c r="H342" s="7">
        <v>5.3</v>
      </c>
    </row>
    <row r="343" spans="1:9" ht="15" customHeight="1" x14ac:dyDescent="0.25">
      <c r="A343" s="5">
        <v>4</v>
      </c>
      <c r="B343" s="5">
        <v>342</v>
      </c>
      <c r="C343" s="50">
        <v>45714</v>
      </c>
      <c r="D343" s="5">
        <v>44</v>
      </c>
      <c r="E343" s="7">
        <v>42.3</v>
      </c>
      <c r="F343" s="7">
        <v>7.9000000000000001E-2</v>
      </c>
      <c r="G343" s="7">
        <v>0</v>
      </c>
      <c r="H343" s="7">
        <v>8.1</v>
      </c>
    </row>
    <row r="344" spans="1:9" ht="15" customHeight="1" x14ac:dyDescent="0.25">
      <c r="A344" s="5">
        <v>5</v>
      </c>
      <c r="B344" s="5">
        <v>343</v>
      </c>
      <c r="C344" s="50">
        <v>45715</v>
      </c>
      <c r="D344" s="5">
        <v>77</v>
      </c>
      <c r="E344" s="7">
        <v>41.5</v>
      </c>
      <c r="F344" s="7">
        <v>1.2E-2</v>
      </c>
      <c r="G344" s="7">
        <v>0</v>
      </c>
      <c r="H344" s="7">
        <v>10.5</v>
      </c>
    </row>
    <row r="345" spans="1:9" ht="15" customHeight="1" x14ac:dyDescent="0.25">
      <c r="A345" s="5">
        <v>6</v>
      </c>
      <c r="B345" s="5">
        <v>344</v>
      </c>
      <c r="C345" s="50">
        <v>45716</v>
      </c>
      <c r="D345" s="5">
        <v>152</v>
      </c>
      <c r="E345" s="7">
        <v>44.1</v>
      </c>
      <c r="F345" s="7">
        <v>0</v>
      </c>
      <c r="G345" s="7">
        <v>0</v>
      </c>
      <c r="H345" s="7">
        <v>18.100000000000001</v>
      </c>
    </row>
    <row r="346" spans="1:9" ht="15" customHeight="1" x14ac:dyDescent="0.25">
      <c r="A346" s="5">
        <v>7</v>
      </c>
      <c r="B346" s="5">
        <v>345</v>
      </c>
      <c r="C346" s="50">
        <v>45717</v>
      </c>
      <c r="D346" s="5">
        <v>174</v>
      </c>
      <c r="E346" s="7">
        <v>31.6</v>
      </c>
      <c r="F346" s="7">
        <v>0</v>
      </c>
      <c r="G346" s="7">
        <v>0</v>
      </c>
      <c r="H346" s="7">
        <v>11.2</v>
      </c>
      <c r="I346" s="39" t="s">
        <v>36</v>
      </c>
    </row>
    <row r="347" spans="1:9" ht="15" customHeight="1" x14ac:dyDescent="0.25">
      <c r="A347" s="5">
        <v>1</v>
      </c>
      <c r="B347" s="5">
        <v>346</v>
      </c>
      <c r="C347" s="50">
        <v>45718</v>
      </c>
      <c r="D347" s="5">
        <v>39</v>
      </c>
      <c r="E347" s="7">
        <v>25.7</v>
      </c>
      <c r="F347" s="7">
        <v>0</v>
      </c>
      <c r="G347" s="7">
        <v>0</v>
      </c>
      <c r="H347" s="7">
        <v>4</v>
      </c>
    </row>
    <row r="348" spans="1:9" ht="15" customHeight="1" x14ac:dyDescent="0.25">
      <c r="A348" s="5">
        <v>2</v>
      </c>
      <c r="B348" s="5">
        <v>347</v>
      </c>
      <c r="C348" s="50">
        <v>45719</v>
      </c>
      <c r="D348" s="5">
        <v>44</v>
      </c>
      <c r="E348" s="7">
        <v>36</v>
      </c>
      <c r="F348" s="7">
        <v>0</v>
      </c>
      <c r="G348" s="7">
        <v>0</v>
      </c>
      <c r="H348" s="7">
        <v>10.5</v>
      </c>
    </row>
    <row r="349" spans="1:9" ht="15" customHeight="1" x14ac:dyDescent="0.25">
      <c r="A349" s="5">
        <v>3</v>
      </c>
      <c r="B349" s="5">
        <v>348</v>
      </c>
      <c r="C349" s="50">
        <v>45720</v>
      </c>
      <c r="D349" s="5">
        <v>43</v>
      </c>
      <c r="E349" s="7">
        <v>45.7</v>
      </c>
      <c r="F349" s="7">
        <v>0.64200000000000002</v>
      </c>
      <c r="G349" s="7">
        <v>0</v>
      </c>
      <c r="H349" s="7">
        <v>12.3</v>
      </c>
    </row>
    <row r="350" spans="1:9" ht="15" customHeight="1" x14ac:dyDescent="0.25">
      <c r="A350" s="5">
        <v>4</v>
      </c>
      <c r="B350" s="5">
        <v>349</v>
      </c>
      <c r="C350" s="50">
        <v>45721</v>
      </c>
      <c r="D350" s="5">
        <v>56</v>
      </c>
      <c r="E350" s="7">
        <v>44.2</v>
      </c>
      <c r="F350" s="7">
        <v>0.37</v>
      </c>
      <c r="G350" s="7">
        <v>0</v>
      </c>
      <c r="H350" s="7">
        <v>14.8</v>
      </c>
      <c r="I350" s="39" t="s">
        <v>37</v>
      </c>
    </row>
    <row r="351" spans="1:9" ht="15" customHeight="1" x14ac:dyDescent="0.25">
      <c r="A351" s="5">
        <v>5</v>
      </c>
      <c r="B351" s="5">
        <v>350</v>
      </c>
      <c r="C351" s="50">
        <v>45722</v>
      </c>
      <c r="D351" s="5">
        <v>47</v>
      </c>
      <c r="E351" s="7">
        <v>30.7</v>
      </c>
      <c r="F351" s="7">
        <v>0</v>
      </c>
      <c r="G351" s="7">
        <v>0</v>
      </c>
      <c r="H351" s="7">
        <v>12.2</v>
      </c>
    </row>
    <row r="352" spans="1:9" ht="15" customHeight="1" x14ac:dyDescent="0.25">
      <c r="A352" s="5">
        <v>6</v>
      </c>
      <c r="B352" s="5">
        <v>351</v>
      </c>
      <c r="C352" s="50">
        <v>45723</v>
      </c>
      <c r="D352" s="5">
        <v>86</v>
      </c>
      <c r="E352" s="7">
        <v>35.4</v>
      </c>
      <c r="F352" s="7">
        <v>0.185</v>
      </c>
      <c r="G352" s="7">
        <v>0</v>
      </c>
      <c r="H352" s="7">
        <v>7</v>
      </c>
      <c r="I352" s="39" t="s">
        <v>10</v>
      </c>
    </row>
    <row r="353" spans="1:9" ht="15" customHeight="1" x14ac:dyDescent="0.25">
      <c r="A353" s="5">
        <v>7</v>
      </c>
      <c r="B353" s="5">
        <v>352</v>
      </c>
      <c r="C353" s="50">
        <v>45724</v>
      </c>
      <c r="D353" s="5">
        <v>186</v>
      </c>
      <c r="E353" s="7">
        <v>38.799999999999997</v>
      </c>
      <c r="F353" s="7">
        <v>0</v>
      </c>
      <c r="G353" s="7">
        <v>0</v>
      </c>
      <c r="H353" s="7">
        <v>10.3</v>
      </c>
    </row>
    <row r="354" spans="1:9" ht="15" customHeight="1" x14ac:dyDescent="0.25">
      <c r="A354" s="5">
        <v>1</v>
      </c>
      <c r="B354" s="5">
        <v>353</v>
      </c>
      <c r="C354" s="50">
        <v>45725</v>
      </c>
      <c r="D354" s="5">
        <v>37</v>
      </c>
      <c r="E354" s="7">
        <v>46.6</v>
      </c>
      <c r="F354" s="7">
        <v>0</v>
      </c>
      <c r="G354" s="7">
        <v>0</v>
      </c>
      <c r="H354" s="7">
        <v>8.6999999999999993</v>
      </c>
      <c r="I354" t="s">
        <v>61</v>
      </c>
    </row>
    <row r="355" spans="1:9" ht="15" customHeight="1" x14ac:dyDescent="0.25">
      <c r="A355" s="5">
        <v>2</v>
      </c>
      <c r="B355" s="5">
        <v>354</v>
      </c>
      <c r="C355" s="50">
        <v>45726</v>
      </c>
      <c r="D355" s="5">
        <v>50</v>
      </c>
      <c r="E355" s="7">
        <v>55.5</v>
      </c>
      <c r="F355" s="7">
        <v>0</v>
      </c>
      <c r="G355" s="7">
        <v>0</v>
      </c>
      <c r="H355" s="7">
        <v>9.6</v>
      </c>
    </row>
    <row r="356" spans="1:9" ht="15" customHeight="1" x14ac:dyDescent="0.25">
      <c r="A356" s="5">
        <v>3</v>
      </c>
      <c r="B356" s="5">
        <v>355</v>
      </c>
      <c r="C356" s="50">
        <v>45727</v>
      </c>
      <c r="D356" s="5">
        <v>98</v>
      </c>
      <c r="E356" s="7">
        <v>44.3</v>
      </c>
      <c r="F356" s="7">
        <v>0</v>
      </c>
      <c r="G356" s="7">
        <v>0</v>
      </c>
      <c r="H356" s="7">
        <v>11.3</v>
      </c>
    </row>
    <row r="357" spans="1:9" ht="15" customHeight="1" x14ac:dyDescent="0.25">
      <c r="A357" s="5">
        <v>4</v>
      </c>
      <c r="B357" s="5">
        <v>356</v>
      </c>
      <c r="C357" s="50">
        <v>45728</v>
      </c>
      <c r="D357" s="5">
        <v>39</v>
      </c>
      <c r="E357" s="7">
        <v>43.2</v>
      </c>
      <c r="F357" s="7">
        <v>0</v>
      </c>
      <c r="G357" s="7">
        <v>0</v>
      </c>
      <c r="H357" s="7">
        <v>5.7</v>
      </c>
    </row>
    <row r="358" spans="1:9" ht="15" customHeight="1" x14ac:dyDescent="0.25">
      <c r="A358" s="5">
        <v>5</v>
      </c>
      <c r="B358" s="5">
        <v>357</v>
      </c>
      <c r="C358" s="50">
        <v>45729</v>
      </c>
      <c r="D358" s="5">
        <v>45</v>
      </c>
      <c r="E358" s="7">
        <v>47.1</v>
      </c>
      <c r="F358" s="7">
        <v>0</v>
      </c>
      <c r="G358" s="7">
        <v>0</v>
      </c>
      <c r="H358" s="7">
        <v>5.7</v>
      </c>
    </row>
    <row r="359" spans="1:9" ht="15" customHeight="1" x14ac:dyDescent="0.25">
      <c r="A359" s="5">
        <v>6</v>
      </c>
      <c r="B359" s="5">
        <v>358</v>
      </c>
      <c r="C359" s="50">
        <v>45730</v>
      </c>
      <c r="D359" s="5">
        <v>116</v>
      </c>
      <c r="E359" s="7">
        <v>58.3</v>
      </c>
      <c r="F359" s="7">
        <v>0.15</v>
      </c>
      <c r="G359" s="7">
        <v>0</v>
      </c>
      <c r="H359" s="7">
        <v>17</v>
      </c>
      <c r="I359" s="39" t="s">
        <v>10</v>
      </c>
    </row>
    <row r="360" spans="1:9" ht="15" customHeight="1" x14ac:dyDescent="0.25">
      <c r="A360" s="5">
        <v>7</v>
      </c>
      <c r="B360" s="5">
        <v>359</v>
      </c>
      <c r="C360" s="50">
        <v>45731</v>
      </c>
      <c r="D360" s="5">
        <v>180</v>
      </c>
      <c r="E360" s="7">
        <v>62.8</v>
      </c>
      <c r="F360" s="7">
        <v>0.311</v>
      </c>
      <c r="G360" s="7">
        <v>0</v>
      </c>
      <c r="H360" s="7">
        <v>15.2</v>
      </c>
    </row>
    <row r="361" spans="1:9" ht="15" customHeight="1" x14ac:dyDescent="0.25">
      <c r="A361" s="5">
        <v>1</v>
      </c>
      <c r="B361" s="5">
        <v>360</v>
      </c>
      <c r="C361" s="50">
        <v>45732</v>
      </c>
      <c r="D361" s="5">
        <v>110</v>
      </c>
      <c r="E361" s="7">
        <v>37.4</v>
      </c>
      <c r="F361" s="7">
        <v>0.20899999999999999</v>
      </c>
      <c r="G361" s="7">
        <v>1</v>
      </c>
      <c r="H361" s="7">
        <v>8.9</v>
      </c>
    </row>
    <row r="362" spans="1:9" ht="15" customHeight="1" x14ac:dyDescent="0.25">
      <c r="A362" s="5">
        <v>2</v>
      </c>
      <c r="B362" s="5">
        <v>361</v>
      </c>
      <c r="C362" s="50">
        <v>45733</v>
      </c>
      <c r="D362" s="5">
        <v>4</v>
      </c>
      <c r="E362" s="7">
        <v>36.700000000000003</v>
      </c>
      <c r="F362" s="7">
        <v>0.5</v>
      </c>
      <c r="G362" s="7">
        <v>0</v>
      </c>
      <c r="H362" s="7">
        <v>12.7</v>
      </c>
      <c r="I362" s="39" t="s">
        <v>38</v>
      </c>
    </row>
    <row r="363" spans="1:9" ht="15" customHeight="1" x14ac:dyDescent="0.25">
      <c r="A363" s="5">
        <v>3</v>
      </c>
      <c r="B363" s="5">
        <v>362</v>
      </c>
      <c r="C363" s="50">
        <v>45734</v>
      </c>
      <c r="D363" s="5">
        <v>33</v>
      </c>
      <c r="E363" s="7">
        <v>53.4</v>
      </c>
      <c r="F363" s="7">
        <v>0</v>
      </c>
      <c r="G363" s="7">
        <v>0</v>
      </c>
      <c r="H363" s="7">
        <v>11.4</v>
      </c>
    </row>
    <row r="364" spans="1:9" ht="15" customHeight="1" x14ac:dyDescent="0.25">
      <c r="A364" s="5">
        <v>4</v>
      </c>
      <c r="B364" s="5">
        <v>363</v>
      </c>
      <c r="C364" s="50">
        <v>45735</v>
      </c>
      <c r="D364" s="5">
        <v>57</v>
      </c>
      <c r="E364" s="7">
        <v>44.4</v>
      </c>
      <c r="F364" s="7">
        <v>0.53900000000000003</v>
      </c>
      <c r="G364" s="7">
        <v>0</v>
      </c>
      <c r="H364" s="7">
        <v>14.5</v>
      </c>
    </row>
    <row r="365" spans="1:9" ht="15" customHeight="1" x14ac:dyDescent="0.25">
      <c r="A365" s="5">
        <v>5</v>
      </c>
      <c r="B365" s="5">
        <v>364</v>
      </c>
      <c r="C365" s="50">
        <v>45736</v>
      </c>
      <c r="D365" s="5">
        <v>108</v>
      </c>
      <c r="E365" s="7">
        <v>37</v>
      </c>
      <c r="F365" s="7">
        <v>0.22</v>
      </c>
      <c r="G365" s="7">
        <v>1.9690000000000001</v>
      </c>
      <c r="H365" s="7">
        <v>12.6</v>
      </c>
    </row>
    <row r="366" spans="1:9" ht="15" customHeight="1" x14ac:dyDescent="0.25">
      <c r="A366" s="5">
        <v>6</v>
      </c>
      <c r="B366" s="5">
        <v>365</v>
      </c>
      <c r="C366" s="50">
        <v>45737</v>
      </c>
      <c r="D366" s="5">
        <v>103</v>
      </c>
      <c r="E366" s="7">
        <v>41.9</v>
      </c>
      <c r="F366" s="7">
        <v>0</v>
      </c>
      <c r="G366" s="7">
        <v>0</v>
      </c>
      <c r="H366" s="7">
        <v>15.3</v>
      </c>
      <c r="I366" s="39" t="s">
        <v>10</v>
      </c>
    </row>
    <row r="367" spans="1:9" ht="15" customHeight="1" x14ac:dyDescent="0.25">
      <c r="A367" s="5">
        <v>7</v>
      </c>
      <c r="B367" s="5">
        <v>366</v>
      </c>
      <c r="C367" s="50">
        <v>45738</v>
      </c>
      <c r="D367" s="5">
        <v>186</v>
      </c>
      <c r="E367" s="7">
        <v>44.6</v>
      </c>
      <c r="F367" s="7">
        <v>0</v>
      </c>
      <c r="G367" s="7">
        <v>0</v>
      </c>
      <c r="H367" s="7">
        <v>10.3</v>
      </c>
    </row>
    <row r="368" spans="1:9" ht="15" customHeight="1" x14ac:dyDescent="0.25">
      <c r="A368" s="5">
        <v>1</v>
      </c>
      <c r="B368" s="5">
        <v>367</v>
      </c>
      <c r="C368" s="50">
        <v>45739</v>
      </c>
      <c r="D368" s="5">
        <v>46</v>
      </c>
      <c r="E368" s="7">
        <v>39.9</v>
      </c>
      <c r="F368" s="7">
        <v>0.22</v>
      </c>
      <c r="G368" s="7">
        <v>0</v>
      </c>
      <c r="H368" s="7">
        <v>14.3</v>
      </c>
    </row>
    <row r="369" spans="1:9" ht="15" customHeight="1" x14ac:dyDescent="0.25">
      <c r="A369" s="5">
        <v>2</v>
      </c>
      <c r="B369" s="5">
        <v>368</v>
      </c>
      <c r="C369" s="50">
        <v>45740</v>
      </c>
      <c r="D369" s="5">
        <v>38</v>
      </c>
      <c r="E369" s="7">
        <v>39.4</v>
      </c>
      <c r="F369" s="7">
        <v>0</v>
      </c>
      <c r="G369" s="7">
        <v>0</v>
      </c>
      <c r="H369" s="7">
        <v>15.9</v>
      </c>
    </row>
    <row r="370" spans="1:9" ht="15" customHeight="1" x14ac:dyDescent="0.25">
      <c r="A370" s="5">
        <v>3</v>
      </c>
      <c r="B370" s="5">
        <v>369</v>
      </c>
      <c r="C370" s="50">
        <v>45741</v>
      </c>
      <c r="D370" s="5">
        <v>75</v>
      </c>
      <c r="E370" s="7">
        <v>39.700000000000003</v>
      </c>
      <c r="F370" s="7">
        <v>2.8000000000000001E-2</v>
      </c>
      <c r="G370" s="7">
        <v>0</v>
      </c>
      <c r="H370" s="7">
        <v>8</v>
      </c>
    </row>
    <row r="371" spans="1:9" ht="15" customHeight="1" x14ac:dyDescent="0.25">
      <c r="A371" s="5">
        <v>4</v>
      </c>
      <c r="B371" s="5">
        <v>370</v>
      </c>
      <c r="C371" s="50">
        <v>45742</v>
      </c>
      <c r="D371" s="5">
        <v>34</v>
      </c>
      <c r="E371" s="7">
        <v>41.2</v>
      </c>
      <c r="F371" s="7">
        <v>0</v>
      </c>
      <c r="G371" s="7">
        <v>0</v>
      </c>
      <c r="H371" s="7">
        <v>4.3</v>
      </c>
    </row>
    <row r="372" spans="1:9" ht="15" customHeight="1" x14ac:dyDescent="0.25">
      <c r="A372" s="5">
        <v>5</v>
      </c>
      <c r="B372" s="5">
        <v>371</v>
      </c>
      <c r="C372" s="50">
        <v>45743</v>
      </c>
      <c r="D372" s="5">
        <v>35</v>
      </c>
      <c r="E372" s="7">
        <v>48.7</v>
      </c>
      <c r="F372" s="7">
        <v>0</v>
      </c>
      <c r="G372" s="7">
        <v>0</v>
      </c>
      <c r="H372" s="7">
        <v>7.6</v>
      </c>
    </row>
    <row r="373" spans="1:9" ht="15" customHeight="1" x14ac:dyDescent="0.25">
      <c r="A373" s="5">
        <v>6</v>
      </c>
      <c r="B373" s="5">
        <v>372</v>
      </c>
      <c r="C373" s="50">
        <v>45744</v>
      </c>
      <c r="D373" s="5">
        <v>118</v>
      </c>
      <c r="E373" s="7">
        <v>63.5</v>
      </c>
      <c r="F373" s="7">
        <v>0</v>
      </c>
      <c r="G373" s="7">
        <v>0</v>
      </c>
      <c r="H373" s="7">
        <v>14.2</v>
      </c>
      <c r="I373" s="39" t="s">
        <v>10</v>
      </c>
    </row>
    <row r="374" spans="1:9" ht="15" customHeight="1" x14ac:dyDescent="0.25">
      <c r="A374" s="5">
        <v>7</v>
      </c>
      <c r="B374" s="5">
        <v>373</v>
      </c>
      <c r="C374" s="50">
        <v>45745</v>
      </c>
      <c r="D374" s="5">
        <v>143</v>
      </c>
      <c r="E374" s="7">
        <v>59.5</v>
      </c>
      <c r="F374" s="7">
        <v>2.8000000000000001E-2</v>
      </c>
      <c r="G374" s="7">
        <v>0</v>
      </c>
      <c r="H374" s="7">
        <v>12.1</v>
      </c>
    </row>
    <row r="375" spans="1:9" ht="15" customHeight="1" x14ac:dyDescent="0.25">
      <c r="A375" s="5">
        <v>1</v>
      </c>
      <c r="B375" s="5">
        <v>374</v>
      </c>
      <c r="C375" s="50">
        <v>45746</v>
      </c>
      <c r="D375" s="5">
        <v>48</v>
      </c>
      <c r="E375" s="7">
        <v>55.4</v>
      </c>
      <c r="F375" s="7">
        <v>0.81499999999999995</v>
      </c>
      <c r="G375" s="7">
        <v>0</v>
      </c>
      <c r="H375" s="7">
        <v>12.2</v>
      </c>
    </row>
    <row r="376" spans="1:9" ht="15" customHeight="1" x14ac:dyDescent="0.25">
      <c r="A376" s="5">
        <v>2</v>
      </c>
      <c r="B376" s="5">
        <v>375</v>
      </c>
      <c r="C376" s="50">
        <v>45747</v>
      </c>
      <c r="D376" s="5">
        <v>56</v>
      </c>
      <c r="E376" s="7">
        <v>39.700000000000003</v>
      </c>
      <c r="F376" s="7">
        <v>4.0000000000000001E-3</v>
      </c>
      <c r="G376" s="7">
        <v>0</v>
      </c>
      <c r="H376" s="7">
        <v>11.1</v>
      </c>
    </row>
    <row r="377" spans="1:9" ht="15" customHeight="1" x14ac:dyDescent="0.25">
      <c r="A377" s="5">
        <v>3</v>
      </c>
      <c r="B377" s="5">
        <v>376</v>
      </c>
      <c r="C377" s="50">
        <v>45748</v>
      </c>
      <c r="D377" s="5">
        <v>46</v>
      </c>
      <c r="E377" s="7">
        <v>37.799999999999997</v>
      </c>
      <c r="F377" s="7">
        <v>4.0000000000000001E-3</v>
      </c>
      <c r="G377" s="7">
        <v>0</v>
      </c>
      <c r="H377" s="7">
        <v>13.2</v>
      </c>
    </row>
    <row r="378" spans="1:9" ht="15" customHeight="1" x14ac:dyDescent="0.25">
      <c r="A378" s="5">
        <v>4</v>
      </c>
      <c r="B378" s="5">
        <v>377</v>
      </c>
      <c r="C378" s="50">
        <v>45749</v>
      </c>
      <c r="D378" s="5">
        <v>44</v>
      </c>
      <c r="E378" s="7">
        <v>46</v>
      </c>
      <c r="F378" s="7">
        <v>1.252</v>
      </c>
      <c r="G378" s="7">
        <v>0</v>
      </c>
      <c r="H378" s="7">
        <v>14.3</v>
      </c>
    </row>
    <row r="379" spans="1:9" ht="15" customHeight="1" x14ac:dyDescent="0.25">
      <c r="A379" s="5">
        <v>5</v>
      </c>
      <c r="B379" s="5">
        <v>378</v>
      </c>
      <c r="C379" s="50">
        <v>45750</v>
      </c>
      <c r="D379" s="5">
        <v>35</v>
      </c>
      <c r="E379" s="7">
        <v>52.5</v>
      </c>
      <c r="F379" s="7">
        <v>0</v>
      </c>
      <c r="G379" s="7">
        <v>0</v>
      </c>
      <c r="H379" s="7">
        <v>12.9</v>
      </c>
    </row>
    <row r="380" spans="1:9" ht="15" customHeight="1" x14ac:dyDescent="0.25">
      <c r="A380" s="5">
        <v>6</v>
      </c>
      <c r="B380" s="5">
        <v>379</v>
      </c>
      <c r="C380" s="50">
        <v>45751</v>
      </c>
      <c r="D380" s="5">
        <v>82</v>
      </c>
      <c r="E380" s="7">
        <v>44.1</v>
      </c>
      <c r="F380" s="7">
        <v>0.35</v>
      </c>
      <c r="G380" s="7">
        <v>0</v>
      </c>
      <c r="H380" s="7">
        <v>10.8</v>
      </c>
      <c r="I380" s="39" t="s">
        <v>10</v>
      </c>
    </row>
    <row r="381" spans="1:9" ht="15" customHeight="1" x14ac:dyDescent="0.25">
      <c r="A381" s="5">
        <v>7</v>
      </c>
      <c r="B381" s="5">
        <v>380</v>
      </c>
      <c r="C381" s="50">
        <v>45752</v>
      </c>
      <c r="D381" s="5">
        <v>101</v>
      </c>
      <c r="E381" s="7">
        <v>45.9</v>
      </c>
      <c r="F381" s="7">
        <v>1.2E-2</v>
      </c>
      <c r="G381" s="7">
        <v>0</v>
      </c>
      <c r="H381" s="7">
        <v>10.9</v>
      </c>
    </row>
    <row r="382" spans="1:9" ht="15" customHeight="1" x14ac:dyDescent="0.25">
      <c r="A382" s="5">
        <v>1</v>
      </c>
      <c r="B382" s="5">
        <v>381</v>
      </c>
      <c r="C382" s="50">
        <v>45753</v>
      </c>
      <c r="D382" s="5">
        <v>38</v>
      </c>
      <c r="E382" s="7">
        <v>41.9</v>
      </c>
      <c r="F382" s="7">
        <v>0</v>
      </c>
      <c r="G382" s="7">
        <v>0</v>
      </c>
      <c r="H382" s="7">
        <v>8.6</v>
      </c>
    </row>
    <row r="383" spans="1:9" ht="15" customHeight="1" x14ac:dyDescent="0.25">
      <c r="A383" s="5">
        <v>2</v>
      </c>
      <c r="B383" s="5">
        <v>382</v>
      </c>
      <c r="C383" s="50">
        <v>45754</v>
      </c>
      <c r="D383" s="5">
        <v>68</v>
      </c>
      <c r="E383" s="7">
        <v>37.4</v>
      </c>
      <c r="F383" s="7">
        <v>0.02</v>
      </c>
      <c r="G383" s="7">
        <v>0</v>
      </c>
      <c r="H383" s="7">
        <v>15.4</v>
      </c>
    </row>
    <row r="384" spans="1:9" ht="15" customHeight="1" x14ac:dyDescent="0.25">
      <c r="A384" s="5">
        <v>3</v>
      </c>
      <c r="B384" s="5">
        <v>383</v>
      </c>
      <c r="C384" s="50">
        <v>45755</v>
      </c>
      <c r="D384" s="5">
        <v>81</v>
      </c>
      <c r="E384" s="7">
        <v>33.799999999999997</v>
      </c>
      <c r="F384" s="7">
        <v>0</v>
      </c>
      <c r="G384" s="7">
        <v>0</v>
      </c>
      <c r="H384" s="7">
        <v>7.9</v>
      </c>
    </row>
    <row r="385" spans="1:9" ht="15" customHeight="1" x14ac:dyDescent="0.25">
      <c r="A385" s="5">
        <v>4</v>
      </c>
      <c r="B385" s="5">
        <v>384</v>
      </c>
      <c r="C385" s="50">
        <v>45756</v>
      </c>
      <c r="D385" s="5">
        <v>22</v>
      </c>
      <c r="E385" s="7">
        <v>39.700000000000003</v>
      </c>
      <c r="F385" s="7">
        <v>7.0999999999999994E-2</v>
      </c>
      <c r="G385" s="7">
        <v>0</v>
      </c>
      <c r="H385" s="7">
        <v>9.4</v>
      </c>
    </row>
    <row r="386" spans="1:9" ht="15" customHeight="1" x14ac:dyDescent="0.25">
      <c r="A386" s="5">
        <v>5</v>
      </c>
      <c r="B386" s="5">
        <v>385</v>
      </c>
      <c r="C386" s="50">
        <v>45757</v>
      </c>
      <c r="D386" s="5">
        <v>62</v>
      </c>
      <c r="E386" s="7">
        <v>39.9</v>
      </c>
      <c r="F386" s="7">
        <v>0.12</v>
      </c>
      <c r="G386" s="7">
        <v>0</v>
      </c>
      <c r="H386" s="7">
        <v>10.3</v>
      </c>
    </row>
    <row r="387" spans="1:9" ht="15" customHeight="1" x14ac:dyDescent="0.25">
      <c r="A387" s="5">
        <v>6</v>
      </c>
      <c r="B387" s="5">
        <v>386</v>
      </c>
      <c r="C387" s="50">
        <v>45758</v>
      </c>
      <c r="D387" s="5">
        <v>113</v>
      </c>
      <c r="E387" s="7">
        <v>44.1</v>
      </c>
      <c r="F387" s="7">
        <v>0</v>
      </c>
      <c r="G387" s="7">
        <v>0</v>
      </c>
      <c r="H387" s="7">
        <v>8.3000000000000007</v>
      </c>
      <c r="I387" s="39" t="s">
        <v>10</v>
      </c>
    </row>
    <row r="388" spans="1:9" ht="15" customHeight="1" x14ac:dyDescent="0.25">
      <c r="A388" s="5">
        <v>7</v>
      </c>
      <c r="B388" s="5">
        <v>387</v>
      </c>
      <c r="C388" s="50">
        <v>45759</v>
      </c>
      <c r="D388" s="5">
        <v>156</v>
      </c>
      <c r="E388" s="7">
        <v>47.8</v>
      </c>
      <c r="F388" s="7">
        <v>0</v>
      </c>
      <c r="G388" s="7">
        <v>0</v>
      </c>
      <c r="H388" s="7">
        <v>6.2</v>
      </c>
    </row>
    <row r="389" spans="1:9" ht="15" customHeight="1" x14ac:dyDescent="0.25">
      <c r="A389" s="5">
        <v>1</v>
      </c>
      <c r="B389" s="5">
        <v>388</v>
      </c>
      <c r="C389" s="50">
        <v>45760</v>
      </c>
      <c r="D389" s="5">
        <v>44</v>
      </c>
      <c r="E389" s="7">
        <v>55.8</v>
      </c>
      <c r="F389" s="7">
        <v>0</v>
      </c>
      <c r="G389" s="7">
        <v>0</v>
      </c>
      <c r="H389" s="7">
        <v>12.8</v>
      </c>
    </row>
    <row r="390" spans="1:9" ht="15" customHeight="1" x14ac:dyDescent="0.25">
      <c r="A390" s="5">
        <v>2</v>
      </c>
      <c r="B390" s="5">
        <v>389</v>
      </c>
      <c r="C390" s="50">
        <v>45761</v>
      </c>
      <c r="D390" s="5">
        <v>62</v>
      </c>
      <c r="E390" s="7">
        <v>59.7</v>
      </c>
      <c r="F390" s="7">
        <v>0</v>
      </c>
      <c r="G390" s="7">
        <v>0</v>
      </c>
      <c r="H390" s="7">
        <v>14.7</v>
      </c>
    </row>
    <row r="391" spans="1:9" ht="15" customHeight="1" x14ac:dyDescent="0.25">
      <c r="A391" s="5">
        <v>3</v>
      </c>
      <c r="B391" s="5">
        <v>390</v>
      </c>
      <c r="C391" s="50">
        <v>45762</v>
      </c>
      <c r="D391" s="5">
        <v>40</v>
      </c>
      <c r="E391" s="7">
        <v>49.3</v>
      </c>
      <c r="F391" s="7">
        <v>1.6E-2</v>
      </c>
      <c r="G391" s="7">
        <v>0</v>
      </c>
      <c r="H391" s="7">
        <v>14.3</v>
      </c>
    </row>
    <row r="392" spans="1:9" ht="15" customHeight="1" x14ac:dyDescent="0.25">
      <c r="A392" s="5">
        <v>4</v>
      </c>
      <c r="B392" s="5">
        <v>391</v>
      </c>
      <c r="C392" s="50">
        <v>45763</v>
      </c>
      <c r="D392" s="5">
        <v>57</v>
      </c>
      <c r="E392" s="7">
        <v>44.2</v>
      </c>
      <c r="F392" s="7">
        <v>0</v>
      </c>
      <c r="G392" s="7">
        <v>0</v>
      </c>
      <c r="H392" s="7">
        <v>7.4</v>
      </c>
    </row>
    <row r="393" spans="1:9" ht="15" customHeight="1" x14ac:dyDescent="0.25">
      <c r="A393" s="5">
        <v>5</v>
      </c>
      <c r="B393" s="5">
        <v>392</v>
      </c>
      <c r="C393" s="50">
        <v>45764</v>
      </c>
      <c r="D393" s="5">
        <v>66</v>
      </c>
      <c r="E393" s="7">
        <v>48.9</v>
      </c>
      <c r="F393" s="7">
        <v>5.0999999999999997E-2</v>
      </c>
      <c r="G393" s="7">
        <v>0</v>
      </c>
      <c r="H393" s="7">
        <v>14.3</v>
      </c>
    </row>
    <row r="394" spans="1:9" ht="15" customHeight="1" x14ac:dyDescent="0.25">
      <c r="A394" s="5">
        <v>6</v>
      </c>
      <c r="B394" s="5">
        <v>393</v>
      </c>
      <c r="C394" s="50">
        <v>45765</v>
      </c>
      <c r="D394" s="5">
        <v>142</v>
      </c>
      <c r="E394" s="7">
        <v>65.8</v>
      </c>
      <c r="F394" s="7">
        <v>5.8999999999999997E-2</v>
      </c>
      <c r="G394" s="7">
        <v>0</v>
      </c>
      <c r="H394" s="7">
        <v>16.100000000000001</v>
      </c>
      <c r="I394" s="39" t="s">
        <v>11</v>
      </c>
    </row>
    <row r="395" spans="1:9" ht="15" customHeight="1" x14ac:dyDescent="0.25">
      <c r="A395" s="5">
        <v>7</v>
      </c>
      <c r="B395" s="5">
        <v>394</v>
      </c>
      <c r="C395" s="50">
        <v>45766</v>
      </c>
      <c r="D395" s="5">
        <v>149</v>
      </c>
      <c r="E395" s="7">
        <v>56.5</v>
      </c>
      <c r="F395" s="7">
        <v>0</v>
      </c>
      <c r="G395" s="7">
        <v>0</v>
      </c>
      <c r="H395" s="7">
        <v>7</v>
      </c>
    </row>
    <row r="396" spans="1:9" ht="15" customHeight="1" x14ac:dyDescent="0.25">
      <c r="A396" s="5">
        <v>1</v>
      </c>
      <c r="B396" s="5">
        <v>395</v>
      </c>
      <c r="C396" s="50">
        <v>45767</v>
      </c>
      <c r="D396" s="5">
        <v>29</v>
      </c>
      <c r="E396" s="7">
        <v>50.7</v>
      </c>
      <c r="F396" s="7">
        <v>0.35</v>
      </c>
      <c r="G396" s="7">
        <v>0</v>
      </c>
      <c r="H396" s="7">
        <v>11.7</v>
      </c>
      <c r="I396" s="39" t="s">
        <v>12</v>
      </c>
    </row>
    <row r="397" spans="1:9" ht="15" customHeight="1" x14ac:dyDescent="0.25">
      <c r="A397" s="5">
        <v>2</v>
      </c>
      <c r="B397" s="5">
        <v>396</v>
      </c>
      <c r="C397" s="50">
        <v>45768</v>
      </c>
      <c r="D397" s="5">
        <v>47</v>
      </c>
      <c r="E397" s="7">
        <v>57.2</v>
      </c>
      <c r="F397" s="7">
        <v>0.4</v>
      </c>
      <c r="G397" s="7">
        <v>0</v>
      </c>
      <c r="H397" s="7">
        <v>11.1</v>
      </c>
    </row>
    <row r="398" spans="1:9" ht="15" customHeight="1" x14ac:dyDescent="0.25">
      <c r="A398" s="5">
        <v>3</v>
      </c>
      <c r="B398" s="5">
        <v>397</v>
      </c>
      <c r="C398" s="50">
        <v>45769</v>
      </c>
      <c r="D398" s="5">
        <v>94</v>
      </c>
      <c r="E398" s="7">
        <v>58.6</v>
      </c>
      <c r="F398" s="7">
        <v>0.13800000000000001</v>
      </c>
      <c r="G398" s="7">
        <v>0</v>
      </c>
      <c r="H398" s="7">
        <v>8.3000000000000007</v>
      </c>
    </row>
    <row r="399" spans="1:9" ht="15" customHeight="1" x14ac:dyDescent="0.25">
      <c r="A399" s="5">
        <v>4</v>
      </c>
      <c r="B399" s="5">
        <v>398</v>
      </c>
      <c r="C399" s="50">
        <v>45770</v>
      </c>
      <c r="D399" s="5">
        <v>114</v>
      </c>
      <c r="E399" s="7">
        <v>64.8</v>
      </c>
      <c r="F399" s="7">
        <v>5.8999999999999997E-2</v>
      </c>
      <c r="G399" s="7">
        <v>0</v>
      </c>
      <c r="H399" s="7">
        <v>6.7</v>
      </c>
    </row>
    <row r="400" spans="1:9" ht="15" customHeight="1" x14ac:dyDescent="0.25">
      <c r="A400" s="5">
        <v>5</v>
      </c>
      <c r="B400" s="5">
        <v>399</v>
      </c>
      <c r="C400" s="50">
        <v>45771</v>
      </c>
      <c r="D400" s="5">
        <v>86</v>
      </c>
      <c r="E400" s="7">
        <v>59.7</v>
      </c>
      <c r="F400" s="7">
        <v>0</v>
      </c>
      <c r="G400" s="7">
        <v>0</v>
      </c>
      <c r="H400" s="7">
        <v>8.1999999999999993</v>
      </c>
    </row>
    <row r="401" spans="1:9" ht="15" customHeight="1" x14ac:dyDescent="0.25">
      <c r="A401" s="5">
        <v>6</v>
      </c>
      <c r="B401" s="5">
        <v>400</v>
      </c>
      <c r="C401" s="50">
        <v>45772</v>
      </c>
      <c r="D401" s="5">
        <v>139</v>
      </c>
      <c r="E401" s="7">
        <v>52</v>
      </c>
      <c r="F401" s="7">
        <v>0.13</v>
      </c>
      <c r="G401" s="7">
        <v>0</v>
      </c>
      <c r="H401" s="7">
        <v>13</v>
      </c>
    </row>
    <row r="402" spans="1:9" ht="15" customHeight="1" x14ac:dyDescent="0.25">
      <c r="A402" s="5">
        <v>7</v>
      </c>
      <c r="B402" s="5">
        <v>401</v>
      </c>
      <c r="C402" s="50">
        <v>45773</v>
      </c>
      <c r="D402" s="5">
        <v>181</v>
      </c>
      <c r="E402" s="7">
        <v>48.2</v>
      </c>
      <c r="F402" s="7">
        <v>0</v>
      </c>
      <c r="G402" s="7">
        <v>0</v>
      </c>
      <c r="H402" s="7">
        <v>12.7</v>
      </c>
    </row>
    <row r="403" spans="1:9" ht="15" customHeight="1" x14ac:dyDescent="0.25">
      <c r="A403" s="5">
        <v>1</v>
      </c>
      <c r="B403" s="5">
        <v>402</v>
      </c>
      <c r="C403" s="50">
        <v>45774</v>
      </c>
      <c r="D403" s="5">
        <v>50</v>
      </c>
      <c r="E403" s="7">
        <v>53.6</v>
      </c>
      <c r="F403" s="7">
        <v>0</v>
      </c>
      <c r="G403" s="7">
        <v>0</v>
      </c>
      <c r="H403" s="7">
        <v>7.4</v>
      </c>
    </row>
    <row r="404" spans="1:9" ht="15" customHeight="1" x14ac:dyDescent="0.25">
      <c r="A404" s="5">
        <v>2</v>
      </c>
      <c r="B404" s="5">
        <v>403</v>
      </c>
      <c r="C404" s="50">
        <v>45775</v>
      </c>
      <c r="D404" s="5">
        <v>70</v>
      </c>
      <c r="E404" s="7">
        <v>69.400000000000006</v>
      </c>
      <c r="F404" s="7">
        <v>8.0000000000000002E-3</v>
      </c>
      <c r="G404" s="7">
        <v>0</v>
      </c>
      <c r="H404" s="7">
        <v>15.2</v>
      </c>
    </row>
    <row r="405" spans="1:9" ht="15" customHeight="1" x14ac:dyDescent="0.25">
      <c r="A405" s="5">
        <v>3</v>
      </c>
      <c r="B405" s="5">
        <v>404</v>
      </c>
      <c r="C405" s="50">
        <v>45776</v>
      </c>
      <c r="D405" s="5">
        <v>77</v>
      </c>
      <c r="E405" s="7">
        <v>66.2</v>
      </c>
      <c r="F405" s="7">
        <v>0.28699999999999998</v>
      </c>
      <c r="G405" s="7">
        <v>0</v>
      </c>
      <c r="H405" s="7">
        <v>15</v>
      </c>
    </row>
    <row r="406" spans="1:9" ht="15" customHeight="1" x14ac:dyDescent="0.25">
      <c r="A406" s="5">
        <v>4</v>
      </c>
      <c r="B406" s="5">
        <v>405</v>
      </c>
      <c r="C406" s="50">
        <v>45777</v>
      </c>
      <c r="D406" s="5">
        <v>59</v>
      </c>
      <c r="E406" s="7">
        <v>54.1</v>
      </c>
      <c r="F406" s="7">
        <v>3.9E-2</v>
      </c>
      <c r="G406" s="7">
        <v>0</v>
      </c>
      <c r="H406" s="7">
        <v>8.1</v>
      </c>
    </row>
    <row r="407" spans="1:9" ht="15" customHeight="1" x14ac:dyDescent="0.25">
      <c r="A407" s="5">
        <v>5</v>
      </c>
      <c r="B407" s="5">
        <v>406</v>
      </c>
      <c r="C407" s="50">
        <v>45778</v>
      </c>
      <c r="D407" s="5">
        <v>56</v>
      </c>
      <c r="E407" s="7">
        <v>56.7</v>
      </c>
      <c r="F407" s="7">
        <v>2.1000000000000001E-2</v>
      </c>
      <c r="G407" s="7">
        <v>0</v>
      </c>
      <c r="H407" s="7">
        <v>9.8000000000000007</v>
      </c>
    </row>
    <row r="408" spans="1:9" ht="15" customHeight="1" x14ac:dyDescent="0.25">
      <c r="A408" s="5">
        <v>6</v>
      </c>
      <c r="B408" s="5">
        <v>407</v>
      </c>
      <c r="C408" s="50">
        <v>45779</v>
      </c>
      <c r="D408" s="5">
        <v>103</v>
      </c>
      <c r="E408" s="7">
        <v>59.4</v>
      </c>
      <c r="F408" s="7">
        <v>0</v>
      </c>
      <c r="G408" s="7">
        <v>0</v>
      </c>
      <c r="H408" s="7">
        <v>7.5</v>
      </c>
    </row>
    <row r="409" spans="1:9" ht="15" customHeight="1" x14ac:dyDescent="0.25">
      <c r="A409" s="5">
        <v>7</v>
      </c>
      <c r="B409" s="5">
        <v>408</v>
      </c>
      <c r="C409" s="50">
        <v>45780</v>
      </c>
      <c r="D409" s="5">
        <v>168</v>
      </c>
      <c r="E409" s="7">
        <v>48.6</v>
      </c>
      <c r="F409" s="7">
        <v>1.6E-2</v>
      </c>
      <c r="G409" s="7">
        <v>0</v>
      </c>
      <c r="H409" s="7">
        <v>15.1</v>
      </c>
    </row>
    <row r="410" spans="1:9" ht="15" customHeight="1" x14ac:dyDescent="0.25">
      <c r="A410" s="5">
        <v>1</v>
      </c>
      <c r="B410" s="5">
        <v>409</v>
      </c>
      <c r="C410" s="50">
        <v>45781</v>
      </c>
      <c r="D410" s="5">
        <v>51</v>
      </c>
      <c r="E410" s="7">
        <v>49.5</v>
      </c>
      <c r="F410" s="7">
        <v>0.185</v>
      </c>
      <c r="G410" s="7">
        <v>0</v>
      </c>
      <c r="H410" s="7">
        <v>14.9</v>
      </c>
    </row>
    <row r="411" spans="1:9" ht="15" customHeight="1" x14ac:dyDescent="0.25">
      <c r="A411" s="5">
        <v>2</v>
      </c>
      <c r="B411" s="5">
        <v>410</v>
      </c>
      <c r="C411" s="50">
        <v>45782</v>
      </c>
      <c r="D411" s="5">
        <v>107</v>
      </c>
      <c r="E411" s="7">
        <v>52.7</v>
      </c>
      <c r="F411" s="7">
        <v>5.0999999999999997E-2</v>
      </c>
      <c r="G411" s="7">
        <v>0</v>
      </c>
      <c r="H411" s="7">
        <v>9.6999999999999993</v>
      </c>
      <c r="I411" s="39" t="s">
        <v>13</v>
      </c>
    </row>
    <row r="412" spans="1:9" ht="15" customHeight="1" x14ac:dyDescent="0.25">
      <c r="A412" s="5">
        <v>3</v>
      </c>
      <c r="B412" s="5">
        <v>411</v>
      </c>
      <c r="C412" s="50">
        <v>45783</v>
      </c>
      <c r="D412" s="5">
        <v>52</v>
      </c>
      <c r="E412" s="7">
        <v>61.7</v>
      </c>
      <c r="F412" s="7">
        <v>0</v>
      </c>
      <c r="G412" s="7">
        <v>0</v>
      </c>
      <c r="H412" s="7">
        <v>6.9</v>
      </c>
    </row>
    <row r="413" spans="1:9" ht="15" customHeight="1" x14ac:dyDescent="0.25">
      <c r="A413" s="5">
        <v>4</v>
      </c>
      <c r="B413" s="5">
        <v>412</v>
      </c>
      <c r="C413" s="50">
        <v>45784</v>
      </c>
      <c r="D413" s="5">
        <v>43</v>
      </c>
      <c r="E413" s="7">
        <v>57.7</v>
      </c>
      <c r="F413" s="7">
        <v>0</v>
      </c>
      <c r="G413" s="7">
        <v>0</v>
      </c>
      <c r="H413" s="7">
        <v>12.4</v>
      </c>
    </row>
    <row r="414" spans="1:9" ht="15" customHeight="1" x14ac:dyDescent="0.25">
      <c r="A414" s="5">
        <v>5</v>
      </c>
      <c r="B414" s="5">
        <v>413</v>
      </c>
      <c r="C414" s="50">
        <v>45785</v>
      </c>
      <c r="D414" s="5">
        <v>53</v>
      </c>
      <c r="E414" s="7">
        <v>50.2</v>
      </c>
      <c r="F414" s="7">
        <v>0</v>
      </c>
      <c r="G414" s="7">
        <v>0</v>
      </c>
      <c r="H414" s="7">
        <v>17.5</v>
      </c>
    </row>
    <row r="415" spans="1:9" ht="15" customHeight="1" x14ac:dyDescent="0.25">
      <c r="A415" s="5">
        <v>6</v>
      </c>
      <c r="B415" s="5">
        <v>414</v>
      </c>
      <c r="C415" s="50">
        <v>45786</v>
      </c>
      <c r="D415" s="5">
        <v>186</v>
      </c>
      <c r="E415" s="7">
        <v>53.2</v>
      </c>
      <c r="F415" s="7">
        <v>0</v>
      </c>
      <c r="G415" s="7">
        <v>0</v>
      </c>
      <c r="H415" s="7">
        <v>6.3</v>
      </c>
    </row>
    <row r="416" spans="1:9" ht="15" customHeight="1" x14ac:dyDescent="0.25">
      <c r="A416" s="5">
        <v>7</v>
      </c>
      <c r="B416" s="5">
        <v>415</v>
      </c>
      <c r="C416" s="50">
        <v>45787</v>
      </c>
      <c r="D416" s="5">
        <v>228</v>
      </c>
      <c r="E416" s="7">
        <v>56.7</v>
      </c>
      <c r="F416" s="7">
        <v>0</v>
      </c>
      <c r="G416" s="7">
        <v>0</v>
      </c>
      <c r="H416" s="7">
        <v>12.8</v>
      </c>
    </row>
    <row r="417" spans="1:9" ht="15" customHeight="1" x14ac:dyDescent="0.25">
      <c r="A417" s="5">
        <v>1</v>
      </c>
      <c r="B417" s="5">
        <v>416</v>
      </c>
      <c r="C417" s="50">
        <v>45788</v>
      </c>
      <c r="D417" s="5">
        <v>166</v>
      </c>
      <c r="E417" s="7">
        <v>58.1</v>
      </c>
      <c r="F417" s="7">
        <v>0</v>
      </c>
      <c r="G417" s="7">
        <v>0</v>
      </c>
      <c r="H417" s="7">
        <v>8.4</v>
      </c>
      <c r="I417" s="39" t="s">
        <v>14</v>
      </c>
    </row>
    <row r="418" spans="1:9" ht="15" customHeight="1" x14ac:dyDescent="0.25">
      <c r="A418" s="5">
        <v>2</v>
      </c>
      <c r="B418" s="5">
        <v>417</v>
      </c>
      <c r="C418" s="50">
        <v>45789</v>
      </c>
      <c r="D418" s="5">
        <v>54</v>
      </c>
      <c r="E418" s="7">
        <v>64.900000000000006</v>
      </c>
      <c r="F418" s="7">
        <v>0</v>
      </c>
      <c r="G418" s="7">
        <v>0</v>
      </c>
      <c r="H418" s="7">
        <v>6.6</v>
      </c>
    </row>
    <row r="419" spans="1:9" ht="15" customHeight="1" x14ac:dyDescent="0.25">
      <c r="A419" s="5">
        <v>3</v>
      </c>
      <c r="B419" s="5">
        <v>418</v>
      </c>
      <c r="C419" s="50">
        <v>45790</v>
      </c>
      <c r="D419" s="5">
        <v>89</v>
      </c>
      <c r="E419" s="7">
        <v>68.5</v>
      </c>
      <c r="F419" s="7">
        <v>0</v>
      </c>
      <c r="G419" s="7">
        <v>0</v>
      </c>
      <c r="H419" s="7">
        <v>8.3000000000000007</v>
      </c>
    </row>
    <row r="420" spans="1:9" ht="15" customHeight="1" x14ac:dyDescent="0.25">
      <c r="A420" s="5">
        <v>4</v>
      </c>
      <c r="B420" s="5">
        <v>419</v>
      </c>
      <c r="C420" s="50">
        <v>45791</v>
      </c>
      <c r="D420" s="5">
        <v>87</v>
      </c>
      <c r="E420" s="7">
        <v>66.900000000000006</v>
      </c>
      <c r="F420" s="7">
        <v>0</v>
      </c>
      <c r="G420" s="7">
        <v>0</v>
      </c>
      <c r="H420" s="7">
        <v>6.8</v>
      </c>
    </row>
    <row r="421" spans="1:9" ht="15" customHeight="1" x14ac:dyDescent="0.25">
      <c r="A421" s="5">
        <v>5</v>
      </c>
      <c r="B421" s="5">
        <v>420</v>
      </c>
      <c r="C421" s="50">
        <v>45792</v>
      </c>
      <c r="D421" s="5">
        <v>71</v>
      </c>
      <c r="E421" s="7">
        <v>72.7</v>
      </c>
      <c r="F421" s="7">
        <v>0.51600000000000001</v>
      </c>
      <c r="G421" s="7">
        <v>0</v>
      </c>
      <c r="H421" s="7">
        <v>11.4</v>
      </c>
    </row>
    <row r="422" spans="1:9" ht="15" customHeight="1" x14ac:dyDescent="0.25">
      <c r="A422" s="5">
        <v>6</v>
      </c>
      <c r="B422" s="5">
        <v>421</v>
      </c>
      <c r="C422" s="50">
        <v>45793</v>
      </c>
      <c r="D422" s="5">
        <v>139</v>
      </c>
      <c r="E422" s="7">
        <v>77.400000000000006</v>
      </c>
      <c r="F422" s="7">
        <v>4.7E-2</v>
      </c>
      <c r="G422" s="7">
        <v>0</v>
      </c>
      <c r="H422" s="7">
        <v>15.9</v>
      </c>
    </row>
    <row r="423" spans="1:9" ht="15" customHeight="1" x14ac:dyDescent="0.25">
      <c r="A423" s="5">
        <v>7</v>
      </c>
      <c r="B423" s="5">
        <v>422</v>
      </c>
      <c r="C423" s="50">
        <v>45794</v>
      </c>
      <c r="D423" s="5">
        <v>197</v>
      </c>
      <c r="E423" s="7">
        <v>63.3</v>
      </c>
      <c r="F423" s="7">
        <v>0</v>
      </c>
      <c r="G423" s="7">
        <v>0</v>
      </c>
      <c r="H423" s="7">
        <v>15.7</v>
      </c>
    </row>
    <row r="424" spans="1:9" ht="15" customHeight="1" x14ac:dyDescent="0.25">
      <c r="A424" s="5">
        <v>1</v>
      </c>
      <c r="B424" s="5">
        <v>423</v>
      </c>
      <c r="C424" s="50">
        <v>45795</v>
      </c>
      <c r="D424" s="5">
        <v>80</v>
      </c>
      <c r="E424" s="7">
        <v>59</v>
      </c>
      <c r="F424" s="7">
        <v>8.0000000000000002E-3</v>
      </c>
      <c r="G424" s="7">
        <v>0</v>
      </c>
      <c r="H424" s="7">
        <v>9.1999999999999993</v>
      </c>
    </row>
    <row r="425" spans="1:9" ht="15" customHeight="1" x14ac:dyDescent="0.25">
      <c r="A425" s="5">
        <v>2</v>
      </c>
      <c r="B425" s="5">
        <v>424</v>
      </c>
      <c r="C425" s="50">
        <v>45796</v>
      </c>
      <c r="D425" s="5">
        <v>30</v>
      </c>
      <c r="E425" s="7">
        <v>47.5</v>
      </c>
      <c r="F425" s="7">
        <v>0</v>
      </c>
      <c r="G425" s="7">
        <v>0</v>
      </c>
      <c r="H425" s="7">
        <v>15.2</v>
      </c>
    </row>
    <row r="426" spans="1:9" ht="15" customHeight="1" x14ac:dyDescent="0.25">
      <c r="A426" s="5">
        <v>3</v>
      </c>
      <c r="B426" s="5">
        <v>425</v>
      </c>
      <c r="C426" s="50">
        <v>45797</v>
      </c>
      <c r="D426" s="5">
        <v>64</v>
      </c>
      <c r="E426" s="7">
        <v>53.1</v>
      </c>
      <c r="F426" s="7">
        <v>0.61799999999999999</v>
      </c>
      <c r="G426" s="7">
        <v>0</v>
      </c>
      <c r="H426" s="7">
        <v>14.5</v>
      </c>
    </row>
    <row r="427" spans="1:9" ht="15" customHeight="1" x14ac:dyDescent="0.25">
      <c r="A427" s="5">
        <v>4</v>
      </c>
      <c r="B427" s="5">
        <v>426</v>
      </c>
      <c r="C427" s="50">
        <v>45798</v>
      </c>
      <c r="D427" s="5">
        <v>59</v>
      </c>
      <c r="E427" s="7">
        <v>50</v>
      </c>
      <c r="F427" s="7">
        <v>8.6999999999999994E-2</v>
      </c>
      <c r="G427" s="7">
        <v>0</v>
      </c>
      <c r="H427" s="7">
        <v>10</v>
      </c>
    </row>
    <row r="428" spans="1:9" ht="15" customHeight="1" x14ac:dyDescent="0.25">
      <c r="A428" s="5">
        <v>5</v>
      </c>
      <c r="B428" s="5">
        <v>427</v>
      </c>
      <c r="C428" s="50">
        <v>45799</v>
      </c>
      <c r="D428" s="5">
        <v>50</v>
      </c>
      <c r="E428" s="7">
        <v>51.3</v>
      </c>
      <c r="F428" s="7">
        <v>6.3E-2</v>
      </c>
      <c r="G428" s="7">
        <v>0</v>
      </c>
      <c r="H428" s="7">
        <v>7.4</v>
      </c>
    </row>
    <row r="429" spans="1:9" ht="15" customHeight="1" x14ac:dyDescent="0.25">
      <c r="A429" s="5">
        <v>6</v>
      </c>
      <c r="B429" s="5">
        <v>428</v>
      </c>
      <c r="C429" s="50">
        <v>45800</v>
      </c>
      <c r="D429" s="5">
        <v>135</v>
      </c>
      <c r="E429" s="7">
        <v>52</v>
      </c>
      <c r="F429" s="7">
        <v>0</v>
      </c>
      <c r="G429" s="7">
        <v>0</v>
      </c>
      <c r="H429" s="7">
        <v>6.2</v>
      </c>
    </row>
    <row r="430" spans="1:9" ht="15" customHeight="1" x14ac:dyDescent="0.25">
      <c r="A430" s="5">
        <v>7</v>
      </c>
      <c r="B430" s="5">
        <v>429</v>
      </c>
      <c r="C430" s="50">
        <v>45801</v>
      </c>
      <c r="D430" s="5">
        <v>173</v>
      </c>
      <c r="E430" s="7">
        <v>55.4</v>
      </c>
      <c r="F430" s="7">
        <v>0</v>
      </c>
      <c r="G430" s="7">
        <v>0</v>
      </c>
      <c r="H430" s="7">
        <v>7.3</v>
      </c>
    </row>
    <row r="431" spans="1:9" ht="15" customHeight="1" x14ac:dyDescent="0.25">
      <c r="A431" s="5">
        <v>1</v>
      </c>
      <c r="B431" s="5">
        <v>430</v>
      </c>
      <c r="C431" s="50">
        <v>45802</v>
      </c>
      <c r="D431" s="5">
        <v>86</v>
      </c>
      <c r="E431" s="7">
        <v>57</v>
      </c>
      <c r="F431" s="7">
        <v>1.2E-2</v>
      </c>
      <c r="G431" s="7">
        <v>0</v>
      </c>
      <c r="H431" s="7">
        <v>7.6</v>
      </c>
    </row>
    <row r="432" spans="1:9" ht="15" customHeight="1" x14ac:dyDescent="0.25">
      <c r="A432" s="5">
        <v>2</v>
      </c>
      <c r="B432" s="5">
        <v>431</v>
      </c>
      <c r="C432" s="50">
        <v>45803</v>
      </c>
      <c r="D432" s="5">
        <v>0</v>
      </c>
      <c r="E432" s="7">
        <v>56.5</v>
      </c>
      <c r="F432" s="7">
        <v>0</v>
      </c>
      <c r="G432" s="7">
        <v>0</v>
      </c>
      <c r="H432" s="7">
        <v>10.5</v>
      </c>
      <c r="I432" s="39" t="s">
        <v>15</v>
      </c>
    </row>
    <row r="433" spans="1:11" ht="15" customHeight="1" x14ac:dyDescent="0.25">
      <c r="A433" s="5">
        <v>3</v>
      </c>
      <c r="B433" s="5">
        <v>432</v>
      </c>
      <c r="C433" s="50">
        <v>45804</v>
      </c>
      <c r="D433" s="5">
        <v>54</v>
      </c>
      <c r="E433" s="7">
        <v>59.2</v>
      </c>
      <c r="F433" s="7">
        <v>0</v>
      </c>
      <c r="G433" s="7">
        <v>0</v>
      </c>
      <c r="H433" s="7">
        <v>9.8000000000000007</v>
      </c>
      <c r="K433" s="10"/>
    </row>
    <row r="434" spans="1:11" ht="15" customHeight="1" x14ac:dyDescent="0.25">
      <c r="A434" s="5">
        <v>4</v>
      </c>
      <c r="B434" s="5">
        <v>433</v>
      </c>
      <c r="C434" s="50">
        <v>45805</v>
      </c>
      <c r="D434" s="11">
        <v>60</v>
      </c>
      <c r="E434" s="7">
        <v>57.9</v>
      </c>
      <c r="F434" s="7">
        <v>0.33100000000000002</v>
      </c>
      <c r="G434" s="7">
        <v>0</v>
      </c>
      <c r="H434" s="7">
        <v>7</v>
      </c>
      <c r="K434" s="10"/>
    </row>
    <row r="435" spans="1:11" ht="15" customHeight="1" x14ac:dyDescent="0.25">
      <c r="A435" s="5">
        <v>5</v>
      </c>
      <c r="B435" s="5">
        <v>434</v>
      </c>
      <c r="C435" s="50">
        <v>45806</v>
      </c>
      <c r="D435" s="5">
        <v>90</v>
      </c>
      <c r="E435" s="7">
        <v>60.1</v>
      </c>
      <c r="F435" s="7">
        <v>0</v>
      </c>
      <c r="G435" s="7">
        <v>0</v>
      </c>
      <c r="H435" s="7">
        <v>5.8</v>
      </c>
      <c r="J435" s="7"/>
      <c r="K435" s="10"/>
    </row>
    <row r="436" spans="1:11" ht="15" customHeight="1" x14ac:dyDescent="0.25">
      <c r="A436" s="5">
        <v>6</v>
      </c>
      <c r="B436" s="5">
        <v>435</v>
      </c>
      <c r="C436" s="50">
        <v>45807</v>
      </c>
      <c r="D436" s="5">
        <v>137</v>
      </c>
      <c r="E436" s="7">
        <v>64</v>
      </c>
      <c r="F436" s="7">
        <v>0</v>
      </c>
      <c r="G436" s="7">
        <v>0</v>
      </c>
      <c r="H436" s="7">
        <v>7.1</v>
      </c>
      <c r="J436" s="7"/>
      <c r="K436" s="10"/>
    </row>
    <row r="437" spans="1:11" ht="15" customHeight="1" x14ac:dyDescent="0.25">
      <c r="A437" s="5">
        <v>7</v>
      </c>
      <c r="B437" s="5">
        <v>436</v>
      </c>
      <c r="C437" s="50">
        <v>45808</v>
      </c>
      <c r="D437" s="5">
        <v>170</v>
      </c>
      <c r="E437" s="7">
        <v>60.6</v>
      </c>
      <c r="F437" s="7">
        <v>0</v>
      </c>
      <c r="G437" s="7">
        <v>0</v>
      </c>
      <c r="H437" s="7">
        <v>8.1</v>
      </c>
      <c r="J437" s="12"/>
      <c r="K437" s="10"/>
    </row>
    <row r="438" spans="1:11" ht="15" customHeight="1" x14ac:dyDescent="0.25">
      <c r="A438" s="5">
        <v>1</v>
      </c>
      <c r="B438" s="5">
        <v>437</v>
      </c>
      <c r="C438" s="50">
        <v>45809</v>
      </c>
      <c r="D438" s="5">
        <v>108</v>
      </c>
      <c r="E438" s="7">
        <v>57.6</v>
      </c>
      <c r="F438" s="7">
        <v>0</v>
      </c>
      <c r="G438" s="7">
        <v>0</v>
      </c>
      <c r="H438" s="7">
        <v>4.5</v>
      </c>
      <c r="J438" s="12"/>
      <c r="K438" s="10"/>
    </row>
    <row r="439" spans="1:11" ht="15" customHeight="1" x14ac:dyDescent="0.25">
      <c r="A439" s="5">
        <v>2</v>
      </c>
      <c r="B439" s="5">
        <v>438</v>
      </c>
      <c r="C439" s="50">
        <v>45810</v>
      </c>
      <c r="D439" s="5">
        <v>38</v>
      </c>
      <c r="E439" s="7">
        <v>64.599999999999994</v>
      </c>
      <c r="F439" s="7">
        <v>0</v>
      </c>
      <c r="G439" s="7">
        <v>0</v>
      </c>
      <c r="H439" s="7">
        <v>7.4</v>
      </c>
      <c r="J439" s="12"/>
      <c r="K439" s="10"/>
    </row>
    <row r="440" spans="1:11" ht="15" customHeight="1" x14ac:dyDescent="0.25">
      <c r="A440" s="5">
        <v>3</v>
      </c>
      <c r="B440" s="5">
        <v>439</v>
      </c>
      <c r="C440" s="50">
        <v>45811</v>
      </c>
      <c r="D440" s="5">
        <v>55</v>
      </c>
      <c r="E440" s="7">
        <v>76.8</v>
      </c>
      <c r="F440" s="7">
        <v>9.0999999999999998E-2</v>
      </c>
      <c r="G440" s="7">
        <v>0</v>
      </c>
      <c r="H440" s="7">
        <v>13.9</v>
      </c>
      <c r="J440" s="12"/>
      <c r="K440" s="10"/>
    </row>
    <row r="441" spans="1:11" ht="15" customHeight="1" x14ac:dyDescent="0.25">
      <c r="A441" s="5">
        <v>4</v>
      </c>
      <c r="B441" s="5">
        <v>440</v>
      </c>
      <c r="C441" s="50">
        <v>45812</v>
      </c>
      <c r="D441" s="5">
        <v>55</v>
      </c>
      <c r="E441" s="7">
        <v>68</v>
      </c>
      <c r="F441" s="7">
        <v>0.53900000000000003</v>
      </c>
      <c r="G441" s="7">
        <v>0</v>
      </c>
      <c r="H441" s="7">
        <v>8.6999999999999993</v>
      </c>
      <c r="J441" s="12"/>
      <c r="K441" s="10"/>
    </row>
    <row r="442" spans="1:11" ht="15" customHeight="1" x14ac:dyDescent="0.25">
      <c r="A442" s="5">
        <v>5</v>
      </c>
      <c r="B442" s="5">
        <v>441</v>
      </c>
      <c r="C442" s="50">
        <v>45813</v>
      </c>
      <c r="D442" s="5">
        <v>116</v>
      </c>
      <c r="E442" s="7">
        <v>63</v>
      </c>
      <c r="F442" s="7">
        <v>0</v>
      </c>
      <c r="G442" s="7">
        <v>0</v>
      </c>
      <c r="H442" s="7">
        <v>9.1999999999999993</v>
      </c>
      <c r="J442" s="12"/>
      <c r="K442" s="10"/>
    </row>
    <row r="443" spans="1:11" ht="15" customHeight="1" x14ac:dyDescent="0.25">
      <c r="A443" s="5">
        <v>6</v>
      </c>
      <c r="B443" s="5">
        <v>442</v>
      </c>
      <c r="C443" s="50">
        <v>45814</v>
      </c>
      <c r="D443" s="5">
        <v>155</v>
      </c>
      <c r="E443" s="7">
        <v>66.900000000000006</v>
      </c>
      <c r="F443" s="7">
        <v>0</v>
      </c>
      <c r="G443" s="7">
        <v>0</v>
      </c>
      <c r="H443" s="7">
        <v>8.3000000000000007</v>
      </c>
      <c r="J443" s="7"/>
      <c r="K443" s="10"/>
    </row>
    <row r="444" spans="1:11" ht="15" customHeight="1" x14ac:dyDescent="0.25">
      <c r="A444" s="5">
        <v>7</v>
      </c>
      <c r="B444" s="5">
        <v>443</v>
      </c>
      <c r="C444" s="50">
        <v>45815</v>
      </c>
      <c r="D444" s="5">
        <v>173</v>
      </c>
      <c r="E444" s="7">
        <v>66.400000000000006</v>
      </c>
      <c r="F444" s="7">
        <v>0.02</v>
      </c>
      <c r="G444" s="7">
        <v>0</v>
      </c>
      <c r="H444" s="7">
        <v>7.6</v>
      </c>
      <c r="J444" s="7"/>
      <c r="K444" s="10"/>
    </row>
    <row r="445" spans="1:11" ht="15" customHeight="1" x14ac:dyDescent="0.25">
      <c r="A445" s="5">
        <v>1</v>
      </c>
      <c r="B445" s="5">
        <v>444</v>
      </c>
      <c r="C445" s="50">
        <v>45816</v>
      </c>
      <c r="D445" s="5">
        <v>33</v>
      </c>
      <c r="E445" s="7">
        <v>67.599999999999994</v>
      </c>
      <c r="F445" s="7">
        <v>9.8000000000000004E-2</v>
      </c>
      <c r="G445" s="7">
        <v>0</v>
      </c>
      <c r="H445" s="7">
        <v>7.4</v>
      </c>
      <c r="J445" s="12"/>
      <c r="K445" s="10"/>
    </row>
    <row r="446" spans="1:11" ht="15" customHeight="1" x14ac:dyDescent="0.25">
      <c r="A446" s="5">
        <v>2</v>
      </c>
      <c r="B446" s="5">
        <v>445</v>
      </c>
      <c r="C446" s="50">
        <v>45817</v>
      </c>
      <c r="D446" s="5">
        <v>51</v>
      </c>
      <c r="E446" s="7">
        <v>63.7</v>
      </c>
      <c r="F446" s="7">
        <v>0</v>
      </c>
      <c r="G446" s="7">
        <v>0</v>
      </c>
      <c r="H446" s="7">
        <v>11.2</v>
      </c>
      <c r="J446" s="12"/>
      <c r="K446" s="10"/>
    </row>
    <row r="447" spans="1:11" ht="15" customHeight="1" x14ac:dyDescent="0.25">
      <c r="A447" s="5">
        <v>3</v>
      </c>
      <c r="B447" s="5">
        <v>446</v>
      </c>
      <c r="C447" s="50">
        <v>45818</v>
      </c>
      <c r="D447" s="5">
        <v>76</v>
      </c>
      <c r="E447" s="7">
        <v>65.099999999999994</v>
      </c>
      <c r="F447" s="7">
        <v>0</v>
      </c>
      <c r="G447" s="7">
        <v>0</v>
      </c>
      <c r="H447" s="7">
        <v>9.6</v>
      </c>
      <c r="J447" s="12"/>
      <c r="K447" s="10"/>
    </row>
    <row r="448" spans="1:11" ht="15" customHeight="1" x14ac:dyDescent="0.25">
      <c r="A448" s="5">
        <v>4</v>
      </c>
      <c r="B448" s="5">
        <v>447</v>
      </c>
      <c r="C448" s="50">
        <v>45819</v>
      </c>
      <c r="D448" s="5">
        <v>88</v>
      </c>
      <c r="E448">
        <v>74.099999999999994</v>
      </c>
      <c r="F448" s="7">
        <v>0</v>
      </c>
      <c r="G448" s="7">
        <v>0</v>
      </c>
      <c r="H448" s="7">
        <v>11.4</v>
      </c>
      <c r="J448" s="12"/>
      <c r="K448" s="10"/>
    </row>
    <row r="449" spans="1:11" ht="15" customHeight="1" x14ac:dyDescent="0.25">
      <c r="A449" s="5">
        <v>5</v>
      </c>
      <c r="B449" s="5">
        <v>448</v>
      </c>
      <c r="C449" s="50">
        <v>45820</v>
      </c>
      <c r="D449" s="5">
        <v>97</v>
      </c>
      <c r="E449" s="7">
        <v>74.099999999999994</v>
      </c>
      <c r="F449" s="7">
        <v>0</v>
      </c>
      <c r="G449" s="7">
        <v>0</v>
      </c>
      <c r="H449" s="7">
        <v>8.9</v>
      </c>
      <c r="J449"/>
      <c r="K449" s="10"/>
    </row>
    <row r="450" spans="1:11" ht="15" customHeight="1" x14ac:dyDescent="0.25">
      <c r="A450" s="5">
        <v>6</v>
      </c>
      <c r="B450" s="5">
        <v>449</v>
      </c>
      <c r="C450" s="50">
        <v>45821</v>
      </c>
      <c r="D450" s="5">
        <v>133</v>
      </c>
      <c r="E450" s="7">
        <v>64.900000000000006</v>
      </c>
      <c r="F450" s="7">
        <v>0.14199999999999999</v>
      </c>
      <c r="G450" s="7">
        <v>0</v>
      </c>
      <c r="H450" s="7">
        <v>7.4</v>
      </c>
      <c r="J450"/>
      <c r="K450" s="10"/>
    </row>
    <row r="451" spans="1:11" ht="15" customHeight="1" x14ac:dyDescent="0.25">
      <c r="A451" s="5">
        <v>7</v>
      </c>
      <c r="B451" s="5">
        <v>450</v>
      </c>
      <c r="C451" s="50">
        <v>45822</v>
      </c>
      <c r="D451" s="5">
        <v>175</v>
      </c>
      <c r="E451" s="7">
        <v>64.900000000000006</v>
      </c>
      <c r="F451" s="7">
        <v>0</v>
      </c>
      <c r="G451" s="7">
        <v>0</v>
      </c>
      <c r="H451" s="7">
        <v>9.4</v>
      </c>
      <c r="J451"/>
      <c r="K451" s="10"/>
    </row>
    <row r="452" spans="1:11" ht="15" customHeight="1" x14ac:dyDescent="0.25">
      <c r="A452" s="5">
        <v>1</v>
      </c>
      <c r="B452" s="5">
        <v>451</v>
      </c>
      <c r="C452" s="50">
        <v>45823</v>
      </c>
      <c r="D452" s="5">
        <v>138</v>
      </c>
      <c r="E452" s="7">
        <v>68.5</v>
      </c>
      <c r="F452" s="7">
        <v>0</v>
      </c>
      <c r="G452" s="7">
        <v>0</v>
      </c>
      <c r="H452" s="7">
        <v>7.1</v>
      </c>
      <c r="I452" s="39" t="s">
        <v>16</v>
      </c>
      <c r="J452"/>
      <c r="K452" s="10"/>
    </row>
    <row r="453" spans="1:11" ht="15" customHeight="1" x14ac:dyDescent="0.25">
      <c r="A453" s="5">
        <v>2</v>
      </c>
      <c r="B453" s="5">
        <v>452</v>
      </c>
      <c r="C453" s="50">
        <v>45824</v>
      </c>
      <c r="D453" s="5">
        <v>45</v>
      </c>
      <c r="E453" s="7">
        <v>73.400000000000006</v>
      </c>
      <c r="F453" s="7">
        <v>0</v>
      </c>
      <c r="G453" s="7">
        <v>0</v>
      </c>
      <c r="H453" s="7">
        <v>6.3</v>
      </c>
      <c r="J453"/>
      <c r="K453" s="10"/>
    </row>
    <row r="454" spans="1:11" ht="15" customHeight="1" x14ac:dyDescent="0.25">
      <c r="A454" s="5">
        <v>3</v>
      </c>
      <c r="B454" s="5">
        <v>453</v>
      </c>
      <c r="C454" s="50">
        <v>45825</v>
      </c>
      <c r="D454" s="5">
        <v>71</v>
      </c>
      <c r="E454" s="7">
        <v>80.099999999999994</v>
      </c>
      <c r="F454" s="7">
        <v>0.29899999999999999</v>
      </c>
      <c r="G454" s="7">
        <v>0</v>
      </c>
      <c r="H454" s="7">
        <v>10.8</v>
      </c>
      <c r="J454"/>
      <c r="K454" s="10"/>
    </row>
    <row r="455" spans="1:11" ht="15" customHeight="1" x14ac:dyDescent="0.25">
      <c r="A455" s="5">
        <v>4</v>
      </c>
      <c r="B455" s="5">
        <v>454</v>
      </c>
      <c r="C455" s="50">
        <v>45826</v>
      </c>
      <c r="D455" s="5">
        <v>22</v>
      </c>
      <c r="E455" s="7">
        <v>76.3</v>
      </c>
      <c r="F455" s="7">
        <v>1.8580000000000001</v>
      </c>
      <c r="G455" s="7">
        <v>0</v>
      </c>
      <c r="H455" s="7">
        <v>5.7</v>
      </c>
      <c r="J455"/>
      <c r="K455" s="10"/>
    </row>
    <row r="456" spans="1:11" ht="15" customHeight="1" x14ac:dyDescent="0.25">
      <c r="A456" s="5">
        <v>5</v>
      </c>
      <c r="B456" s="5">
        <v>455</v>
      </c>
      <c r="C456" s="50">
        <v>45827</v>
      </c>
      <c r="D456" s="5">
        <v>113</v>
      </c>
      <c r="E456" s="7">
        <v>72.099999999999994</v>
      </c>
      <c r="F456" s="7">
        <v>0</v>
      </c>
      <c r="G456" s="7">
        <v>0</v>
      </c>
      <c r="H456" s="7">
        <v>8</v>
      </c>
      <c r="I456" s="39" t="s">
        <v>17</v>
      </c>
      <c r="J456"/>
      <c r="K456" s="10"/>
    </row>
    <row r="457" spans="1:11" ht="15" customHeight="1" x14ac:dyDescent="0.25">
      <c r="A457" s="5">
        <v>6</v>
      </c>
      <c r="B457" s="5">
        <v>456</v>
      </c>
      <c r="C457" s="50">
        <v>45828</v>
      </c>
      <c r="D457" s="5">
        <v>125</v>
      </c>
      <c r="E457" s="7">
        <v>73.599999999999994</v>
      </c>
      <c r="F457" s="7">
        <v>2.4E-2</v>
      </c>
      <c r="G457" s="7">
        <v>0</v>
      </c>
      <c r="H457" s="7">
        <v>10.4</v>
      </c>
      <c r="J457"/>
      <c r="K457" s="10"/>
    </row>
    <row r="458" spans="1:11" ht="15" customHeight="1" x14ac:dyDescent="0.25">
      <c r="A458" s="5">
        <v>7</v>
      </c>
      <c r="B458" s="5">
        <v>457</v>
      </c>
      <c r="C458" s="50">
        <v>45829</v>
      </c>
      <c r="D458" s="5">
        <v>159</v>
      </c>
      <c r="E458" s="7">
        <v>86</v>
      </c>
      <c r="F458" s="7">
        <v>0</v>
      </c>
      <c r="G458" s="7">
        <v>0</v>
      </c>
      <c r="H458" s="7">
        <v>16.8</v>
      </c>
      <c r="J458"/>
      <c r="K458" s="10"/>
    </row>
    <row r="459" spans="1:11" ht="15" customHeight="1" x14ac:dyDescent="0.25">
      <c r="A459" s="5">
        <v>1</v>
      </c>
      <c r="B459" s="5">
        <v>458</v>
      </c>
      <c r="C459" s="50">
        <v>45830</v>
      </c>
      <c r="D459" s="5">
        <v>63</v>
      </c>
      <c r="E459" s="7">
        <v>87.1</v>
      </c>
      <c r="F459" s="7">
        <v>0</v>
      </c>
      <c r="G459" s="7">
        <v>0</v>
      </c>
      <c r="H459" s="7">
        <v>14.4</v>
      </c>
      <c r="J459"/>
      <c r="K459" s="10"/>
    </row>
    <row r="460" spans="1:11" ht="15" customHeight="1" x14ac:dyDescent="0.25">
      <c r="A460" s="5">
        <v>2</v>
      </c>
      <c r="B460" s="5">
        <v>459</v>
      </c>
      <c r="C460" s="50">
        <v>45831</v>
      </c>
      <c r="D460" s="5">
        <v>56</v>
      </c>
      <c r="E460" s="7">
        <v>87.3</v>
      </c>
      <c r="F460" s="7">
        <v>0</v>
      </c>
      <c r="G460" s="7">
        <v>0</v>
      </c>
      <c r="H460" s="7">
        <v>12.9</v>
      </c>
      <c r="J460"/>
      <c r="K460" s="10"/>
    </row>
    <row r="461" spans="1:11" ht="15" customHeight="1" x14ac:dyDescent="0.25">
      <c r="A461" s="5">
        <v>3</v>
      </c>
      <c r="B461" s="5">
        <v>460</v>
      </c>
      <c r="C461" s="50">
        <v>45832</v>
      </c>
      <c r="D461" s="5">
        <v>71</v>
      </c>
      <c r="E461" s="7">
        <v>82.9</v>
      </c>
      <c r="F461" s="7">
        <v>0.622</v>
      </c>
      <c r="G461" s="7">
        <v>0</v>
      </c>
      <c r="H461" s="7">
        <v>7.1</v>
      </c>
      <c r="J461"/>
      <c r="K461" s="10"/>
    </row>
    <row r="462" spans="1:11" ht="15" customHeight="1" x14ac:dyDescent="0.25">
      <c r="A462" s="5">
        <v>4</v>
      </c>
      <c r="B462" s="5">
        <v>461</v>
      </c>
      <c r="C462" s="50">
        <v>45833</v>
      </c>
      <c r="D462" s="5">
        <v>55</v>
      </c>
      <c r="E462" s="7">
        <v>77.5</v>
      </c>
      <c r="F462" s="7">
        <v>0.48</v>
      </c>
      <c r="G462" s="7">
        <v>0</v>
      </c>
      <c r="H462" s="7">
        <v>5.6</v>
      </c>
      <c r="J462"/>
      <c r="K462" s="10"/>
    </row>
    <row r="463" spans="1:11" ht="15" customHeight="1" x14ac:dyDescent="0.25">
      <c r="A463" s="5">
        <v>5</v>
      </c>
      <c r="B463" s="5">
        <v>462</v>
      </c>
      <c r="C463" s="50">
        <v>45834</v>
      </c>
      <c r="D463" s="5">
        <v>100</v>
      </c>
      <c r="E463" s="7">
        <v>82.8</v>
      </c>
      <c r="F463" s="7">
        <v>0</v>
      </c>
      <c r="G463" s="7">
        <v>0</v>
      </c>
      <c r="H463" s="7">
        <v>8.3000000000000007</v>
      </c>
      <c r="J463"/>
      <c r="K463" s="10"/>
    </row>
    <row r="464" spans="1:11" ht="15" customHeight="1" x14ac:dyDescent="0.25">
      <c r="A464" s="5">
        <v>6</v>
      </c>
      <c r="B464" s="5">
        <v>463</v>
      </c>
      <c r="C464" s="50">
        <v>45835</v>
      </c>
      <c r="D464" s="5">
        <v>144</v>
      </c>
      <c r="E464" s="7">
        <v>82.6</v>
      </c>
      <c r="F464" s="7">
        <v>0</v>
      </c>
      <c r="G464" s="7">
        <v>0</v>
      </c>
      <c r="H464" s="7">
        <v>10.9</v>
      </c>
      <c r="J464"/>
      <c r="K464" s="10"/>
    </row>
    <row r="465" spans="1:11" ht="15" customHeight="1" x14ac:dyDescent="0.25">
      <c r="A465" s="5">
        <v>7</v>
      </c>
      <c r="B465" s="5">
        <v>464</v>
      </c>
      <c r="C465" s="50">
        <v>45836</v>
      </c>
      <c r="D465" s="5">
        <v>197</v>
      </c>
      <c r="E465" s="7">
        <v>77.5</v>
      </c>
      <c r="F465" s="7">
        <v>0</v>
      </c>
      <c r="G465" s="7">
        <v>0</v>
      </c>
      <c r="H465" s="7">
        <v>5.8</v>
      </c>
      <c r="J465"/>
      <c r="K465" s="10"/>
    </row>
    <row r="466" spans="1:11" ht="15" customHeight="1" x14ac:dyDescent="0.25">
      <c r="A466" s="5">
        <v>1</v>
      </c>
      <c r="B466" s="5">
        <v>465</v>
      </c>
      <c r="C466" s="50">
        <v>45837</v>
      </c>
      <c r="D466" s="5">
        <v>52</v>
      </c>
      <c r="E466" s="7">
        <v>81.7</v>
      </c>
      <c r="F466" s="7">
        <v>3.1E-2</v>
      </c>
      <c r="G466" s="7">
        <v>0</v>
      </c>
      <c r="H466" s="7">
        <v>7.6</v>
      </c>
      <c r="J466"/>
      <c r="K466" s="10"/>
    </row>
    <row r="467" spans="1:11" ht="15" customHeight="1" x14ac:dyDescent="0.25">
      <c r="A467" s="5">
        <v>2</v>
      </c>
      <c r="B467" s="5">
        <v>466</v>
      </c>
      <c r="C467" s="50">
        <v>45838</v>
      </c>
      <c r="D467" s="5">
        <v>122</v>
      </c>
      <c r="E467" s="7">
        <v>81.900000000000006</v>
      </c>
      <c r="F467" s="7">
        <v>0</v>
      </c>
      <c r="G467" s="7">
        <v>0</v>
      </c>
      <c r="H467" s="7">
        <v>7.9</v>
      </c>
      <c r="J467"/>
      <c r="K467" s="10"/>
    </row>
    <row r="468" spans="1:11" ht="15" customHeight="1" x14ac:dyDescent="0.25">
      <c r="A468" s="5">
        <v>3</v>
      </c>
      <c r="B468" s="5">
        <v>467</v>
      </c>
      <c r="C468" s="50">
        <v>45839</v>
      </c>
      <c r="D468" s="13">
        <v>82</v>
      </c>
      <c r="E468" s="8">
        <v>79.7</v>
      </c>
      <c r="F468" s="8">
        <v>0</v>
      </c>
      <c r="G468" s="7">
        <v>0</v>
      </c>
      <c r="H468" s="8">
        <v>7.6</v>
      </c>
    </row>
    <row r="469" spans="1:11" ht="15" customHeight="1" x14ac:dyDescent="0.25">
      <c r="A469" s="5">
        <v>4</v>
      </c>
      <c r="B469" s="5">
        <v>468</v>
      </c>
      <c r="C469" s="50">
        <v>45840</v>
      </c>
      <c r="D469" s="13">
        <v>69</v>
      </c>
      <c r="E469" s="8">
        <v>80.599999999999994</v>
      </c>
      <c r="F469" s="8">
        <v>0</v>
      </c>
      <c r="G469" s="7">
        <v>0</v>
      </c>
      <c r="H469" s="8">
        <v>7.2</v>
      </c>
    </row>
    <row r="470" spans="1:11" ht="15" customHeight="1" x14ac:dyDescent="0.25">
      <c r="A470" s="5">
        <v>5</v>
      </c>
      <c r="B470" s="5">
        <v>469</v>
      </c>
      <c r="C470" s="50">
        <v>45841</v>
      </c>
      <c r="D470" s="13">
        <v>137</v>
      </c>
      <c r="E470" s="8">
        <v>80.8</v>
      </c>
      <c r="F470" s="8">
        <v>0</v>
      </c>
      <c r="G470" s="7">
        <v>0</v>
      </c>
      <c r="H470" s="8">
        <v>5.2</v>
      </c>
    </row>
    <row r="471" spans="1:11" ht="15" customHeight="1" x14ac:dyDescent="0.25">
      <c r="A471" s="5">
        <v>6</v>
      </c>
      <c r="B471" s="5">
        <v>470</v>
      </c>
      <c r="C471" s="50">
        <v>45842</v>
      </c>
      <c r="D471" s="13">
        <v>0</v>
      </c>
      <c r="E471" s="8">
        <v>82</v>
      </c>
      <c r="F471" s="8">
        <v>0.02</v>
      </c>
      <c r="G471" s="7">
        <v>0</v>
      </c>
      <c r="H471" s="8">
        <v>7.2</v>
      </c>
      <c r="I471" s="39" t="s">
        <v>18</v>
      </c>
    </row>
    <row r="472" spans="1:11" ht="15" customHeight="1" x14ac:dyDescent="0.25">
      <c r="A472" s="5">
        <v>7</v>
      </c>
      <c r="B472" s="5">
        <v>471</v>
      </c>
      <c r="C472" s="50">
        <v>45843</v>
      </c>
      <c r="D472" s="13">
        <v>150</v>
      </c>
      <c r="E472" s="8">
        <v>85.5</v>
      </c>
      <c r="F472" s="8">
        <v>0</v>
      </c>
      <c r="G472" s="7">
        <v>0</v>
      </c>
      <c r="H472" s="8">
        <v>11.5</v>
      </c>
    </row>
    <row r="473" spans="1:11" ht="15" customHeight="1" x14ac:dyDescent="0.25">
      <c r="A473" s="13">
        <v>1</v>
      </c>
      <c r="B473" s="5">
        <v>472</v>
      </c>
      <c r="C473" s="50">
        <v>45844</v>
      </c>
      <c r="D473" s="13">
        <v>44</v>
      </c>
      <c r="E473" s="8">
        <v>76.099999999999994</v>
      </c>
      <c r="F473" s="8">
        <v>0.30299999999999999</v>
      </c>
      <c r="G473" s="8">
        <v>0</v>
      </c>
      <c r="H473" s="8">
        <v>11.6</v>
      </c>
    </row>
    <row r="474" spans="1:11" ht="15" customHeight="1" x14ac:dyDescent="0.25">
      <c r="A474" s="5">
        <v>2</v>
      </c>
      <c r="B474" s="5">
        <v>473</v>
      </c>
      <c r="C474" s="50">
        <v>45845</v>
      </c>
      <c r="D474" s="13">
        <v>52</v>
      </c>
      <c r="E474" s="8">
        <v>72.900000000000006</v>
      </c>
      <c r="F474" s="8">
        <v>0</v>
      </c>
      <c r="G474" s="8">
        <v>0</v>
      </c>
      <c r="H474" s="8">
        <v>8.8000000000000007</v>
      </c>
    </row>
    <row r="475" spans="1:11" ht="15" customHeight="1" x14ac:dyDescent="0.25">
      <c r="A475" s="5">
        <v>3</v>
      </c>
      <c r="B475" s="5">
        <v>474</v>
      </c>
      <c r="C475" s="50">
        <v>45846</v>
      </c>
      <c r="D475" s="13">
        <v>68</v>
      </c>
      <c r="E475" s="8">
        <v>76.099999999999994</v>
      </c>
      <c r="F475" s="8">
        <v>0.38200000000000001</v>
      </c>
      <c r="G475" s="8">
        <v>0</v>
      </c>
      <c r="H475" s="8">
        <v>7.2</v>
      </c>
    </row>
    <row r="476" spans="1:11" ht="15" customHeight="1" x14ac:dyDescent="0.25">
      <c r="A476" s="5">
        <v>4</v>
      </c>
      <c r="B476" s="5">
        <v>475</v>
      </c>
      <c r="C476" s="50">
        <v>45847</v>
      </c>
      <c r="D476" s="13">
        <v>64</v>
      </c>
      <c r="E476" s="8">
        <v>75.7</v>
      </c>
      <c r="F476" s="8">
        <v>0.122</v>
      </c>
      <c r="G476" s="8">
        <v>0</v>
      </c>
      <c r="H476" s="8">
        <v>7.3</v>
      </c>
    </row>
    <row r="477" spans="1:11" ht="15" customHeight="1" x14ac:dyDescent="0.25">
      <c r="A477" s="5">
        <v>5</v>
      </c>
      <c r="B477" s="5">
        <v>476</v>
      </c>
      <c r="C477" s="50">
        <v>45848</v>
      </c>
      <c r="D477" s="13">
        <v>85</v>
      </c>
      <c r="E477" s="8">
        <v>74.8</v>
      </c>
      <c r="F477" s="8">
        <v>1.2010000000000001</v>
      </c>
      <c r="G477" s="8">
        <v>0</v>
      </c>
      <c r="H477" s="8">
        <v>6.7</v>
      </c>
    </row>
    <row r="478" spans="1:11" ht="15" customHeight="1" x14ac:dyDescent="0.25">
      <c r="A478" s="5">
        <v>6</v>
      </c>
      <c r="B478" s="5">
        <v>477</v>
      </c>
      <c r="C478" s="50">
        <v>45849</v>
      </c>
      <c r="D478">
        <v>146</v>
      </c>
      <c r="E478" s="8">
        <v>76.8</v>
      </c>
      <c r="F478" s="28">
        <v>0.98799999999999999</v>
      </c>
      <c r="G478" s="8">
        <v>0</v>
      </c>
      <c r="H478" s="8">
        <v>7.6</v>
      </c>
    </row>
    <row r="479" spans="1:11" ht="15" customHeight="1" x14ac:dyDescent="0.25">
      <c r="A479" s="5">
        <v>7</v>
      </c>
      <c r="B479" s="5">
        <v>478</v>
      </c>
      <c r="C479" s="50">
        <v>45850</v>
      </c>
      <c r="D479">
        <v>178</v>
      </c>
      <c r="E479" s="8">
        <v>76.599999999999994</v>
      </c>
      <c r="F479" s="29">
        <v>0</v>
      </c>
      <c r="G479" s="8">
        <v>0</v>
      </c>
      <c r="H479" s="8">
        <v>8.5</v>
      </c>
    </row>
    <row r="480" spans="1:11" ht="15" customHeight="1" x14ac:dyDescent="0.25">
      <c r="A480" s="5">
        <v>1</v>
      </c>
      <c r="B480" s="5">
        <v>479</v>
      </c>
      <c r="C480" s="50">
        <v>45851</v>
      </c>
      <c r="D480">
        <v>92</v>
      </c>
      <c r="E480" s="8">
        <v>75.900000000000006</v>
      </c>
      <c r="F480" s="29">
        <v>0</v>
      </c>
      <c r="G480" s="8">
        <v>0</v>
      </c>
      <c r="H480" s="8">
        <v>5.3</v>
      </c>
    </row>
    <row r="481" spans="1:8" ht="15" customHeight="1" x14ac:dyDescent="0.25">
      <c r="A481" s="5">
        <v>2</v>
      </c>
      <c r="B481" s="5">
        <v>480</v>
      </c>
      <c r="C481" s="50">
        <v>45852</v>
      </c>
      <c r="D481">
        <v>113</v>
      </c>
      <c r="E481" s="8">
        <v>75.900000000000006</v>
      </c>
      <c r="F481" s="29">
        <v>0</v>
      </c>
      <c r="G481" s="8">
        <v>0</v>
      </c>
      <c r="H481" s="8">
        <v>3.1</v>
      </c>
    </row>
    <row r="482" spans="1:8" ht="15" customHeight="1" x14ac:dyDescent="0.25">
      <c r="A482" s="5">
        <v>3</v>
      </c>
      <c r="B482" s="5">
        <v>481</v>
      </c>
      <c r="C482" s="50">
        <v>45853</v>
      </c>
      <c r="D482">
        <v>77</v>
      </c>
      <c r="E482" s="8">
        <v>80.2</v>
      </c>
      <c r="F482" s="29">
        <v>0</v>
      </c>
      <c r="G482" s="8">
        <v>0</v>
      </c>
      <c r="H482" s="8">
        <v>5.8</v>
      </c>
    </row>
    <row r="483" spans="1:8" ht="15" customHeight="1" x14ac:dyDescent="0.25">
      <c r="A483" s="5">
        <v>4</v>
      </c>
      <c r="B483" s="5">
        <v>482</v>
      </c>
      <c r="C483" s="50">
        <v>45854</v>
      </c>
      <c r="D483">
        <v>80</v>
      </c>
      <c r="E483" s="8">
        <v>81.099999999999994</v>
      </c>
      <c r="F483" s="29">
        <v>0.35799999999999998</v>
      </c>
      <c r="G483" s="8">
        <v>0</v>
      </c>
      <c r="H483" s="8">
        <v>9.6</v>
      </c>
    </row>
    <row r="484" spans="1:8" ht="15" customHeight="1" x14ac:dyDescent="0.25">
      <c r="A484" s="5">
        <v>5</v>
      </c>
      <c r="B484" s="5">
        <v>483</v>
      </c>
      <c r="C484" s="50">
        <v>45855</v>
      </c>
      <c r="D484">
        <v>84</v>
      </c>
      <c r="E484" s="8">
        <v>70.3</v>
      </c>
      <c r="F484" s="29">
        <v>0</v>
      </c>
      <c r="G484" s="8">
        <v>0</v>
      </c>
      <c r="H484" s="8">
        <v>10.5</v>
      </c>
    </row>
    <row r="485" spans="1:8" ht="15" customHeight="1" x14ac:dyDescent="0.25">
      <c r="A485" s="5">
        <v>6</v>
      </c>
      <c r="B485" s="5">
        <v>484</v>
      </c>
      <c r="C485" s="50">
        <v>45856</v>
      </c>
      <c r="D485">
        <v>127</v>
      </c>
      <c r="E485" s="8">
        <v>67.5</v>
      </c>
      <c r="F485" s="29">
        <v>0</v>
      </c>
      <c r="G485" s="8">
        <v>0</v>
      </c>
      <c r="H485" s="8">
        <v>5.2</v>
      </c>
    </row>
    <row r="486" spans="1:8" ht="15" customHeight="1" x14ac:dyDescent="0.25">
      <c r="A486" s="5">
        <v>7</v>
      </c>
      <c r="B486" s="5">
        <v>485</v>
      </c>
      <c r="C486" s="50">
        <v>45857</v>
      </c>
      <c r="D486">
        <v>210</v>
      </c>
      <c r="E486" s="8">
        <v>75.900000000000006</v>
      </c>
      <c r="F486" s="29">
        <v>0.189</v>
      </c>
      <c r="G486" s="8">
        <v>0</v>
      </c>
      <c r="H486" s="8">
        <v>7</v>
      </c>
    </row>
    <row r="487" spans="1:8" ht="15" customHeight="1" x14ac:dyDescent="0.25">
      <c r="A487" s="5">
        <v>1</v>
      </c>
      <c r="B487" s="5">
        <v>486</v>
      </c>
      <c r="C487" s="50">
        <v>45858</v>
      </c>
      <c r="D487">
        <v>53</v>
      </c>
      <c r="E487" s="8">
        <v>73.2</v>
      </c>
      <c r="F487" s="28">
        <v>0</v>
      </c>
      <c r="G487" s="8">
        <v>0</v>
      </c>
      <c r="H487" s="8">
        <v>10.8</v>
      </c>
    </row>
    <row r="488" spans="1:8" ht="15" customHeight="1" x14ac:dyDescent="0.25">
      <c r="A488" s="5">
        <v>2</v>
      </c>
      <c r="B488" s="5">
        <v>487</v>
      </c>
      <c r="C488" s="50">
        <v>45859</v>
      </c>
      <c r="D488">
        <v>66</v>
      </c>
      <c r="E488" s="8">
        <v>72.099999999999994</v>
      </c>
      <c r="F488" s="29">
        <v>0</v>
      </c>
      <c r="G488" s="8">
        <v>0</v>
      </c>
      <c r="H488" s="8">
        <v>8.6999999999999993</v>
      </c>
    </row>
    <row r="489" spans="1:8" ht="15" customHeight="1" x14ac:dyDescent="0.25">
      <c r="A489" s="5">
        <v>3</v>
      </c>
      <c r="B489" s="5">
        <v>488</v>
      </c>
      <c r="C489" s="50">
        <v>45860</v>
      </c>
      <c r="D489">
        <v>73</v>
      </c>
      <c r="E489" s="8">
        <v>76.3</v>
      </c>
      <c r="F489" s="8">
        <v>0</v>
      </c>
      <c r="G489" s="8">
        <v>0</v>
      </c>
      <c r="H489" s="8">
        <v>8.9</v>
      </c>
    </row>
    <row r="490" spans="1:8" ht="15" customHeight="1" x14ac:dyDescent="0.25">
      <c r="A490" s="5">
        <v>4</v>
      </c>
      <c r="B490" s="5">
        <v>489</v>
      </c>
      <c r="C490" s="50">
        <v>45861</v>
      </c>
      <c r="D490">
        <v>61</v>
      </c>
      <c r="E490" s="8">
        <v>81.3</v>
      </c>
      <c r="F490" s="8">
        <v>0</v>
      </c>
      <c r="G490" s="8">
        <v>0</v>
      </c>
      <c r="H490" s="8">
        <v>11.4</v>
      </c>
    </row>
    <row r="491" spans="1:8" ht="15" customHeight="1" x14ac:dyDescent="0.25">
      <c r="A491" s="5">
        <v>5</v>
      </c>
      <c r="B491" s="5">
        <v>490</v>
      </c>
      <c r="C491" s="50">
        <v>45862</v>
      </c>
      <c r="D491">
        <v>93</v>
      </c>
      <c r="E491" s="8">
        <v>86</v>
      </c>
      <c r="F491" s="8">
        <v>3.1E-2</v>
      </c>
      <c r="G491" s="8">
        <v>0</v>
      </c>
      <c r="H491" s="8">
        <v>9.5</v>
      </c>
    </row>
    <row r="492" spans="1:8" ht="15" customHeight="1" x14ac:dyDescent="0.25">
      <c r="A492" s="5">
        <v>6</v>
      </c>
      <c r="B492" s="5">
        <v>491</v>
      </c>
      <c r="C492" s="50">
        <v>45863</v>
      </c>
      <c r="D492">
        <v>122</v>
      </c>
      <c r="E492" s="8">
        <v>78.8</v>
      </c>
      <c r="F492" s="8">
        <v>1.2E-2</v>
      </c>
      <c r="G492" s="8">
        <v>0</v>
      </c>
      <c r="H492" s="8">
        <v>6</v>
      </c>
    </row>
    <row r="493" spans="1:8" ht="15" customHeight="1" x14ac:dyDescent="0.25">
      <c r="A493" s="5">
        <v>7</v>
      </c>
      <c r="B493" s="5">
        <v>492</v>
      </c>
      <c r="C493" s="50">
        <v>45864</v>
      </c>
      <c r="D493">
        <v>135</v>
      </c>
      <c r="E493" s="8">
        <v>76.099999999999994</v>
      </c>
      <c r="F493" s="8">
        <v>0.02</v>
      </c>
      <c r="G493" s="8">
        <v>0</v>
      </c>
      <c r="H493" s="8">
        <v>5.8</v>
      </c>
    </row>
    <row r="494" spans="1:8" ht="15" customHeight="1" x14ac:dyDescent="0.25">
      <c r="A494" s="13">
        <v>1</v>
      </c>
      <c r="B494" s="5">
        <v>493</v>
      </c>
      <c r="C494" s="50">
        <v>45865</v>
      </c>
      <c r="D494">
        <v>31</v>
      </c>
      <c r="E494" s="8">
        <v>79.900000000000006</v>
      </c>
      <c r="F494" s="8">
        <v>3.9E-2</v>
      </c>
      <c r="G494" s="8">
        <v>0</v>
      </c>
      <c r="H494" s="8">
        <v>3.4</v>
      </c>
    </row>
    <row r="495" spans="1:8" ht="15" customHeight="1" x14ac:dyDescent="0.25">
      <c r="A495" s="5">
        <v>2</v>
      </c>
      <c r="B495" s="5">
        <v>494</v>
      </c>
      <c r="C495" s="50">
        <v>45866</v>
      </c>
      <c r="D495">
        <v>70</v>
      </c>
      <c r="E495" s="8">
        <v>81.900000000000006</v>
      </c>
      <c r="F495" s="8">
        <v>3.1E-2</v>
      </c>
      <c r="G495" s="8">
        <v>0</v>
      </c>
      <c r="H495" s="8">
        <v>5.2</v>
      </c>
    </row>
    <row r="496" spans="1:8" ht="15" customHeight="1" x14ac:dyDescent="0.25">
      <c r="A496" s="5">
        <v>3</v>
      </c>
      <c r="B496" s="5">
        <v>495</v>
      </c>
      <c r="C496" s="50">
        <v>45867</v>
      </c>
      <c r="D496">
        <v>69</v>
      </c>
      <c r="E496" s="8">
        <v>82.4</v>
      </c>
      <c r="F496" s="8">
        <v>0</v>
      </c>
      <c r="G496" s="8">
        <v>0</v>
      </c>
      <c r="H496" s="8">
        <v>6</v>
      </c>
    </row>
    <row r="497" spans="1:8" ht="15" customHeight="1" x14ac:dyDescent="0.25">
      <c r="A497" s="5">
        <v>4</v>
      </c>
      <c r="B497" s="5">
        <v>496</v>
      </c>
      <c r="C497" s="50">
        <v>45868</v>
      </c>
      <c r="D497">
        <v>90</v>
      </c>
      <c r="E497" s="8">
        <v>81.7</v>
      </c>
      <c r="F497" s="8">
        <v>0.80300000000000005</v>
      </c>
      <c r="G497" s="8">
        <v>0</v>
      </c>
      <c r="H497" s="8">
        <v>11.2</v>
      </c>
    </row>
    <row r="498" spans="1:8" ht="15" customHeight="1" x14ac:dyDescent="0.25">
      <c r="A498" s="5">
        <v>5</v>
      </c>
      <c r="B498" s="5">
        <v>497</v>
      </c>
      <c r="C498" s="50">
        <v>45869</v>
      </c>
      <c r="D498">
        <v>109</v>
      </c>
      <c r="E498" s="8">
        <v>70.7</v>
      </c>
      <c r="F498" s="8">
        <v>4.7E-2</v>
      </c>
      <c r="G498" s="8">
        <v>0</v>
      </c>
      <c r="H498" s="8">
        <v>16.7</v>
      </c>
    </row>
    <row r="499" spans="1:8" ht="15" customHeight="1" x14ac:dyDescent="0.25">
      <c r="A499" s="5">
        <v>6</v>
      </c>
      <c r="B499" s="5">
        <v>498</v>
      </c>
      <c r="C499" s="50">
        <v>45870</v>
      </c>
      <c r="D499">
        <v>191</v>
      </c>
      <c r="E499" s="8">
        <v>69.400000000000006</v>
      </c>
      <c r="F499" s="8">
        <v>0</v>
      </c>
      <c r="G499" s="8">
        <v>0</v>
      </c>
      <c r="H499" s="8">
        <v>10.1</v>
      </c>
    </row>
    <row r="500" spans="1:8" ht="15" customHeight="1" x14ac:dyDescent="0.25">
      <c r="A500" s="5">
        <v>7</v>
      </c>
      <c r="B500" s="5">
        <v>499</v>
      </c>
      <c r="C500" s="50">
        <v>45871</v>
      </c>
      <c r="D500">
        <v>161</v>
      </c>
      <c r="E500" s="8">
        <v>68.900000000000006</v>
      </c>
      <c r="F500" s="8">
        <v>0</v>
      </c>
      <c r="G500" s="8">
        <v>0</v>
      </c>
      <c r="H500" s="8">
        <v>6.7</v>
      </c>
    </row>
    <row r="501" spans="1:8" ht="15" customHeight="1" x14ac:dyDescent="0.25">
      <c r="A501" s="5">
        <v>1</v>
      </c>
      <c r="B501" s="5">
        <v>500</v>
      </c>
      <c r="C501" s="50">
        <v>45872</v>
      </c>
      <c r="D501">
        <v>68</v>
      </c>
      <c r="E501" s="8">
        <v>70.5</v>
      </c>
      <c r="F501" s="8">
        <v>0</v>
      </c>
      <c r="G501" s="8">
        <v>0</v>
      </c>
      <c r="H501" s="8">
        <v>6.7</v>
      </c>
    </row>
    <row r="502" spans="1:8" ht="15" customHeight="1" x14ac:dyDescent="0.25">
      <c r="A502" s="5">
        <v>2</v>
      </c>
      <c r="B502" s="5">
        <v>501</v>
      </c>
      <c r="C502" s="50">
        <v>45873</v>
      </c>
      <c r="D502">
        <v>75</v>
      </c>
      <c r="E502" s="8">
        <v>72.3</v>
      </c>
      <c r="F502" s="8">
        <v>0</v>
      </c>
      <c r="G502" s="8">
        <v>0</v>
      </c>
      <c r="H502" s="8">
        <v>7</v>
      </c>
    </row>
    <row r="503" spans="1:8" ht="15" customHeight="1" x14ac:dyDescent="0.25">
      <c r="A503" s="5">
        <v>3</v>
      </c>
      <c r="B503" s="5">
        <v>502</v>
      </c>
      <c r="C503" s="50">
        <v>45874</v>
      </c>
      <c r="D503">
        <v>49</v>
      </c>
      <c r="E503" s="8">
        <v>74.7</v>
      </c>
      <c r="F503" s="8">
        <v>0</v>
      </c>
      <c r="G503" s="8">
        <v>0</v>
      </c>
      <c r="H503" s="8">
        <v>8.3000000000000007</v>
      </c>
    </row>
    <row r="504" spans="1:8" ht="15" customHeight="1" x14ac:dyDescent="0.25">
      <c r="A504" s="5">
        <v>4</v>
      </c>
      <c r="B504" s="5">
        <v>503</v>
      </c>
      <c r="C504" s="50">
        <v>45875</v>
      </c>
      <c r="D504">
        <v>60</v>
      </c>
      <c r="E504" s="8">
        <v>75.900000000000006</v>
      </c>
      <c r="F504" s="8">
        <v>0</v>
      </c>
      <c r="G504" s="8">
        <v>0</v>
      </c>
      <c r="H504" s="8">
        <v>6.3</v>
      </c>
    </row>
    <row r="505" spans="1:8" ht="15" customHeight="1" x14ac:dyDescent="0.25">
      <c r="A505" s="5">
        <v>5</v>
      </c>
      <c r="B505" s="5">
        <v>504</v>
      </c>
      <c r="C505" s="50">
        <v>45876</v>
      </c>
      <c r="D505">
        <v>91</v>
      </c>
      <c r="E505" s="8">
        <v>81</v>
      </c>
      <c r="F505" s="8">
        <v>0</v>
      </c>
      <c r="G505" s="8">
        <v>0</v>
      </c>
      <c r="H505" s="8">
        <v>7.8</v>
      </c>
    </row>
    <row r="506" spans="1:8" ht="15" customHeight="1" x14ac:dyDescent="0.25">
      <c r="A506" s="5">
        <v>6</v>
      </c>
      <c r="B506" s="5">
        <v>505</v>
      </c>
      <c r="C506" s="50">
        <v>45877</v>
      </c>
      <c r="D506">
        <v>136</v>
      </c>
      <c r="E506" s="8">
        <v>83.1</v>
      </c>
      <c r="F506" s="8">
        <v>0</v>
      </c>
      <c r="G506" s="8">
        <v>0</v>
      </c>
      <c r="H506" s="8">
        <v>10.1</v>
      </c>
    </row>
    <row r="507" spans="1:8" ht="15" customHeight="1" x14ac:dyDescent="0.25">
      <c r="A507" s="5">
        <v>7</v>
      </c>
      <c r="B507" s="5">
        <v>506</v>
      </c>
      <c r="C507" s="50">
        <v>45878</v>
      </c>
      <c r="D507">
        <v>159</v>
      </c>
      <c r="E507" s="8">
        <v>84.4</v>
      </c>
      <c r="F507" s="8">
        <v>0</v>
      </c>
      <c r="G507" s="8">
        <v>0</v>
      </c>
      <c r="H507" s="8">
        <v>11.9</v>
      </c>
    </row>
    <row r="508" spans="1:8" ht="15" customHeight="1" x14ac:dyDescent="0.25">
      <c r="A508" s="5">
        <v>1</v>
      </c>
      <c r="B508" s="5">
        <v>507</v>
      </c>
      <c r="C508" s="50">
        <v>45879</v>
      </c>
      <c r="D508">
        <v>73</v>
      </c>
      <c r="E508" s="8">
        <v>83.1</v>
      </c>
      <c r="F508" s="8">
        <v>5.8999999999999997E-2</v>
      </c>
      <c r="G508" s="8">
        <v>0</v>
      </c>
      <c r="H508" s="8">
        <v>9.8000000000000007</v>
      </c>
    </row>
    <row r="509" spans="1:8" ht="15" customHeight="1" x14ac:dyDescent="0.25">
      <c r="A509" s="5">
        <v>2</v>
      </c>
      <c r="B509" s="5">
        <v>508</v>
      </c>
      <c r="C509" s="50">
        <v>45880</v>
      </c>
      <c r="D509">
        <v>63</v>
      </c>
      <c r="E509" s="8">
        <v>81.7</v>
      </c>
      <c r="F509" s="8">
        <v>0.311</v>
      </c>
      <c r="G509" s="8">
        <v>0</v>
      </c>
      <c r="H509" s="8">
        <v>8.6999999999999993</v>
      </c>
    </row>
    <row r="510" spans="1:8" ht="15" customHeight="1" x14ac:dyDescent="0.25">
      <c r="A510" s="5">
        <v>3</v>
      </c>
      <c r="B510" s="5">
        <v>509</v>
      </c>
      <c r="C510" s="50">
        <v>45881</v>
      </c>
      <c r="D510">
        <v>55</v>
      </c>
      <c r="E510" s="8">
        <v>77.7</v>
      </c>
      <c r="F510" s="8">
        <v>0.15</v>
      </c>
      <c r="G510" s="8">
        <v>0</v>
      </c>
      <c r="H510" s="8">
        <v>7</v>
      </c>
    </row>
    <row r="511" spans="1:8" ht="15" customHeight="1" x14ac:dyDescent="0.25">
      <c r="A511" s="5">
        <v>4</v>
      </c>
      <c r="B511" s="5">
        <v>510</v>
      </c>
      <c r="C511" s="50">
        <v>45882</v>
      </c>
      <c r="D511">
        <v>54</v>
      </c>
      <c r="E511" s="8">
        <v>76.5</v>
      </c>
      <c r="F511" s="8">
        <v>0</v>
      </c>
      <c r="G511" s="8">
        <v>0</v>
      </c>
      <c r="H511" s="8">
        <v>6</v>
      </c>
    </row>
    <row r="512" spans="1:8" ht="15" customHeight="1" x14ac:dyDescent="0.25">
      <c r="A512" s="5">
        <v>5</v>
      </c>
      <c r="B512" s="5">
        <v>511</v>
      </c>
      <c r="C512" s="50">
        <v>45883</v>
      </c>
      <c r="D512" s="13">
        <v>82</v>
      </c>
      <c r="E512" s="8">
        <v>75.400000000000006</v>
      </c>
      <c r="F512" s="8">
        <v>0</v>
      </c>
      <c r="G512" s="8">
        <v>0</v>
      </c>
      <c r="H512" s="8">
        <v>5.2</v>
      </c>
    </row>
    <row r="513" spans="1:8" ht="15" customHeight="1" x14ac:dyDescent="0.25">
      <c r="A513" s="5">
        <v>6</v>
      </c>
      <c r="B513" s="5">
        <v>512</v>
      </c>
      <c r="C513" s="50">
        <v>45884</v>
      </c>
      <c r="D513" s="13">
        <v>140</v>
      </c>
      <c r="E513" s="8">
        <v>78.400000000000006</v>
      </c>
      <c r="F513" s="8">
        <v>0</v>
      </c>
      <c r="G513" s="8">
        <v>0</v>
      </c>
      <c r="H513" s="8">
        <v>5.2</v>
      </c>
    </row>
    <row r="514" spans="1:8" ht="15" customHeight="1" x14ac:dyDescent="0.25">
      <c r="A514" s="5">
        <v>7</v>
      </c>
      <c r="B514" s="5">
        <v>513</v>
      </c>
      <c r="C514" s="50">
        <v>45885</v>
      </c>
      <c r="D514" s="13">
        <v>162</v>
      </c>
      <c r="E514" s="8">
        <v>83.7</v>
      </c>
      <c r="F514" s="8">
        <v>0.59099999999999997</v>
      </c>
      <c r="G514" s="8">
        <v>0</v>
      </c>
      <c r="H514" s="8">
        <v>7.6</v>
      </c>
    </row>
    <row r="515" spans="1:8" ht="15" customHeight="1" x14ac:dyDescent="0.25">
      <c r="A515" s="13">
        <v>1</v>
      </c>
      <c r="B515" s="5">
        <v>514</v>
      </c>
      <c r="C515" s="50">
        <v>45886</v>
      </c>
      <c r="D515" s="13">
        <v>92</v>
      </c>
      <c r="E515" s="8">
        <v>75</v>
      </c>
      <c r="F515" s="8">
        <v>1.6890000000000001</v>
      </c>
      <c r="G515" s="8">
        <v>0</v>
      </c>
      <c r="H515" s="8">
        <v>8.3000000000000007</v>
      </c>
    </row>
    <row r="516" spans="1:8" ht="15" customHeight="1" x14ac:dyDescent="0.25">
      <c r="A516" s="5">
        <v>2</v>
      </c>
      <c r="B516" s="5">
        <v>515</v>
      </c>
      <c r="C516" s="50">
        <v>45887</v>
      </c>
      <c r="D516" s="13">
        <v>86</v>
      </c>
      <c r="E516" s="8">
        <v>75.900000000000006</v>
      </c>
      <c r="F516" s="8">
        <v>1.728</v>
      </c>
      <c r="G516" s="8">
        <v>0</v>
      </c>
      <c r="H516" s="8">
        <v>8.3000000000000007</v>
      </c>
    </row>
    <row r="517" spans="1:8" ht="15" customHeight="1" x14ac:dyDescent="0.25">
      <c r="A517" s="5">
        <v>3</v>
      </c>
      <c r="B517" s="5">
        <v>516</v>
      </c>
      <c r="C517" s="50">
        <v>45888</v>
      </c>
      <c r="D517" s="13">
        <v>62</v>
      </c>
      <c r="E517" s="8">
        <v>73.8</v>
      </c>
      <c r="F517" s="8">
        <v>0.15</v>
      </c>
      <c r="G517" s="8">
        <v>0</v>
      </c>
      <c r="H517" s="8">
        <v>6.7</v>
      </c>
    </row>
    <row r="518" spans="1:8" ht="15" customHeight="1" x14ac:dyDescent="0.25">
      <c r="A518" s="5">
        <v>4</v>
      </c>
      <c r="B518" s="5">
        <v>517</v>
      </c>
      <c r="C518" s="50">
        <v>45889</v>
      </c>
      <c r="D518" s="13">
        <v>79</v>
      </c>
      <c r="E518" s="8">
        <v>71.400000000000006</v>
      </c>
      <c r="F518" s="8">
        <v>0</v>
      </c>
      <c r="G518" s="8">
        <v>0</v>
      </c>
      <c r="H518" s="8">
        <v>13.2</v>
      </c>
    </row>
    <row r="519" spans="1:8" ht="15" customHeight="1" x14ac:dyDescent="0.25">
      <c r="A519" s="5">
        <v>5</v>
      </c>
      <c r="B519" s="5">
        <v>518</v>
      </c>
      <c r="C519" s="50">
        <v>45890</v>
      </c>
      <c r="D519" s="13">
        <v>128</v>
      </c>
      <c r="E519" s="8">
        <v>70.5</v>
      </c>
      <c r="F519" s="8">
        <v>0</v>
      </c>
      <c r="G519" s="8">
        <v>0</v>
      </c>
      <c r="H519" s="8">
        <v>8.5</v>
      </c>
    </row>
    <row r="520" spans="1:8" ht="15" customHeight="1" x14ac:dyDescent="0.25">
      <c r="A520" s="5">
        <v>6</v>
      </c>
      <c r="B520" s="5">
        <v>519</v>
      </c>
      <c r="C520" s="50">
        <v>45891</v>
      </c>
      <c r="D520" s="13">
        <v>157</v>
      </c>
      <c r="E520" s="8">
        <v>72</v>
      </c>
      <c r="F520" s="8">
        <v>0</v>
      </c>
      <c r="G520" s="8">
        <v>0</v>
      </c>
      <c r="H520" s="8">
        <v>3.8</v>
      </c>
    </row>
    <row r="521" spans="1:8" ht="15" customHeight="1" x14ac:dyDescent="0.25">
      <c r="A521" s="5">
        <v>7</v>
      </c>
      <c r="B521" s="5">
        <v>520</v>
      </c>
      <c r="C521" s="50">
        <v>45892</v>
      </c>
      <c r="D521" s="13">
        <v>216</v>
      </c>
      <c r="E521" s="8">
        <v>74.7</v>
      </c>
      <c r="F521" s="8">
        <v>0</v>
      </c>
      <c r="G521" s="8">
        <v>0</v>
      </c>
      <c r="H521" s="8">
        <v>9.8000000000000007</v>
      </c>
    </row>
    <row r="522" spans="1:8" ht="15" customHeight="1" x14ac:dyDescent="0.25">
      <c r="A522" s="5">
        <v>1</v>
      </c>
      <c r="B522" s="5">
        <v>521</v>
      </c>
      <c r="C522" s="50">
        <v>45893</v>
      </c>
      <c r="D522" s="13">
        <v>71</v>
      </c>
      <c r="E522" s="8">
        <v>66.599999999999994</v>
      </c>
      <c r="F522" s="8">
        <v>0</v>
      </c>
      <c r="G522" s="8">
        <v>0</v>
      </c>
      <c r="H522" s="8">
        <v>10.1</v>
      </c>
    </row>
    <row r="523" spans="1:8" ht="15" customHeight="1" x14ac:dyDescent="0.25">
      <c r="A523" s="5">
        <v>2</v>
      </c>
      <c r="B523" s="5">
        <v>522</v>
      </c>
      <c r="C523" s="50">
        <v>45894</v>
      </c>
      <c r="D523" s="13">
        <v>34</v>
      </c>
      <c r="E523" s="8">
        <v>59.7</v>
      </c>
      <c r="F523" s="8">
        <v>0</v>
      </c>
      <c r="G523" s="8">
        <v>0</v>
      </c>
      <c r="H523" s="8">
        <v>9.3000000000000007</v>
      </c>
    </row>
    <row r="524" spans="1:8" ht="15" customHeight="1" x14ac:dyDescent="0.25">
      <c r="A524" s="5">
        <v>3</v>
      </c>
      <c r="B524" s="5">
        <v>523</v>
      </c>
      <c r="C524" s="50">
        <v>45895</v>
      </c>
      <c r="D524" s="13">
        <v>77</v>
      </c>
      <c r="E524" s="8">
        <v>63.9</v>
      </c>
      <c r="F524" s="8">
        <v>0</v>
      </c>
      <c r="G524" s="8">
        <v>0</v>
      </c>
      <c r="H524" s="8">
        <v>7.7</v>
      </c>
    </row>
    <row r="525" spans="1:8" ht="15" customHeight="1" x14ac:dyDescent="0.25">
      <c r="A525" s="5">
        <v>4</v>
      </c>
      <c r="B525" s="5">
        <v>524</v>
      </c>
      <c r="C525" s="50">
        <v>45896</v>
      </c>
      <c r="D525" s="13">
        <v>102</v>
      </c>
      <c r="E525" s="8">
        <v>66.2</v>
      </c>
      <c r="F525" s="8">
        <v>0</v>
      </c>
      <c r="G525" s="8">
        <v>0</v>
      </c>
      <c r="H525" s="8">
        <v>6.2</v>
      </c>
    </row>
    <row r="526" spans="1:8" ht="15" customHeight="1" x14ac:dyDescent="0.25">
      <c r="A526" s="5">
        <v>5</v>
      </c>
      <c r="B526" s="5">
        <v>525</v>
      </c>
      <c r="C526" s="50">
        <v>45897</v>
      </c>
      <c r="D526" s="13">
        <v>86</v>
      </c>
      <c r="E526" s="8">
        <v>66.900000000000006</v>
      </c>
      <c r="F526" s="8">
        <v>0.13800000000000001</v>
      </c>
      <c r="G526" s="8">
        <v>0</v>
      </c>
      <c r="H526" s="8">
        <v>9.3000000000000007</v>
      </c>
    </row>
    <row r="527" spans="1:8" ht="15" customHeight="1" x14ac:dyDescent="0.25">
      <c r="A527" s="5">
        <v>6</v>
      </c>
      <c r="B527" s="5">
        <v>526</v>
      </c>
      <c r="C527" s="50">
        <v>45898</v>
      </c>
      <c r="D527" s="13">
        <v>140</v>
      </c>
      <c r="E527" s="8">
        <v>63.9</v>
      </c>
      <c r="F527" s="8">
        <v>2.8000000000000001E-2</v>
      </c>
      <c r="G527" s="8">
        <v>0</v>
      </c>
      <c r="H527" s="8">
        <v>7.7</v>
      </c>
    </row>
    <row r="528" spans="1:8" ht="15" customHeight="1" x14ac:dyDescent="0.25">
      <c r="A528" s="5">
        <v>7</v>
      </c>
      <c r="B528" s="5">
        <v>527</v>
      </c>
      <c r="C528" s="50">
        <v>45899</v>
      </c>
      <c r="D528" s="13">
        <v>164</v>
      </c>
      <c r="E528" s="8">
        <v>66.900000000000006</v>
      </c>
      <c r="F528" s="8">
        <v>0.22</v>
      </c>
      <c r="G528" s="8">
        <v>0</v>
      </c>
      <c r="H528" s="8">
        <v>6.8</v>
      </c>
    </row>
    <row r="529" spans="1:10" ht="15" customHeight="1" x14ac:dyDescent="0.25">
      <c r="A529" s="5">
        <v>1</v>
      </c>
      <c r="B529" s="5">
        <v>528</v>
      </c>
      <c r="C529" s="50">
        <v>45900</v>
      </c>
      <c r="D529" s="13">
        <v>68</v>
      </c>
      <c r="E529" s="8">
        <v>65.5</v>
      </c>
      <c r="F529" s="8">
        <v>0</v>
      </c>
      <c r="G529" s="8">
        <v>0</v>
      </c>
      <c r="H529" s="8">
        <v>5.3</v>
      </c>
      <c r="J529" s="37"/>
    </row>
    <row r="530" spans="1:10" ht="15" customHeight="1" x14ac:dyDescent="0.25">
      <c r="A530" s="5">
        <v>2</v>
      </c>
      <c r="B530" s="5">
        <v>529</v>
      </c>
      <c r="C530" s="50">
        <v>45901</v>
      </c>
      <c r="D530" s="13">
        <v>0</v>
      </c>
      <c r="E530" s="8">
        <v>67.8</v>
      </c>
      <c r="F530" s="8">
        <v>0</v>
      </c>
      <c r="G530" s="8">
        <v>0</v>
      </c>
      <c r="H530" s="8">
        <v>4.8</v>
      </c>
      <c r="I530" s="39" t="s">
        <v>19</v>
      </c>
      <c r="J530" s="37"/>
    </row>
    <row r="531" spans="1:10" ht="15" customHeight="1" x14ac:dyDescent="0.25">
      <c r="A531" s="5">
        <v>3</v>
      </c>
      <c r="B531" s="5">
        <v>530</v>
      </c>
      <c r="C531" s="50">
        <v>45902</v>
      </c>
      <c r="D531" s="13">
        <v>45</v>
      </c>
      <c r="E531" s="8">
        <v>69.8</v>
      </c>
      <c r="F531" s="8">
        <v>0</v>
      </c>
      <c r="G531" s="8">
        <v>0</v>
      </c>
      <c r="H531" s="8">
        <v>3.2</v>
      </c>
      <c r="J531" s="37"/>
    </row>
    <row r="532" spans="1:10" ht="15" customHeight="1" x14ac:dyDescent="0.25">
      <c r="A532" s="5">
        <v>4</v>
      </c>
      <c r="B532" s="5">
        <v>531</v>
      </c>
      <c r="C532" s="50">
        <v>45903</v>
      </c>
      <c r="D532" s="13">
        <v>36</v>
      </c>
      <c r="E532" s="8">
        <v>65.5</v>
      </c>
      <c r="F532" s="8">
        <v>0.217</v>
      </c>
      <c r="G532" s="8">
        <v>0</v>
      </c>
      <c r="H532" s="8">
        <v>9.3000000000000007</v>
      </c>
      <c r="J532" s="37"/>
    </row>
    <row r="533" spans="1:10" ht="15" customHeight="1" x14ac:dyDescent="0.25">
      <c r="A533" s="5">
        <v>5</v>
      </c>
      <c r="B533" s="5">
        <v>532</v>
      </c>
      <c r="C533" s="50">
        <v>45904</v>
      </c>
      <c r="D533" s="13">
        <v>59</v>
      </c>
      <c r="E533" s="8">
        <v>58.3</v>
      </c>
      <c r="F533" s="8">
        <v>0</v>
      </c>
      <c r="G533" s="8">
        <v>0</v>
      </c>
      <c r="H533" s="8">
        <v>8.6</v>
      </c>
      <c r="J533" s="37"/>
    </row>
    <row r="534" spans="1:10" ht="15" customHeight="1" x14ac:dyDescent="0.25">
      <c r="A534" s="5">
        <v>6</v>
      </c>
      <c r="B534" s="5">
        <v>533</v>
      </c>
      <c r="C534" s="50">
        <v>45905</v>
      </c>
      <c r="D534" s="13">
        <v>107</v>
      </c>
      <c r="E534" s="8">
        <v>61.2</v>
      </c>
      <c r="F534" s="8">
        <v>0</v>
      </c>
      <c r="G534" s="8">
        <v>0</v>
      </c>
      <c r="H534" s="8">
        <v>13</v>
      </c>
      <c r="J534" s="37"/>
    </row>
    <row r="535" spans="1:10" ht="15" customHeight="1" x14ac:dyDescent="0.25">
      <c r="A535" s="5">
        <v>7</v>
      </c>
      <c r="B535" s="5">
        <v>534</v>
      </c>
      <c r="C535" s="50">
        <v>45906</v>
      </c>
      <c r="D535" s="13">
        <v>152</v>
      </c>
      <c r="E535" s="8">
        <v>57.2</v>
      </c>
      <c r="F535" s="8">
        <v>0</v>
      </c>
      <c r="G535" s="8">
        <v>0</v>
      </c>
      <c r="H535" s="8">
        <v>8.3000000000000007</v>
      </c>
      <c r="J535" s="37"/>
    </row>
    <row r="536" spans="1:10" ht="15" customHeight="1" x14ac:dyDescent="0.25">
      <c r="A536" s="5">
        <v>1</v>
      </c>
      <c r="B536" s="5">
        <v>535</v>
      </c>
      <c r="C536" s="50">
        <v>45907</v>
      </c>
      <c r="D536" s="13">
        <v>46</v>
      </c>
      <c r="E536" s="8">
        <v>57.9</v>
      </c>
      <c r="F536" s="8">
        <v>0</v>
      </c>
      <c r="G536" s="8">
        <v>0</v>
      </c>
      <c r="H536" s="8">
        <v>6.2</v>
      </c>
      <c r="J536" s="37"/>
    </row>
    <row r="537" spans="1:10" ht="15" customHeight="1" x14ac:dyDescent="0.25">
      <c r="A537" s="5">
        <v>2</v>
      </c>
      <c r="B537" s="5">
        <v>536</v>
      </c>
      <c r="C537" s="50">
        <v>45908</v>
      </c>
      <c r="D537" s="13">
        <v>39</v>
      </c>
      <c r="E537" s="8">
        <v>61.5</v>
      </c>
      <c r="F537" s="8">
        <v>0</v>
      </c>
      <c r="G537" s="8">
        <v>0</v>
      </c>
      <c r="H537" s="8">
        <v>6</v>
      </c>
      <c r="J537" s="37"/>
    </row>
    <row r="538" spans="1:10" ht="15" customHeight="1" x14ac:dyDescent="0.25">
      <c r="A538" s="5">
        <v>3</v>
      </c>
      <c r="B538" s="5">
        <v>537</v>
      </c>
      <c r="C538" s="50">
        <v>45909</v>
      </c>
      <c r="D538" s="13">
        <v>58</v>
      </c>
      <c r="E538" s="8">
        <v>64.8</v>
      </c>
      <c r="F538" s="8">
        <v>0</v>
      </c>
      <c r="G538" s="8">
        <v>0</v>
      </c>
      <c r="H538" s="8">
        <v>6.2</v>
      </c>
      <c r="J538" s="37"/>
    </row>
    <row r="539" spans="1:10" ht="15" customHeight="1" x14ac:dyDescent="0.25">
      <c r="A539" s="5">
        <v>4</v>
      </c>
      <c r="B539" s="5">
        <v>538</v>
      </c>
      <c r="C539" s="50">
        <v>45910</v>
      </c>
      <c r="D539" s="13">
        <v>83</v>
      </c>
      <c r="E539" s="8">
        <v>70.7</v>
      </c>
      <c r="F539" s="8">
        <v>0</v>
      </c>
      <c r="G539" s="8">
        <v>0</v>
      </c>
      <c r="H539" s="8">
        <v>5.2</v>
      </c>
      <c r="J539" s="37"/>
    </row>
    <row r="540" spans="1:10" ht="15" customHeight="1" x14ac:dyDescent="0.25">
      <c r="A540" s="5">
        <v>5</v>
      </c>
      <c r="B540" s="5">
        <v>539</v>
      </c>
      <c r="C540" s="50">
        <v>45911</v>
      </c>
      <c r="D540" s="13">
        <v>81</v>
      </c>
      <c r="E540" s="8">
        <v>68.900000000000006</v>
      </c>
      <c r="F540" s="8">
        <v>0</v>
      </c>
      <c r="G540" s="8">
        <v>0</v>
      </c>
      <c r="H540" s="8">
        <v>8.3000000000000007</v>
      </c>
      <c r="J540" s="37"/>
    </row>
    <row r="541" spans="1:10" ht="15" customHeight="1" x14ac:dyDescent="0.25">
      <c r="A541" s="5">
        <v>6</v>
      </c>
      <c r="B541" s="5">
        <v>540</v>
      </c>
      <c r="C541" s="50">
        <v>45912</v>
      </c>
      <c r="D541" s="13">
        <v>117</v>
      </c>
      <c r="E541" s="8">
        <v>72.099999999999994</v>
      </c>
      <c r="F541" s="8">
        <v>0</v>
      </c>
      <c r="G541" s="8">
        <v>0</v>
      </c>
      <c r="H541" s="8">
        <v>6.5</v>
      </c>
      <c r="J541" s="37"/>
    </row>
    <row r="542" spans="1:10" ht="15" customHeight="1" x14ac:dyDescent="0.25">
      <c r="A542" s="5">
        <v>7</v>
      </c>
      <c r="B542" s="5">
        <v>541</v>
      </c>
      <c r="C542" s="50">
        <v>45913</v>
      </c>
      <c r="D542" s="13">
        <v>148</v>
      </c>
      <c r="E542" s="8">
        <v>71.2</v>
      </c>
      <c r="F542" s="8">
        <v>0.58299999999999996</v>
      </c>
      <c r="G542" s="8">
        <v>0</v>
      </c>
      <c r="H542" s="8">
        <v>8.6</v>
      </c>
      <c r="J542" s="37"/>
    </row>
    <row r="543" spans="1:10" ht="15" customHeight="1" x14ac:dyDescent="0.25">
      <c r="A543" s="5">
        <v>1</v>
      </c>
      <c r="B543" s="5">
        <v>542</v>
      </c>
      <c r="C543" s="50">
        <v>45914</v>
      </c>
      <c r="D543" s="13">
        <v>51</v>
      </c>
      <c r="E543" s="8">
        <v>73</v>
      </c>
      <c r="F543" s="8">
        <v>0</v>
      </c>
      <c r="G543" s="8">
        <v>0</v>
      </c>
      <c r="H543" s="8">
        <v>7</v>
      </c>
      <c r="J543" s="37"/>
    </row>
    <row r="544" spans="1:10" ht="15" customHeight="1" x14ac:dyDescent="0.25">
      <c r="A544" s="5">
        <v>2</v>
      </c>
      <c r="B544" s="5">
        <v>543</v>
      </c>
      <c r="C544" s="50">
        <v>45915</v>
      </c>
      <c r="D544" s="13">
        <v>77</v>
      </c>
      <c r="E544" s="8">
        <v>73.599999999999994</v>
      </c>
      <c r="F544" s="8">
        <v>0</v>
      </c>
      <c r="G544" s="8">
        <v>0</v>
      </c>
      <c r="H544" s="8">
        <v>6.8</v>
      </c>
      <c r="J544" s="37"/>
    </row>
    <row r="545" spans="1:17" ht="15" customHeight="1" x14ac:dyDescent="0.25">
      <c r="A545" s="5">
        <v>3</v>
      </c>
      <c r="B545" s="5">
        <v>544</v>
      </c>
      <c r="C545" s="50">
        <v>45916</v>
      </c>
      <c r="D545" s="13">
        <v>80</v>
      </c>
      <c r="E545" s="8">
        <v>72.099999999999994</v>
      </c>
      <c r="F545" s="8">
        <v>0</v>
      </c>
      <c r="G545" s="8">
        <v>0</v>
      </c>
      <c r="H545" s="8">
        <v>4.3</v>
      </c>
      <c r="J545" s="37"/>
    </row>
    <row r="546" spans="1:17" ht="15" customHeight="1" x14ac:dyDescent="0.25">
      <c r="A546" s="5">
        <v>4</v>
      </c>
      <c r="B546" s="5">
        <v>545</v>
      </c>
      <c r="C546" s="50">
        <v>45917</v>
      </c>
      <c r="D546" s="13">
        <v>69</v>
      </c>
      <c r="E546" s="8">
        <v>72</v>
      </c>
      <c r="F546" s="8">
        <v>0</v>
      </c>
      <c r="G546" s="8">
        <v>0</v>
      </c>
      <c r="H546" s="8">
        <v>4.5</v>
      </c>
      <c r="J546" s="37"/>
    </row>
    <row r="547" spans="1:17" ht="15" customHeight="1" x14ac:dyDescent="0.25">
      <c r="A547" s="5">
        <v>5</v>
      </c>
      <c r="B547" s="5">
        <v>546</v>
      </c>
      <c r="C547" s="50">
        <v>45918</v>
      </c>
      <c r="D547" s="13">
        <v>98</v>
      </c>
      <c r="E547" s="8">
        <v>73.400000000000006</v>
      </c>
      <c r="F547" s="8">
        <v>0</v>
      </c>
      <c r="G547" s="8">
        <v>0</v>
      </c>
      <c r="H547" s="8">
        <v>3.5</v>
      </c>
      <c r="J547" s="37"/>
    </row>
    <row r="548" spans="1:17" ht="15" customHeight="1" x14ac:dyDescent="0.25">
      <c r="A548" s="5">
        <v>6</v>
      </c>
      <c r="B548" s="5">
        <v>547</v>
      </c>
      <c r="C548" s="50">
        <v>45919</v>
      </c>
      <c r="D548" s="13">
        <v>151</v>
      </c>
      <c r="E548" s="8">
        <v>77</v>
      </c>
      <c r="F548" s="8">
        <v>0.02</v>
      </c>
      <c r="G548" s="8">
        <v>0</v>
      </c>
      <c r="H548" s="8">
        <v>5.2</v>
      </c>
      <c r="J548" s="37"/>
    </row>
    <row r="549" spans="1:17" ht="15" customHeight="1" x14ac:dyDescent="0.25">
      <c r="A549" s="5">
        <v>7</v>
      </c>
      <c r="B549" s="5">
        <v>548</v>
      </c>
      <c r="C549" s="50">
        <v>45920</v>
      </c>
      <c r="D549" s="13">
        <v>171</v>
      </c>
      <c r="E549" s="8">
        <v>70.7</v>
      </c>
      <c r="F549" s="8">
        <v>0.33100000000000002</v>
      </c>
      <c r="G549" s="8">
        <v>0</v>
      </c>
      <c r="H549" s="8">
        <v>5</v>
      </c>
    </row>
    <row r="550" spans="1:17" ht="15" customHeight="1" x14ac:dyDescent="0.25">
      <c r="A550" s="5">
        <v>1</v>
      </c>
      <c r="B550" s="5">
        <v>549</v>
      </c>
      <c r="C550" s="50">
        <v>45921</v>
      </c>
      <c r="D550" s="13">
        <v>73</v>
      </c>
      <c r="E550" s="8">
        <v>72.900000000000006</v>
      </c>
      <c r="F550" s="8">
        <v>0.64200000000000002</v>
      </c>
      <c r="G550" s="8">
        <v>0</v>
      </c>
      <c r="H550" s="8">
        <v>6.5</v>
      </c>
    </row>
    <row r="551" spans="1:17" ht="15" customHeight="1" x14ac:dyDescent="0.25">
      <c r="A551" s="5">
        <v>2</v>
      </c>
      <c r="B551" s="5">
        <v>550</v>
      </c>
      <c r="C551" s="50">
        <v>45922</v>
      </c>
      <c r="D551" s="13">
        <v>41</v>
      </c>
      <c r="E551" s="8">
        <v>73.599999999999994</v>
      </c>
      <c r="F551" s="8">
        <v>1.2E-2</v>
      </c>
      <c r="G551" s="8">
        <v>0</v>
      </c>
      <c r="H551" s="8">
        <v>7.2</v>
      </c>
      <c r="N551" s="25"/>
    </row>
    <row r="552" spans="1:17" ht="15" customHeight="1" x14ac:dyDescent="0.25">
      <c r="A552" s="5">
        <v>3</v>
      </c>
      <c r="B552" s="5">
        <v>551</v>
      </c>
      <c r="C552" s="50">
        <v>45923</v>
      </c>
      <c r="D552" s="13">
        <v>47</v>
      </c>
      <c r="E552" s="8">
        <v>69.8</v>
      </c>
      <c r="F552" s="8">
        <v>4.2999999999999997E-2</v>
      </c>
      <c r="G552" s="8">
        <v>0</v>
      </c>
      <c r="H552" s="8">
        <v>8.3000000000000007</v>
      </c>
      <c r="P552" s="25"/>
      <c r="Q552" s="40"/>
    </row>
    <row r="553" spans="1:17" ht="15" customHeight="1" x14ac:dyDescent="0.25">
      <c r="A553" s="5">
        <v>4</v>
      </c>
      <c r="B553" s="5">
        <v>552</v>
      </c>
      <c r="C553" s="50">
        <v>45924</v>
      </c>
      <c r="D553" s="13">
        <v>68</v>
      </c>
      <c r="E553" s="8">
        <v>65.8</v>
      </c>
      <c r="F553" s="8">
        <v>0</v>
      </c>
      <c r="G553" s="8">
        <v>0</v>
      </c>
      <c r="H553" s="8">
        <v>11.5</v>
      </c>
      <c r="P553" s="25"/>
      <c r="Q553" s="40"/>
    </row>
    <row r="554" spans="1:17" ht="15" customHeight="1" x14ac:dyDescent="0.25">
      <c r="A554" s="5">
        <v>5</v>
      </c>
      <c r="B554" s="5">
        <v>553</v>
      </c>
      <c r="C554" s="50">
        <v>45925</v>
      </c>
      <c r="D554" s="13">
        <v>101</v>
      </c>
      <c r="E554" s="8">
        <v>65.8</v>
      </c>
      <c r="F554" s="8">
        <v>0</v>
      </c>
      <c r="G554" s="8">
        <v>0</v>
      </c>
      <c r="H554" s="8">
        <v>6.7</v>
      </c>
      <c r="P554" s="25"/>
      <c r="Q554" s="40"/>
    </row>
    <row r="555" spans="1:17" ht="15" customHeight="1" x14ac:dyDescent="0.25">
      <c r="A555" s="5">
        <v>6</v>
      </c>
      <c r="B555" s="5">
        <v>554</v>
      </c>
      <c r="C555" s="50">
        <v>45926</v>
      </c>
      <c r="D555" s="13">
        <v>158</v>
      </c>
      <c r="E555" s="8">
        <v>70.3</v>
      </c>
      <c r="F555" s="8">
        <v>0</v>
      </c>
      <c r="G555" s="8">
        <v>0</v>
      </c>
      <c r="H555" s="8">
        <v>7.3</v>
      </c>
      <c r="P555" s="25"/>
      <c r="Q555" s="40"/>
    </row>
    <row r="556" spans="1:17" ht="15" customHeight="1" x14ac:dyDescent="0.25">
      <c r="A556" s="5">
        <v>7</v>
      </c>
      <c r="B556" s="5">
        <v>555</v>
      </c>
      <c r="C556" s="50">
        <v>45927</v>
      </c>
      <c r="D556" s="13">
        <v>190</v>
      </c>
      <c r="E556" s="8">
        <v>74.099999999999994</v>
      </c>
      <c r="F556" s="8">
        <v>0</v>
      </c>
      <c r="G556" s="8">
        <v>0</v>
      </c>
      <c r="H556" s="8">
        <v>6.5</v>
      </c>
      <c r="P556" s="25"/>
      <c r="Q556" s="40"/>
    </row>
    <row r="557" spans="1:17" ht="15" customHeight="1" x14ac:dyDescent="0.25">
      <c r="A557" s="5">
        <v>1</v>
      </c>
      <c r="B557" s="5">
        <v>556</v>
      </c>
      <c r="C557" s="50">
        <v>45928</v>
      </c>
      <c r="D557" s="13">
        <v>53</v>
      </c>
      <c r="E557" s="8">
        <v>70.7</v>
      </c>
      <c r="F557" s="8">
        <v>0</v>
      </c>
      <c r="G557" s="8">
        <v>0</v>
      </c>
      <c r="H557" s="8">
        <v>6.5</v>
      </c>
      <c r="P557" s="25"/>
      <c r="Q557" s="40"/>
    </row>
    <row r="558" spans="1:17" ht="15" customHeight="1" x14ac:dyDescent="0.25">
      <c r="A558" s="5">
        <v>2</v>
      </c>
      <c r="B558" s="5">
        <v>557</v>
      </c>
      <c r="C558" s="50">
        <v>45929</v>
      </c>
      <c r="D558" s="13">
        <v>38</v>
      </c>
      <c r="E558" s="8">
        <v>73.8</v>
      </c>
      <c r="F558" s="8">
        <v>0</v>
      </c>
      <c r="G558" s="8">
        <v>0</v>
      </c>
      <c r="H558" s="8">
        <v>3.3</v>
      </c>
      <c r="P558" s="25"/>
      <c r="Q558" s="40"/>
    </row>
    <row r="559" spans="1:17" ht="15" customHeight="1" x14ac:dyDescent="0.25">
      <c r="A559" s="5">
        <v>3</v>
      </c>
      <c r="B559" s="5">
        <v>558</v>
      </c>
      <c r="C559" s="50">
        <v>45930</v>
      </c>
      <c r="D559" s="13">
        <v>55</v>
      </c>
      <c r="E559" s="8">
        <v>71.599999999999994</v>
      </c>
      <c r="F559" s="8">
        <v>0</v>
      </c>
      <c r="G559" s="8">
        <v>0</v>
      </c>
      <c r="H559" s="8">
        <v>6.6</v>
      </c>
      <c r="L559" s="13"/>
      <c r="N559" s="25"/>
      <c r="P559" s="25"/>
      <c r="Q559" s="40"/>
    </row>
    <row r="560" spans="1:17" ht="15" customHeight="1" x14ac:dyDescent="0.25">
      <c r="A560" s="5">
        <v>4</v>
      </c>
      <c r="B560" s="5">
        <v>559</v>
      </c>
      <c r="C560" s="50">
        <v>45931</v>
      </c>
      <c r="D560" s="13">
        <v>75</v>
      </c>
      <c r="E560" s="8">
        <v>69.400000000000006</v>
      </c>
      <c r="F560" s="8">
        <v>0</v>
      </c>
      <c r="G560" s="8">
        <v>0</v>
      </c>
      <c r="H560" s="8">
        <v>8.6</v>
      </c>
      <c r="N560" s="25"/>
      <c r="P560" s="25"/>
      <c r="Q560" s="40"/>
    </row>
    <row r="561" spans="1:17" ht="15" customHeight="1" x14ac:dyDescent="0.25">
      <c r="A561" s="5">
        <v>5</v>
      </c>
      <c r="B561" s="5">
        <v>560</v>
      </c>
      <c r="C561" s="50">
        <v>45932</v>
      </c>
      <c r="D561" s="13">
        <v>82</v>
      </c>
      <c r="E561" s="8">
        <v>70.5</v>
      </c>
      <c r="F561" s="8">
        <v>0</v>
      </c>
      <c r="G561" s="8">
        <v>0</v>
      </c>
      <c r="H561" s="8">
        <v>6</v>
      </c>
      <c r="I561" s="39" t="s">
        <v>20</v>
      </c>
      <c r="N561" s="25"/>
      <c r="P561" s="25"/>
      <c r="Q561" s="40"/>
    </row>
    <row r="562" spans="1:17" ht="15" customHeight="1" x14ac:dyDescent="0.25">
      <c r="A562" s="5">
        <v>6</v>
      </c>
      <c r="B562" s="5">
        <v>561</v>
      </c>
      <c r="C562" s="50">
        <v>45933</v>
      </c>
      <c r="D562" s="13">
        <v>144</v>
      </c>
      <c r="E562" s="8">
        <v>76.3</v>
      </c>
      <c r="F562" s="8">
        <v>0</v>
      </c>
      <c r="G562" s="8">
        <v>0</v>
      </c>
      <c r="H562" s="8">
        <v>5.4</v>
      </c>
      <c r="N562" s="25"/>
      <c r="P562" s="25"/>
      <c r="Q562" s="40"/>
    </row>
    <row r="563" spans="1:17" ht="15" customHeight="1" x14ac:dyDescent="0.25">
      <c r="A563" s="5">
        <v>7</v>
      </c>
      <c r="B563" s="5">
        <v>562</v>
      </c>
      <c r="C563" s="50">
        <v>45934</v>
      </c>
      <c r="D563" s="13">
        <v>190</v>
      </c>
      <c r="E563" s="8">
        <v>77</v>
      </c>
      <c r="F563" s="8">
        <v>0</v>
      </c>
      <c r="G563" s="8">
        <v>0</v>
      </c>
      <c r="H563" s="8">
        <v>8.5</v>
      </c>
      <c r="N563" s="25"/>
      <c r="P563" s="25"/>
      <c r="Q563" s="40"/>
    </row>
    <row r="564" spans="1:17" ht="15" customHeight="1" x14ac:dyDescent="0.25">
      <c r="A564" s="5">
        <v>1</v>
      </c>
      <c r="B564" s="5">
        <v>563</v>
      </c>
      <c r="C564" s="50">
        <v>45935</v>
      </c>
      <c r="D564" s="13">
        <v>50</v>
      </c>
      <c r="E564" s="8">
        <v>74.7</v>
      </c>
      <c r="F564" s="8">
        <v>0</v>
      </c>
      <c r="G564" s="8">
        <v>0</v>
      </c>
      <c r="H564" s="8">
        <v>10.4</v>
      </c>
      <c r="P564" s="25"/>
      <c r="Q564" s="40"/>
    </row>
    <row r="565" spans="1:17" ht="15" customHeight="1" x14ac:dyDescent="0.25">
      <c r="A565" s="5">
        <v>2</v>
      </c>
      <c r="B565" s="5">
        <v>564</v>
      </c>
      <c r="C565" s="50">
        <v>45936</v>
      </c>
      <c r="D565" s="13">
        <v>38</v>
      </c>
      <c r="E565" s="8">
        <v>72</v>
      </c>
      <c r="F565" s="8">
        <v>0.42499999999999999</v>
      </c>
      <c r="G565" s="8">
        <v>0</v>
      </c>
      <c r="H565" s="8">
        <v>9.4</v>
      </c>
      <c r="N565" s="25"/>
      <c r="P565" s="25"/>
      <c r="Q565" s="40"/>
    </row>
    <row r="566" spans="1:17" ht="15" customHeight="1" x14ac:dyDescent="0.25">
      <c r="A566" s="5">
        <v>3</v>
      </c>
      <c r="B566" s="5">
        <v>565</v>
      </c>
      <c r="C566" s="50">
        <v>45937</v>
      </c>
      <c r="D566" s="25">
        <v>105</v>
      </c>
      <c r="E566" s="8">
        <v>59.9</v>
      </c>
      <c r="F566" s="8">
        <v>0.73599999999999999</v>
      </c>
      <c r="G566" s="8">
        <v>0</v>
      </c>
      <c r="H566" s="8">
        <v>10.1</v>
      </c>
      <c r="J566"/>
      <c r="P566" s="25"/>
      <c r="Q566" s="40"/>
    </row>
    <row r="567" spans="1:17" ht="15" customHeight="1" x14ac:dyDescent="0.25">
      <c r="A567" s="5">
        <v>4</v>
      </c>
      <c r="B567" s="5">
        <v>566</v>
      </c>
      <c r="C567" s="50">
        <v>45938</v>
      </c>
      <c r="D567" s="25">
        <v>38</v>
      </c>
      <c r="E567" s="8">
        <v>55.4</v>
      </c>
      <c r="F567" s="8">
        <v>0</v>
      </c>
      <c r="G567" s="8">
        <v>0</v>
      </c>
      <c r="H567" s="8">
        <v>7.6</v>
      </c>
      <c r="J567"/>
      <c r="P567" s="25"/>
      <c r="Q567" s="40"/>
    </row>
    <row r="568" spans="1:17" ht="15" customHeight="1" x14ac:dyDescent="0.25">
      <c r="A568" s="5">
        <v>5</v>
      </c>
      <c r="B568" s="5">
        <v>567</v>
      </c>
      <c r="C568" s="50">
        <v>45939</v>
      </c>
      <c r="D568" s="25">
        <v>59</v>
      </c>
      <c r="E568" s="8">
        <v>55.2</v>
      </c>
      <c r="F568" s="8">
        <v>0</v>
      </c>
      <c r="G568" s="8">
        <v>0</v>
      </c>
      <c r="H568" s="8">
        <v>4.8</v>
      </c>
      <c r="J568" s="37"/>
      <c r="Q568" s="25"/>
    </row>
    <row r="569" spans="1:17" ht="15" customHeight="1" x14ac:dyDescent="0.25">
      <c r="A569" s="5">
        <v>6</v>
      </c>
      <c r="B569" s="5">
        <v>568</v>
      </c>
      <c r="C569" s="50">
        <v>45940</v>
      </c>
      <c r="D569" s="25">
        <v>91</v>
      </c>
      <c r="E569" s="8">
        <v>56.7</v>
      </c>
      <c r="F569" s="8">
        <v>0</v>
      </c>
      <c r="G569" s="8">
        <v>0</v>
      </c>
      <c r="H569" s="8">
        <v>6.1</v>
      </c>
      <c r="J569" s="37"/>
      <c r="Q569" s="25"/>
    </row>
    <row r="570" spans="1:17" ht="15" customHeight="1" x14ac:dyDescent="0.25">
      <c r="A570" s="5">
        <v>7</v>
      </c>
      <c r="B570" s="5">
        <v>569</v>
      </c>
      <c r="C570" s="50">
        <v>45941</v>
      </c>
      <c r="D570" s="25">
        <v>138</v>
      </c>
      <c r="E570" s="8">
        <v>58.1</v>
      </c>
      <c r="F570" s="8">
        <v>0</v>
      </c>
      <c r="G570" s="8">
        <v>0</v>
      </c>
      <c r="H570" s="8">
        <v>9.4</v>
      </c>
      <c r="J570" s="37"/>
      <c r="Q570" s="25"/>
    </row>
    <row r="571" spans="1:17" ht="15" customHeight="1" x14ac:dyDescent="0.25">
      <c r="A571" s="5">
        <v>1</v>
      </c>
      <c r="B571" s="5">
        <v>570</v>
      </c>
      <c r="C571" s="50">
        <v>45942</v>
      </c>
      <c r="D571" s="25">
        <v>19</v>
      </c>
      <c r="E571" s="8">
        <v>58.8</v>
      </c>
      <c r="F571" s="8">
        <v>0</v>
      </c>
      <c r="G571" s="8">
        <v>0</v>
      </c>
      <c r="H571" s="8">
        <v>5.8</v>
      </c>
      <c r="J571" s="37"/>
      <c r="Q571" s="25"/>
    </row>
    <row r="572" spans="1:17" ht="15" customHeight="1" x14ac:dyDescent="0.25">
      <c r="A572" s="5">
        <v>2</v>
      </c>
      <c r="B572" s="5">
        <v>571</v>
      </c>
      <c r="C572" s="50">
        <v>45943</v>
      </c>
      <c r="D572" s="25">
        <v>33</v>
      </c>
      <c r="E572" s="8">
        <v>61.7</v>
      </c>
      <c r="F572" s="8">
        <v>0</v>
      </c>
      <c r="G572" s="8">
        <v>0</v>
      </c>
      <c r="H572" s="8">
        <v>4.4000000000000004</v>
      </c>
      <c r="I572" t="s">
        <v>21</v>
      </c>
      <c r="J572" s="37"/>
      <c r="Q572" s="25"/>
    </row>
    <row r="573" spans="1:17" ht="15" customHeight="1" x14ac:dyDescent="0.25">
      <c r="A573" s="5">
        <v>3</v>
      </c>
      <c r="B573" s="5">
        <v>572</v>
      </c>
      <c r="C573" s="50">
        <v>45944</v>
      </c>
      <c r="D573" s="25">
        <v>25</v>
      </c>
      <c r="E573" s="8">
        <v>61.3</v>
      </c>
      <c r="F573" s="8">
        <v>0</v>
      </c>
      <c r="G573" s="8">
        <v>0</v>
      </c>
      <c r="H573" s="8">
        <v>10.1</v>
      </c>
      <c r="J573" s="37"/>
      <c r="Q573" s="25"/>
    </row>
    <row r="574" spans="1:17" ht="15" customHeight="1" x14ac:dyDescent="0.25">
      <c r="A574" s="5">
        <v>4</v>
      </c>
      <c r="B574" s="5">
        <v>573</v>
      </c>
      <c r="C574" s="50">
        <v>45945</v>
      </c>
      <c r="D574" s="25">
        <v>37</v>
      </c>
      <c r="E574" s="8">
        <v>57.7</v>
      </c>
      <c r="F574" s="8">
        <v>6.3E-2</v>
      </c>
      <c r="G574" s="8">
        <v>0</v>
      </c>
      <c r="H574" s="8">
        <v>10.3</v>
      </c>
      <c r="J574" s="37"/>
      <c r="Q574" s="25"/>
    </row>
    <row r="575" spans="1:17" ht="15" customHeight="1" x14ac:dyDescent="0.25">
      <c r="A575" s="5">
        <v>5</v>
      </c>
      <c r="B575" s="5">
        <v>574</v>
      </c>
      <c r="C575" s="50">
        <v>45946</v>
      </c>
      <c r="D575" s="25">
        <v>62</v>
      </c>
      <c r="E575" s="8">
        <v>61.3</v>
      </c>
      <c r="F575" s="8">
        <v>0</v>
      </c>
      <c r="G575" s="8">
        <v>0</v>
      </c>
      <c r="H575" s="8">
        <v>6.8</v>
      </c>
      <c r="J575" s="37"/>
      <c r="Q575" s="25"/>
    </row>
    <row r="576" spans="1:17" ht="15" customHeight="1" x14ac:dyDescent="0.25">
      <c r="A576" s="5">
        <v>6</v>
      </c>
      <c r="B576" s="5">
        <v>575</v>
      </c>
      <c r="C576" s="50">
        <v>45947</v>
      </c>
      <c r="D576" s="25">
        <v>126</v>
      </c>
      <c r="E576" s="8">
        <v>64.900000000000006</v>
      </c>
      <c r="F576" s="8">
        <v>0</v>
      </c>
      <c r="G576" s="8">
        <v>0</v>
      </c>
      <c r="H576" s="8">
        <v>10.3</v>
      </c>
      <c r="J576" s="37"/>
      <c r="Q576" s="25"/>
    </row>
    <row r="577" spans="1:17" ht="15" customHeight="1" x14ac:dyDescent="0.25">
      <c r="A577" s="5">
        <v>7</v>
      </c>
      <c r="B577" s="5">
        <v>576</v>
      </c>
      <c r="C577" s="50">
        <v>45948</v>
      </c>
      <c r="D577" s="25">
        <v>141</v>
      </c>
      <c r="E577" s="8">
        <v>66.599999999999994</v>
      </c>
      <c r="F577" s="8">
        <v>0.122</v>
      </c>
      <c r="G577" s="8">
        <v>0</v>
      </c>
      <c r="H577" s="8">
        <v>10.1</v>
      </c>
      <c r="J577" s="37"/>
      <c r="Q577" s="25"/>
    </row>
    <row r="578" spans="1:17" ht="15" customHeight="1" x14ac:dyDescent="0.25">
      <c r="A578" s="5">
        <v>1</v>
      </c>
      <c r="B578" s="5">
        <v>577</v>
      </c>
      <c r="C578" s="50">
        <v>45949</v>
      </c>
      <c r="D578" s="25">
        <v>65</v>
      </c>
      <c r="E578" s="8">
        <v>55.4</v>
      </c>
      <c r="F578" s="8">
        <v>1.48</v>
      </c>
      <c r="G578" s="8">
        <v>0</v>
      </c>
      <c r="H578" s="8">
        <v>13.1</v>
      </c>
      <c r="J578" s="37"/>
      <c r="Q578" s="25"/>
    </row>
    <row r="579" spans="1:17" ht="15" customHeight="1" x14ac:dyDescent="0.25">
      <c r="A579" s="5">
        <v>2</v>
      </c>
      <c r="B579" s="5">
        <v>578</v>
      </c>
      <c r="C579" s="50">
        <v>45950</v>
      </c>
      <c r="D579" s="25">
        <v>46</v>
      </c>
      <c r="E579" s="8">
        <v>54.9</v>
      </c>
      <c r="F579" s="8">
        <v>0</v>
      </c>
      <c r="G579" s="8">
        <v>0</v>
      </c>
      <c r="H579" s="8">
        <v>10.6</v>
      </c>
      <c r="I579" t="s">
        <v>52</v>
      </c>
      <c r="J579" s="37"/>
      <c r="Q579" s="25"/>
    </row>
    <row r="580" spans="1:17" ht="15" customHeight="1" x14ac:dyDescent="0.25">
      <c r="A580" s="5">
        <v>3</v>
      </c>
      <c r="B580" s="5">
        <v>579</v>
      </c>
      <c r="C580" s="50">
        <v>45951</v>
      </c>
      <c r="D580" s="25">
        <v>31</v>
      </c>
      <c r="E580" s="8">
        <v>49.3</v>
      </c>
      <c r="F580" s="8">
        <v>7.0999999999999994E-2</v>
      </c>
      <c r="G580" s="8">
        <v>0</v>
      </c>
      <c r="H580" s="8">
        <v>13.4</v>
      </c>
      <c r="J580" s="37"/>
      <c r="Q580" s="25"/>
    </row>
    <row r="581" spans="1:17" ht="15" customHeight="1" x14ac:dyDescent="0.25">
      <c r="A581" s="5">
        <v>4</v>
      </c>
      <c r="B581" s="5">
        <v>580</v>
      </c>
      <c r="C581" s="50">
        <v>45952</v>
      </c>
      <c r="D581" s="25">
        <v>84</v>
      </c>
      <c r="E581" s="8">
        <v>47.3</v>
      </c>
      <c r="F581" s="8">
        <v>4.0000000000000001E-3</v>
      </c>
      <c r="G581" s="8">
        <v>0</v>
      </c>
      <c r="H581" s="8">
        <v>14.2</v>
      </c>
      <c r="J581" s="37"/>
      <c r="Q581" s="25"/>
    </row>
    <row r="582" spans="1:17" ht="15" customHeight="1" x14ac:dyDescent="0.25">
      <c r="A582" s="5">
        <v>5</v>
      </c>
      <c r="B582" s="5">
        <v>581</v>
      </c>
      <c r="C582" s="50">
        <v>45953</v>
      </c>
      <c r="D582" s="25">
        <v>28</v>
      </c>
      <c r="E582" s="8">
        <v>45.5</v>
      </c>
      <c r="F582" s="8">
        <v>0</v>
      </c>
      <c r="G582" s="8">
        <v>0</v>
      </c>
      <c r="H582" s="8">
        <v>8.6</v>
      </c>
      <c r="J582" s="37"/>
      <c r="Q582" s="25"/>
    </row>
    <row r="583" spans="1:17" ht="15" customHeight="1" x14ac:dyDescent="0.25">
      <c r="A583" s="5">
        <v>6</v>
      </c>
      <c r="B583" s="5">
        <v>582</v>
      </c>
      <c r="C583" s="50">
        <v>45954</v>
      </c>
      <c r="D583" s="25">
        <v>131</v>
      </c>
      <c r="E583" s="8">
        <v>43.7</v>
      </c>
      <c r="F583" s="8">
        <v>0</v>
      </c>
      <c r="G583" s="8">
        <v>0</v>
      </c>
      <c r="H583" s="8">
        <v>4.7</v>
      </c>
      <c r="J583" s="37"/>
      <c r="Q583" s="25"/>
    </row>
    <row r="584" spans="1:17" ht="15" customHeight="1" x14ac:dyDescent="0.25">
      <c r="A584" s="5">
        <v>7</v>
      </c>
      <c r="B584" s="5">
        <v>583</v>
      </c>
      <c r="C584" s="50">
        <v>45955</v>
      </c>
      <c r="D584" s="25">
        <v>199</v>
      </c>
      <c r="E584" s="8">
        <v>46.6</v>
      </c>
      <c r="F584" s="8">
        <v>0.02</v>
      </c>
      <c r="G584" s="8">
        <v>0</v>
      </c>
      <c r="H584" s="8">
        <v>5</v>
      </c>
      <c r="J584" s="37"/>
      <c r="Q584" s="25"/>
    </row>
    <row r="585" spans="1:17" ht="15" customHeight="1" x14ac:dyDescent="0.25">
      <c r="A585" s="5">
        <v>1</v>
      </c>
      <c r="B585" s="5">
        <v>584</v>
      </c>
      <c r="C585" s="50">
        <v>45956</v>
      </c>
      <c r="D585" s="25">
        <v>49</v>
      </c>
      <c r="E585" s="8">
        <v>52.2</v>
      </c>
      <c r="F585" s="8">
        <v>0</v>
      </c>
      <c r="G585" s="8">
        <v>0</v>
      </c>
      <c r="H585" s="8">
        <v>9.1</v>
      </c>
      <c r="J585" s="37"/>
      <c r="Q585" s="25"/>
    </row>
    <row r="586" spans="1:17" ht="15" customHeight="1" x14ac:dyDescent="0.25">
      <c r="A586" s="5">
        <v>2</v>
      </c>
      <c r="B586" s="5">
        <v>585</v>
      </c>
      <c r="C586" s="50">
        <v>45957</v>
      </c>
      <c r="D586" s="25">
        <v>48</v>
      </c>
      <c r="E586" s="8">
        <v>51.8</v>
      </c>
      <c r="F586" s="8">
        <v>0</v>
      </c>
      <c r="G586" s="8">
        <v>0</v>
      </c>
      <c r="H586" s="8">
        <v>11</v>
      </c>
      <c r="J586" s="37"/>
      <c r="Q586" s="25"/>
    </row>
    <row r="587" spans="1:17" ht="15" customHeight="1" x14ac:dyDescent="0.25">
      <c r="A587" s="5">
        <v>3</v>
      </c>
      <c r="B587" s="5">
        <v>586</v>
      </c>
      <c r="C587" s="50">
        <v>45958</v>
      </c>
      <c r="D587" s="25">
        <v>58</v>
      </c>
      <c r="E587" s="8">
        <v>52</v>
      </c>
      <c r="F587" s="8">
        <v>0</v>
      </c>
      <c r="G587" s="8">
        <v>0</v>
      </c>
      <c r="H587" s="8">
        <v>11.7</v>
      </c>
      <c r="J587" s="37"/>
      <c r="Q587" s="25"/>
    </row>
    <row r="588" spans="1:17" ht="15" customHeight="1" x14ac:dyDescent="0.25">
      <c r="A588" s="5">
        <v>4</v>
      </c>
      <c r="B588" s="5">
        <v>587</v>
      </c>
      <c r="C588" s="50">
        <v>45959</v>
      </c>
      <c r="D588" s="25">
        <v>34</v>
      </c>
      <c r="E588" s="8">
        <v>50.9</v>
      </c>
      <c r="F588" s="8">
        <v>0</v>
      </c>
      <c r="G588" s="8">
        <v>0</v>
      </c>
      <c r="H588" s="8">
        <v>16.3</v>
      </c>
      <c r="J588" s="42"/>
      <c r="K588" s="43"/>
      <c r="Q588" s="25"/>
    </row>
    <row r="589" spans="1:17" ht="15" customHeight="1" x14ac:dyDescent="0.25">
      <c r="A589" s="5">
        <v>5</v>
      </c>
      <c r="B589" s="5">
        <v>588</v>
      </c>
      <c r="C589" s="50">
        <v>45960</v>
      </c>
      <c r="D589" s="25">
        <v>39</v>
      </c>
      <c r="E589" s="8">
        <v>47.8</v>
      </c>
      <c r="F589" s="8">
        <v>0</v>
      </c>
      <c r="G589" s="8">
        <v>0</v>
      </c>
      <c r="H589" s="8">
        <v>8.4</v>
      </c>
      <c r="J589" s="42"/>
      <c r="K589" s="43"/>
      <c r="Q589" s="25"/>
    </row>
    <row r="590" spans="1:17" ht="15" customHeight="1" x14ac:dyDescent="0.25">
      <c r="A590" s="5">
        <v>6</v>
      </c>
      <c r="B590" s="5">
        <v>589</v>
      </c>
      <c r="C590" s="50">
        <v>45961</v>
      </c>
      <c r="D590">
        <v>38</v>
      </c>
      <c r="E590" s="8">
        <v>46.4</v>
      </c>
      <c r="F590" s="8">
        <v>0</v>
      </c>
      <c r="G590" s="8">
        <v>0</v>
      </c>
      <c r="H590" s="8">
        <v>8.3000000000000007</v>
      </c>
      <c r="I590" t="s">
        <v>51</v>
      </c>
      <c r="J590" s="42"/>
      <c r="K590" s="43"/>
      <c r="Q590" s="25"/>
    </row>
    <row r="591" spans="1:17" ht="15" customHeight="1" x14ac:dyDescent="0.25">
      <c r="A591" s="5">
        <v>7</v>
      </c>
      <c r="B591" s="5">
        <v>590</v>
      </c>
      <c r="C591" s="50">
        <v>45962</v>
      </c>
      <c r="D591" s="36">
        <v>162</v>
      </c>
      <c r="E591" s="8">
        <v>44.8</v>
      </c>
      <c r="F591" s="8">
        <v>3.5000000000000003E-2</v>
      </c>
      <c r="G591" s="8">
        <v>0</v>
      </c>
      <c r="H591" s="8">
        <v>6.5</v>
      </c>
      <c r="J591" s="42"/>
      <c r="K591" s="43"/>
      <c r="Q591" s="25"/>
    </row>
    <row r="592" spans="1:17" ht="15" customHeight="1" x14ac:dyDescent="0.25">
      <c r="A592" s="5">
        <v>1</v>
      </c>
      <c r="B592" s="5">
        <v>591</v>
      </c>
      <c r="C592" s="50">
        <v>45963</v>
      </c>
      <c r="D592" s="25">
        <v>35</v>
      </c>
      <c r="E592" s="8">
        <v>46.8</v>
      </c>
      <c r="F592" s="8">
        <v>0.02</v>
      </c>
      <c r="G592" s="8">
        <v>0</v>
      </c>
      <c r="H592" s="8">
        <v>8</v>
      </c>
      <c r="I592" t="s">
        <v>62</v>
      </c>
      <c r="J592" s="42"/>
      <c r="K592" s="43"/>
      <c r="Q592" s="25"/>
    </row>
    <row r="593" spans="1:17" ht="15" customHeight="1" x14ac:dyDescent="0.25">
      <c r="A593" s="5">
        <v>2</v>
      </c>
      <c r="B593" s="5">
        <v>592</v>
      </c>
      <c r="C593" s="50">
        <v>45964</v>
      </c>
      <c r="D593" s="25">
        <v>61</v>
      </c>
      <c r="E593" s="8">
        <v>50.5</v>
      </c>
      <c r="F593" s="8">
        <v>7.0999999999999994E-2</v>
      </c>
      <c r="G593" s="8">
        <v>0</v>
      </c>
      <c r="H593" s="8">
        <v>11.4</v>
      </c>
      <c r="J593" s="42"/>
      <c r="K593" s="43"/>
      <c r="Q593" s="25"/>
    </row>
    <row r="594" spans="1:17" ht="15" customHeight="1" x14ac:dyDescent="0.25">
      <c r="A594" s="5">
        <v>3</v>
      </c>
      <c r="B594" s="5">
        <v>593</v>
      </c>
      <c r="C594" s="50">
        <v>45965</v>
      </c>
      <c r="D594" s="25">
        <v>41</v>
      </c>
      <c r="E594" s="8">
        <v>52.2</v>
      </c>
      <c r="F594" s="8">
        <v>0</v>
      </c>
      <c r="G594" s="8">
        <v>0</v>
      </c>
      <c r="H594" s="8">
        <v>8.3000000000000007</v>
      </c>
      <c r="I594" t="s">
        <v>23</v>
      </c>
      <c r="J594" s="42"/>
      <c r="K594" s="43"/>
      <c r="Q594" s="25"/>
    </row>
    <row r="595" spans="1:17" ht="15" customHeight="1" x14ac:dyDescent="0.25">
      <c r="A595" s="5">
        <v>4</v>
      </c>
      <c r="B595" s="5">
        <v>594</v>
      </c>
      <c r="C595" s="50">
        <v>45966</v>
      </c>
      <c r="D595" s="25">
        <v>47</v>
      </c>
      <c r="E595" s="8">
        <v>53.8</v>
      </c>
      <c r="F595" s="8">
        <v>0</v>
      </c>
      <c r="G595" s="8">
        <v>0</v>
      </c>
      <c r="H595" s="8">
        <v>10.9</v>
      </c>
      <c r="J595" s="42"/>
      <c r="K595" s="43"/>
      <c r="Q595" s="25"/>
    </row>
    <row r="596" spans="1:17" ht="15" customHeight="1" x14ac:dyDescent="0.25">
      <c r="A596" s="5">
        <v>5</v>
      </c>
      <c r="B596" s="5">
        <v>595</v>
      </c>
      <c r="C596" s="50">
        <v>45967</v>
      </c>
      <c r="D596" s="25">
        <v>61</v>
      </c>
      <c r="E596" s="8">
        <v>49.3</v>
      </c>
      <c r="F596" s="8">
        <v>0</v>
      </c>
      <c r="G596" s="8">
        <v>0</v>
      </c>
      <c r="H596" s="8">
        <v>8.1</v>
      </c>
      <c r="J596" s="42"/>
      <c r="K596" s="43"/>
      <c r="Q596" s="25"/>
    </row>
    <row r="597" spans="1:17" ht="15" customHeight="1" x14ac:dyDescent="0.25">
      <c r="A597" s="5">
        <v>6</v>
      </c>
      <c r="B597" s="5">
        <v>596</v>
      </c>
      <c r="C597" s="50">
        <v>45968</v>
      </c>
      <c r="D597" s="36">
        <v>145</v>
      </c>
      <c r="E597" s="8">
        <v>54</v>
      </c>
      <c r="F597" s="8">
        <v>0.224</v>
      </c>
      <c r="G597" s="8">
        <v>0</v>
      </c>
      <c r="H597" s="8">
        <v>11.4</v>
      </c>
      <c r="J597" s="42"/>
      <c r="K597" s="43"/>
      <c r="Q597" s="25"/>
    </row>
    <row r="598" spans="1:17" ht="15" customHeight="1" x14ac:dyDescent="0.25">
      <c r="A598" s="5">
        <v>7</v>
      </c>
      <c r="B598" s="5">
        <v>597</v>
      </c>
      <c r="C598" s="50">
        <v>45969</v>
      </c>
      <c r="D598" s="36">
        <v>142</v>
      </c>
      <c r="E598" s="8">
        <v>43.7</v>
      </c>
      <c r="F598" s="8">
        <v>0.378</v>
      </c>
      <c r="G598" s="8">
        <v>0</v>
      </c>
      <c r="H598" s="8">
        <v>11.2</v>
      </c>
      <c r="J598" s="42"/>
      <c r="K598" s="43"/>
      <c r="Q598" s="25"/>
    </row>
    <row r="599" spans="1:17" ht="15" customHeight="1" x14ac:dyDescent="0.25">
      <c r="A599" s="5">
        <v>1</v>
      </c>
      <c r="B599" s="5">
        <v>598</v>
      </c>
      <c r="C599" s="50">
        <v>45970</v>
      </c>
      <c r="D599" s="25">
        <v>28</v>
      </c>
      <c r="E599" s="8">
        <v>31.5</v>
      </c>
      <c r="F599" s="8">
        <v>0.24</v>
      </c>
      <c r="G599" s="8">
        <v>0.98399999999999999</v>
      </c>
      <c r="H599" s="8">
        <v>17.5</v>
      </c>
      <c r="J599" s="42"/>
      <c r="K599" s="43"/>
      <c r="Q599" s="25"/>
    </row>
    <row r="600" spans="1:17" ht="15" customHeight="1" x14ac:dyDescent="0.25">
      <c r="A600" s="5">
        <v>2</v>
      </c>
      <c r="B600" s="5">
        <v>599</v>
      </c>
      <c r="C600" s="50">
        <v>45971</v>
      </c>
      <c r="D600" s="25">
        <v>34</v>
      </c>
      <c r="E600" s="8">
        <v>28.8</v>
      </c>
      <c r="F600" s="8">
        <v>0.13800000000000001</v>
      </c>
      <c r="G600" s="8">
        <v>0</v>
      </c>
      <c r="H600" s="8">
        <v>13.9</v>
      </c>
      <c r="J600" s="42"/>
      <c r="K600" s="43"/>
      <c r="Q600" s="25"/>
    </row>
    <row r="601" spans="1:17" ht="15" customHeight="1" x14ac:dyDescent="0.25">
      <c r="A601" s="5">
        <v>3</v>
      </c>
      <c r="B601" s="5">
        <v>600</v>
      </c>
      <c r="C601" s="50">
        <v>45972</v>
      </c>
      <c r="D601" s="25">
        <v>34</v>
      </c>
      <c r="E601" s="8">
        <v>34.700000000000003</v>
      </c>
      <c r="F601" s="8">
        <v>0</v>
      </c>
      <c r="G601" s="8">
        <v>0</v>
      </c>
      <c r="H601" s="8">
        <v>11.8</v>
      </c>
      <c r="I601" t="s">
        <v>24</v>
      </c>
      <c r="J601" s="42"/>
      <c r="K601" s="43"/>
      <c r="Q601" s="25"/>
    </row>
    <row r="602" spans="1:17" ht="15" customHeight="1" x14ac:dyDescent="0.25">
      <c r="A602" s="5">
        <v>4</v>
      </c>
      <c r="B602" s="5">
        <v>601</v>
      </c>
      <c r="C602" s="50">
        <v>45973</v>
      </c>
      <c r="D602" s="25">
        <v>22</v>
      </c>
      <c r="E602" s="8">
        <v>45.3</v>
      </c>
      <c r="F602" s="8">
        <v>0</v>
      </c>
      <c r="G602" s="8">
        <v>0</v>
      </c>
      <c r="H602" s="8">
        <v>11</v>
      </c>
      <c r="J602" s="42"/>
      <c r="K602" s="43"/>
      <c r="Q602" s="25"/>
    </row>
    <row r="603" spans="1:17" ht="15" customHeight="1" x14ac:dyDescent="0.25">
      <c r="A603" s="5">
        <v>5</v>
      </c>
      <c r="B603" s="5">
        <v>602</v>
      </c>
      <c r="C603" s="50">
        <v>45974</v>
      </c>
      <c r="D603" s="25">
        <v>78</v>
      </c>
      <c r="E603" s="8">
        <v>45.3</v>
      </c>
      <c r="F603" s="8">
        <v>0</v>
      </c>
      <c r="G603" s="8">
        <v>0</v>
      </c>
      <c r="H603" s="8">
        <v>5.8</v>
      </c>
      <c r="J603" s="42"/>
      <c r="K603" s="43"/>
      <c r="Q603" s="25"/>
    </row>
    <row r="604" spans="1:17" ht="15" customHeight="1" x14ac:dyDescent="0.25">
      <c r="A604" s="5">
        <v>6</v>
      </c>
      <c r="B604" s="5">
        <v>603</v>
      </c>
      <c r="C604" s="50">
        <v>45975</v>
      </c>
      <c r="D604" s="13">
        <v>110</v>
      </c>
      <c r="E604" s="8">
        <v>55.9</v>
      </c>
      <c r="F604" s="8">
        <v>0</v>
      </c>
      <c r="G604" s="8">
        <v>0</v>
      </c>
      <c r="H604" s="8">
        <v>7.2</v>
      </c>
    </row>
    <row r="605" spans="1:17" ht="15" customHeight="1" x14ac:dyDescent="0.25">
      <c r="A605" s="5">
        <v>7</v>
      </c>
      <c r="B605" s="5">
        <v>604</v>
      </c>
      <c r="C605" s="50">
        <v>45976</v>
      </c>
      <c r="D605" s="13">
        <v>178</v>
      </c>
      <c r="E605" s="8">
        <v>61.3</v>
      </c>
      <c r="F605" s="8">
        <v>0</v>
      </c>
      <c r="G605" s="8">
        <v>0</v>
      </c>
      <c r="H605" s="8">
        <v>14</v>
      </c>
    </row>
    <row r="606" spans="1:17" ht="15" customHeight="1" x14ac:dyDescent="0.25">
      <c r="A606" s="5">
        <v>1</v>
      </c>
      <c r="B606" s="5">
        <v>605</v>
      </c>
      <c r="C606" s="50">
        <v>45977</v>
      </c>
      <c r="D606" s="13">
        <v>59</v>
      </c>
      <c r="E606" s="8">
        <v>42.4</v>
      </c>
      <c r="F606" s="8">
        <v>0</v>
      </c>
      <c r="G606" s="8">
        <v>0</v>
      </c>
      <c r="H606" s="8">
        <v>11.4</v>
      </c>
    </row>
    <row r="607" spans="1:17" ht="15" customHeight="1" x14ac:dyDescent="0.25">
      <c r="A607" s="5">
        <v>2</v>
      </c>
      <c r="B607" s="5">
        <v>606</v>
      </c>
      <c r="C607" s="50">
        <v>45978</v>
      </c>
      <c r="D607" s="13">
        <v>55</v>
      </c>
      <c r="E607" s="8">
        <v>40.299999999999997</v>
      </c>
      <c r="F607" s="8">
        <v>0</v>
      </c>
      <c r="G607" s="8">
        <v>0</v>
      </c>
      <c r="H607" s="8">
        <v>4.7</v>
      </c>
    </row>
    <row r="608" spans="1:17" ht="15" customHeight="1" x14ac:dyDescent="0.25">
      <c r="A608" s="5">
        <v>3</v>
      </c>
      <c r="B608" s="5">
        <v>607</v>
      </c>
      <c r="C608" s="50">
        <v>45979</v>
      </c>
      <c r="D608" s="13">
        <v>62</v>
      </c>
      <c r="E608" s="8">
        <v>41.7</v>
      </c>
      <c r="F608" s="8">
        <v>7.0999999999999994E-2</v>
      </c>
      <c r="G608" s="8">
        <v>0</v>
      </c>
      <c r="H608" s="8">
        <v>10.1</v>
      </c>
    </row>
    <row r="609" spans="1:17" ht="15" customHeight="1" x14ac:dyDescent="0.25">
      <c r="A609" s="5">
        <v>4</v>
      </c>
      <c r="B609" s="5">
        <v>608</v>
      </c>
      <c r="C609" s="50">
        <v>45980</v>
      </c>
      <c r="D609" s="13">
        <v>49</v>
      </c>
      <c r="E609" s="8">
        <v>43.5</v>
      </c>
      <c r="F609" s="8">
        <v>0</v>
      </c>
      <c r="G609" s="8">
        <v>0</v>
      </c>
      <c r="H609" s="8">
        <v>6.6</v>
      </c>
    </row>
    <row r="610" spans="1:17" ht="15" customHeight="1" x14ac:dyDescent="0.25">
      <c r="A610" s="5">
        <v>5</v>
      </c>
      <c r="B610" s="5">
        <v>609</v>
      </c>
      <c r="C610" s="50">
        <v>45981</v>
      </c>
      <c r="D610" s="13">
        <v>48</v>
      </c>
      <c r="E610" s="8">
        <v>45.1</v>
      </c>
      <c r="F610" s="8">
        <v>0</v>
      </c>
      <c r="G610" s="8">
        <v>0</v>
      </c>
      <c r="H610" s="8">
        <v>5.9</v>
      </c>
    </row>
    <row r="611" spans="1:17" ht="15" customHeight="1" x14ac:dyDescent="0.25">
      <c r="A611" s="5">
        <v>6</v>
      </c>
      <c r="B611" s="5">
        <v>610</v>
      </c>
      <c r="C611" s="50">
        <v>45982</v>
      </c>
      <c r="D611" s="13">
        <v>115</v>
      </c>
      <c r="E611" s="8">
        <v>44.2</v>
      </c>
      <c r="F611" s="8">
        <v>0</v>
      </c>
      <c r="G611" s="8">
        <v>0</v>
      </c>
      <c r="H611" s="8">
        <v>4.8</v>
      </c>
    </row>
    <row r="612" spans="1:17" ht="15" customHeight="1" x14ac:dyDescent="0.25">
      <c r="A612" s="5">
        <v>7</v>
      </c>
      <c r="B612" s="5">
        <v>611</v>
      </c>
      <c r="C612" s="50">
        <v>45983</v>
      </c>
      <c r="D612" s="13">
        <v>155</v>
      </c>
      <c r="E612" s="8">
        <v>41.7</v>
      </c>
      <c r="F612" s="8">
        <v>0</v>
      </c>
      <c r="G612" s="8">
        <v>0</v>
      </c>
      <c r="H612" s="8">
        <v>8.9</v>
      </c>
    </row>
    <row r="613" spans="1:17" ht="15" customHeight="1" x14ac:dyDescent="0.25">
      <c r="A613" s="5">
        <v>1</v>
      </c>
      <c r="B613" s="5">
        <v>612</v>
      </c>
      <c r="C613" s="50">
        <v>45984</v>
      </c>
      <c r="D613" s="13">
        <v>38</v>
      </c>
      <c r="E613" s="8">
        <v>44.6</v>
      </c>
      <c r="F613" s="8">
        <v>0</v>
      </c>
      <c r="G613" s="8">
        <v>0</v>
      </c>
      <c r="H613" s="8">
        <v>4.5</v>
      </c>
    </row>
    <row r="614" spans="1:17" ht="15" customHeight="1" x14ac:dyDescent="0.25">
      <c r="A614" s="5">
        <v>2</v>
      </c>
      <c r="B614" s="5">
        <v>613</v>
      </c>
      <c r="C614" s="50">
        <v>45985</v>
      </c>
      <c r="D614" s="13">
        <v>39</v>
      </c>
      <c r="E614" s="8">
        <v>44.1</v>
      </c>
      <c r="F614" s="8">
        <v>0.02</v>
      </c>
      <c r="G614" s="8">
        <v>0</v>
      </c>
      <c r="H614" s="8">
        <v>6.9</v>
      </c>
    </row>
    <row r="615" spans="1:17" ht="15" customHeight="1" x14ac:dyDescent="0.25">
      <c r="A615" s="5">
        <v>3</v>
      </c>
      <c r="B615" s="5">
        <v>614</v>
      </c>
      <c r="C615" s="50">
        <v>45986</v>
      </c>
      <c r="D615" s="13">
        <v>41</v>
      </c>
      <c r="E615" s="8">
        <v>48.4</v>
      </c>
      <c r="F615" s="8">
        <v>0.16500000000000001</v>
      </c>
      <c r="G615" s="8">
        <v>0</v>
      </c>
      <c r="H615" s="8">
        <v>6.6</v>
      </c>
    </row>
    <row r="616" spans="1:17" ht="15" customHeight="1" x14ac:dyDescent="0.25">
      <c r="A616" s="5">
        <v>4</v>
      </c>
      <c r="B616" s="5">
        <v>615</v>
      </c>
      <c r="C616" s="50">
        <v>45987</v>
      </c>
      <c r="D616" s="13">
        <v>34</v>
      </c>
      <c r="E616" s="8">
        <v>33.799999999999997</v>
      </c>
      <c r="F616" s="8">
        <v>0</v>
      </c>
      <c r="G616" s="8">
        <v>0</v>
      </c>
      <c r="H616" s="8">
        <v>20.100000000000001</v>
      </c>
    </row>
    <row r="617" spans="1:17" ht="15" customHeight="1" x14ac:dyDescent="0.25">
      <c r="A617" s="5">
        <v>5</v>
      </c>
      <c r="B617" s="5">
        <v>616</v>
      </c>
      <c r="C617" s="50">
        <v>45988</v>
      </c>
      <c r="D617" s="13">
        <v>0</v>
      </c>
      <c r="E617" s="8">
        <v>29.3</v>
      </c>
      <c r="F617" s="8">
        <v>0</v>
      </c>
      <c r="G617" s="8">
        <v>0</v>
      </c>
      <c r="H617" s="8">
        <v>14.6</v>
      </c>
      <c r="I617" s="39" t="s">
        <v>25</v>
      </c>
    </row>
    <row r="618" spans="1:17" ht="15" customHeight="1" x14ac:dyDescent="0.25">
      <c r="A618" s="5">
        <v>6</v>
      </c>
      <c r="B618" s="5">
        <v>617</v>
      </c>
      <c r="C618" s="50">
        <v>45989</v>
      </c>
      <c r="D618" s="13">
        <v>20</v>
      </c>
      <c r="E618" s="8">
        <v>26.1</v>
      </c>
      <c r="F618" s="8">
        <v>0</v>
      </c>
      <c r="G618" s="8">
        <v>0</v>
      </c>
      <c r="H618" s="8">
        <v>7.8</v>
      </c>
      <c r="I618" s="39" t="s">
        <v>26</v>
      </c>
    </row>
    <row r="619" spans="1:17" ht="15" customHeight="1" x14ac:dyDescent="0.25">
      <c r="A619" s="5">
        <v>7</v>
      </c>
      <c r="B619" s="5">
        <v>618</v>
      </c>
      <c r="C619" s="50">
        <v>45990</v>
      </c>
      <c r="D619" s="13">
        <v>52</v>
      </c>
      <c r="E619" s="8">
        <v>27.7</v>
      </c>
      <c r="F619" s="8">
        <v>0.66900000000000004</v>
      </c>
      <c r="G619" s="8">
        <v>9</v>
      </c>
      <c r="H619" s="8">
        <v>9.8000000000000007</v>
      </c>
    </row>
    <row r="620" spans="1:17" ht="15" customHeight="1" x14ac:dyDescent="0.25">
      <c r="A620" s="5">
        <v>1</v>
      </c>
      <c r="B620" s="5">
        <v>619</v>
      </c>
      <c r="C620" s="50">
        <v>45991</v>
      </c>
      <c r="D620" s="13">
        <v>53</v>
      </c>
      <c r="E620" s="8">
        <v>27.9</v>
      </c>
      <c r="F620" s="8">
        <v>0.114</v>
      </c>
      <c r="G620" s="8">
        <v>0</v>
      </c>
      <c r="H620" s="8">
        <v>11.1</v>
      </c>
      <c r="Q620" s="37"/>
    </row>
    <row r="621" spans="1:17" ht="15" customHeight="1" x14ac:dyDescent="0.25">
      <c r="A621" s="5">
        <v>2</v>
      </c>
      <c r="B621" s="5">
        <v>620</v>
      </c>
      <c r="C621" s="50">
        <v>45992</v>
      </c>
      <c r="D621" s="13">
        <v>20</v>
      </c>
      <c r="E621" s="8">
        <v>23.9</v>
      </c>
      <c r="F621" s="8">
        <v>0.13800000000000001</v>
      </c>
      <c r="G621" s="8">
        <v>5</v>
      </c>
      <c r="H621" s="8">
        <v>4.5</v>
      </c>
      <c r="Q621" s="37"/>
    </row>
    <row r="622" spans="1:17" ht="15" customHeight="1" x14ac:dyDescent="0.25">
      <c r="A622" s="5">
        <v>3</v>
      </c>
      <c r="B622" s="5">
        <v>621</v>
      </c>
      <c r="C622" s="50">
        <v>45993</v>
      </c>
      <c r="D622" s="13">
        <v>66</v>
      </c>
      <c r="E622" s="8">
        <v>19.399999999999999</v>
      </c>
      <c r="F622" s="8">
        <v>8.0000000000000002E-3</v>
      </c>
      <c r="G622" s="8">
        <v>5</v>
      </c>
      <c r="H622" s="8">
        <v>9.4</v>
      </c>
      <c r="Q622" s="37"/>
    </row>
    <row r="623" spans="1:17" ht="15" customHeight="1" x14ac:dyDescent="0.25">
      <c r="A623" s="5">
        <v>4</v>
      </c>
      <c r="B623" s="5">
        <v>622</v>
      </c>
      <c r="C623" s="50">
        <v>45994</v>
      </c>
      <c r="D623" s="13">
        <v>95</v>
      </c>
      <c r="E623" s="8">
        <v>25.2</v>
      </c>
      <c r="F623" s="8">
        <v>3.1E-2</v>
      </c>
      <c r="G623" s="8">
        <v>4.016</v>
      </c>
      <c r="H623" s="8">
        <v>11.2</v>
      </c>
      <c r="Q623" s="37"/>
    </row>
    <row r="624" spans="1:17" ht="15" customHeight="1" x14ac:dyDescent="0.25">
      <c r="A624" s="5">
        <v>5</v>
      </c>
      <c r="B624" s="5">
        <v>623</v>
      </c>
      <c r="C624" s="50">
        <v>45995</v>
      </c>
      <c r="D624" s="13">
        <v>115</v>
      </c>
      <c r="E624" s="8">
        <v>13.3</v>
      </c>
      <c r="F624" s="8">
        <v>0</v>
      </c>
      <c r="G624" s="8">
        <v>4.016</v>
      </c>
      <c r="H624" s="8">
        <v>5.3</v>
      </c>
      <c r="Q624" s="37"/>
    </row>
    <row r="625" spans="1:18" ht="15" customHeight="1" x14ac:dyDescent="0.25">
      <c r="A625" s="5">
        <v>6</v>
      </c>
      <c r="B625" s="5">
        <v>624</v>
      </c>
      <c r="C625" s="50">
        <v>45996</v>
      </c>
      <c r="D625" s="13">
        <v>113</v>
      </c>
      <c r="E625" s="8">
        <v>21</v>
      </c>
      <c r="F625" s="8">
        <v>0</v>
      </c>
      <c r="G625" s="8">
        <v>4.016</v>
      </c>
      <c r="H625" s="8">
        <v>10.8</v>
      </c>
      <c r="Q625" s="37"/>
    </row>
    <row r="626" spans="1:18" ht="15" customHeight="1" x14ac:dyDescent="0.25">
      <c r="A626" s="5">
        <v>7</v>
      </c>
      <c r="B626" s="5">
        <v>625</v>
      </c>
      <c r="C626" s="50">
        <v>45997</v>
      </c>
      <c r="D626" s="13">
        <v>161</v>
      </c>
      <c r="E626" s="8">
        <v>29.7</v>
      </c>
      <c r="F626" s="8">
        <v>4.0000000000000001E-3</v>
      </c>
      <c r="G626" s="8">
        <v>0</v>
      </c>
      <c r="H626" s="8">
        <v>5.2</v>
      </c>
      <c r="Q626" s="37"/>
    </row>
    <row r="627" spans="1:18" ht="15" customHeight="1" x14ac:dyDescent="0.25">
      <c r="A627" s="5">
        <v>1</v>
      </c>
      <c r="B627" s="5">
        <v>626</v>
      </c>
      <c r="C627" s="50">
        <v>45998</v>
      </c>
      <c r="D627" s="13">
        <v>73</v>
      </c>
      <c r="E627" s="8">
        <v>23.9</v>
      </c>
      <c r="F627" s="8">
        <v>0.26</v>
      </c>
      <c r="G627" s="8">
        <v>7.008</v>
      </c>
      <c r="H627" s="8">
        <v>10.9</v>
      </c>
      <c r="Q627" s="37"/>
    </row>
    <row r="628" spans="1:18" ht="15" customHeight="1" x14ac:dyDescent="0.25">
      <c r="A628" s="5">
        <v>2</v>
      </c>
      <c r="B628" s="5">
        <v>627</v>
      </c>
      <c r="C628" s="50">
        <v>45999</v>
      </c>
      <c r="D628" s="13">
        <v>47</v>
      </c>
      <c r="E628" s="8">
        <v>20.8</v>
      </c>
      <c r="F628" s="8">
        <v>0</v>
      </c>
      <c r="G628" s="8">
        <v>0.1</v>
      </c>
      <c r="H628" s="8">
        <v>7.2</v>
      </c>
      <c r="Q628" s="37"/>
    </row>
    <row r="629" spans="1:18" ht="15" customHeight="1" x14ac:dyDescent="0.25">
      <c r="A629" s="5">
        <v>3</v>
      </c>
      <c r="B629" s="5">
        <v>628</v>
      </c>
      <c r="C629" s="50">
        <v>46000</v>
      </c>
      <c r="D629" s="13">
        <v>72</v>
      </c>
      <c r="E629" s="8">
        <v>31.3</v>
      </c>
      <c r="F629" s="8">
        <v>9.4E-2</v>
      </c>
      <c r="G629" s="8">
        <v>0</v>
      </c>
      <c r="H629" s="8">
        <v>13.5</v>
      </c>
      <c r="Q629" s="36"/>
      <c r="R629" s="37"/>
    </row>
    <row r="630" spans="1:18" ht="15" customHeight="1" x14ac:dyDescent="0.25">
      <c r="A630" s="5">
        <v>4</v>
      </c>
      <c r="B630" s="5">
        <v>629</v>
      </c>
      <c r="C630" s="50">
        <v>46001</v>
      </c>
      <c r="D630" s="13">
        <v>43</v>
      </c>
      <c r="E630" s="8">
        <v>32.4</v>
      </c>
      <c r="F630" s="8">
        <v>0.16500000000000001</v>
      </c>
      <c r="G630" s="8">
        <v>0.7</v>
      </c>
      <c r="H630" s="8">
        <v>15</v>
      </c>
      <c r="Q630" s="36"/>
      <c r="R630" s="37"/>
    </row>
    <row r="631" spans="1:18" ht="15" customHeight="1" x14ac:dyDescent="0.25">
      <c r="A631" s="5">
        <v>5</v>
      </c>
      <c r="B631" s="5">
        <v>630</v>
      </c>
      <c r="C631" s="50">
        <v>46002</v>
      </c>
      <c r="D631" s="13">
        <v>100</v>
      </c>
      <c r="E631" s="8">
        <v>25.3</v>
      </c>
      <c r="F631" s="8">
        <v>0</v>
      </c>
      <c r="G631" s="8">
        <v>0</v>
      </c>
      <c r="H631" s="8">
        <v>6.4</v>
      </c>
      <c r="Q631" s="36"/>
      <c r="R631" s="37"/>
    </row>
    <row r="632" spans="1:18" ht="15" customHeight="1" x14ac:dyDescent="0.25">
      <c r="A632" s="5">
        <v>6</v>
      </c>
      <c r="B632" s="5">
        <v>631</v>
      </c>
      <c r="C632" s="50">
        <v>46003</v>
      </c>
      <c r="D632" s="13">
        <v>176</v>
      </c>
      <c r="E632" s="8">
        <v>25.5</v>
      </c>
      <c r="F632" s="8">
        <v>4.0000000000000001E-3</v>
      </c>
      <c r="G632" s="8">
        <v>0</v>
      </c>
      <c r="H632" s="8">
        <v>7.3</v>
      </c>
      <c r="Q632" s="36"/>
      <c r="R632" s="37"/>
    </row>
    <row r="633" spans="1:18" ht="15" customHeight="1" x14ac:dyDescent="0.25">
      <c r="A633" s="5">
        <v>7</v>
      </c>
      <c r="B633" s="5">
        <v>632</v>
      </c>
      <c r="C633" s="50">
        <v>46004</v>
      </c>
      <c r="D633" s="13">
        <v>152</v>
      </c>
      <c r="E633" s="8">
        <v>10.4</v>
      </c>
      <c r="F633" s="8">
        <v>0</v>
      </c>
      <c r="G633" s="8">
        <v>0</v>
      </c>
      <c r="H633" s="8">
        <v>11.9</v>
      </c>
      <c r="Q633" s="36"/>
      <c r="R633" s="37"/>
    </row>
    <row r="634" spans="1:18" ht="15" customHeight="1" x14ac:dyDescent="0.25">
      <c r="A634" s="5">
        <v>1</v>
      </c>
      <c r="B634" s="5">
        <v>633</v>
      </c>
      <c r="C634" s="50">
        <v>46005</v>
      </c>
      <c r="D634" s="13">
        <v>42</v>
      </c>
      <c r="E634" s="8">
        <v>3.4</v>
      </c>
      <c r="F634" s="8">
        <v>0</v>
      </c>
      <c r="G634" s="8">
        <v>0</v>
      </c>
      <c r="H634" s="8">
        <v>10.6</v>
      </c>
      <c r="Q634" s="36"/>
      <c r="R634" s="37"/>
    </row>
    <row r="635" spans="1:18" ht="15" customHeight="1" x14ac:dyDescent="0.25">
      <c r="A635" s="5">
        <v>2</v>
      </c>
      <c r="B635" s="5">
        <v>634</v>
      </c>
      <c r="C635" s="50">
        <v>46006</v>
      </c>
      <c r="D635" s="13">
        <v>26</v>
      </c>
      <c r="E635" s="8">
        <v>14.2</v>
      </c>
      <c r="F635" s="8">
        <v>0</v>
      </c>
      <c r="G635" s="8">
        <v>0</v>
      </c>
      <c r="H635" s="8">
        <v>10.3</v>
      </c>
      <c r="Q635" s="36"/>
      <c r="R635" s="37"/>
    </row>
    <row r="636" spans="1:18" ht="15" customHeight="1" x14ac:dyDescent="0.25">
      <c r="A636" s="5">
        <v>3</v>
      </c>
      <c r="B636" s="5">
        <v>635</v>
      </c>
      <c r="C636" s="50">
        <v>46007</v>
      </c>
      <c r="D636" s="13">
        <v>58</v>
      </c>
      <c r="E636" s="8">
        <v>29.1</v>
      </c>
      <c r="F636" s="8">
        <v>0</v>
      </c>
      <c r="G636" s="8">
        <v>0</v>
      </c>
      <c r="H636" s="8">
        <v>10.7</v>
      </c>
      <c r="Q636" s="36"/>
      <c r="R636" s="37"/>
    </row>
    <row r="637" spans="1:18" ht="15" customHeight="1" x14ac:dyDescent="0.25">
      <c r="A637" s="5">
        <v>4</v>
      </c>
      <c r="B637" s="5">
        <v>636</v>
      </c>
      <c r="C637" s="50">
        <v>46008</v>
      </c>
      <c r="D637" s="13">
        <v>67</v>
      </c>
      <c r="E637" s="8">
        <v>37.4</v>
      </c>
      <c r="F637" s="8">
        <v>0</v>
      </c>
      <c r="G637" s="8">
        <v>0</v>
      </c>
      <c r="H637" s="8">
        <v>7.5</v>
      </c>
      <c r="Q637" s="36"/>
      <c r="R637" s="37"/>
    </row>
    <row r="638" spans="1:18" ht="15" customHeight="1" x14ac:dyDescent="0.25">
      <c r="A638" s="5">
        <v>5</v>
      </c>
      <c r="B638" s="5">
        <v>637</v>
      </c>
      <c r="C638" s="50">
        <v>46009</v>
      </c>
      <c r="D638" s="13">
        <v>81</v>
      </c>
      <c r="E638" s="8">
        <v>40.1</v>
      </c>
      <c r="F638" s="8">
        <v>0.44900000000000001</v>
      </c>
      <c r="G638" s="8">
        <v>0</v>
      </c>
      <c r="H638" s="8">
        <v>17.3</v>
      </c>
      <c r="Q638" s="36"/>
      <c r="R638" s="37"/>
    </row>
    <row r="639" spans="1:18" ht="15" customHeight="1" x14ac:dyDescent="0.25">
      <c r="A639" s="5">
        <v>6</v>
      </c>
      <c r="B639" s="5">
        <v>638</v>
      </c>
      <c r="C639" s="50">
        <v>46010</v>
      </c>
      <c r="D639" s="13">
        <v>176</v>
      </c>
      <c r="E639" s="8">
        <v>16.3</v>
      </c>
      <c r="F639" s="8">
        <v>0</v>
      </c>
      <c r="G639" s="8">
        <v>0</v>
      </c>
      <c r="H639" s="8">
        <v>12.8</v>
      </c>
      <c r="Q639" s="36"/>
      <c r="R639" s="37"/>
    </row>
    <row r="640" spans="1:18" ht="15" customHeight="1" x14ac:dyDescent="0.25">
      <c r="A640" s="5">
        <v>7</v>
      </c>
      <c r="B640" s="5">
        <v>639</v>
      </c>
      <c r="C640" s="50">
        <v>46011</v>
      </c>
      <c r="D640" s="13">
        <v>152</v>
      </c>
      <c r="E640" s="8">
        <v>32.700000000000003</v>
      </c>
      <c r="F640" s="8">
        <v>0</v>
      </c>
      <c r="G640" s="8">
        <v>0</v>
      </c>
      <c r="H640" s="8">
        <v>14.3</v>
      </c>
      <c r="Q640" s="36"/>
      <c r="R640" s="37"/>
    </row>
    <row r="641" spans="1:18" ht="15" customHeight="1" x14ac:dyDescent="0.25">
      <c r="A641" s="5">
        <v>1</v>
      </c>
      <c r="B641" s="5">
        <v>640</v>
      </c>
      <c r="C641" s="50">
        <v>46012</v>
      </c>
      <c r="D641" s="13">
        <v>69</v>
      </c>
      <c r="E641" s="8">
        <v>23.2</v>
      </c>
      <c r="F641" s="8">
        <v>0</v>
      </c>
      <c r="G641" s="8">
        <v>0</v>
      </c>
      <c r="H641" s="8">
        <v>8.1</v>
      </c>
      <c r="Q641" s="36"/>
      <c r="R641" s="37"/>
    </row>
    <row r="642" spans="1:18" ht="15" customHeight="1" x14ac:dyDescent="0.25">
      <c r="A642" s="5">
        <v>2</v>
      </c>
      <c r="B642" s="5">
        <v>641</v>
      </c>
      <c r="C642" s="50">
        <v>46013</v>
      </c>
      <c r="D642" s="13">
        <v>94</v>
      </c>
      <c r="E642" s="8">
        <v>38.299999999999997</v>
      </c>
      <c r="F642" s="8">
        <v>1.2E-2</v>
      </c>
      <c r="G642" s="8">
        <v>0</v>
      </c>
      <c r="H642" s="8">
        <v>8.4</v>
      </c>
      <c r="Q642" s="36"/>
      <c r="R642" s="37"/>
    </row>
    <row r="643" spans="1:18" ht="15" customHeight="1" x14ac:dyDescent="0.25">
      <c r="A643" s="5">
        <v>3</v>
      </c>
      <c r="B643" s="5">
        <v>642</v>
      </c>
      <c r="C643" s="50">
        <v>46014</v>
      </c>
      <c r="D643" s="13">
        <v>76</v>
      </c>
      <c r="E643" s="8">
        <v>42.8</v>
      </c>
      <c r="F643" s="8">
        <v>0</v>
      </c>
      <c r="G643" s="8">
        <v>1.1000000000000001</v>
      </c>
      <c r="H643" s="8">
        <v>7.1</v>
      </c>
      <c r="Q643" s="36"/>
      <c r="R643" s="37"/>
    </row>
    <row r="644" spans="1:18" ht="15" customHeight="1" x14ac:dyDescent="0.25">
      <c r="A644" s="5">
        <v>4</v>
      </c>
      <c r="B644" s="5">
        <v>643</v>
      </c>
      <c r="C644" s="50">
        <v>46015</v>
      </c>
      <c r="D644" s="13">
        <v>137</v>
      </c>
      <c r="E644" s="8">
        <v>39.9</v>
      </c>
      <c r="F644" s="8">
        <v>8.0000000000000002E-3</v>
      </c>
      <c r="G644" s="8">
        <v>0</v>
      </c>
      <c r="H644" s="8">
        <v>6.6</v>
      </c>
      <c r="I644" t="s">
        <v>27</v>
      </c>
      <c r="Q644" s="36"/>
      <c r="R644" s="37"/>
    </row>
    <row r="645" spans="1:18" ht="15" customHeight="1" x14ac:dyDescent="0.25">
      <c r="A645" s="5">
        <v>5</v>
      </c>
      <c r="B645" s="5">
        <v>644</v>
      </c>
      <c r="C645" s="50">
        <v>46016</v>
      </c>
      <c r="D645" s="13">
        <v>0</v>
      </c>
      <c r="E645" s="8">
        <v>40.6</v>
      </c>
      <c r="F645" s="8">
        <v>0</v>
      </c>
      <c r="G645" s="8">
        <v>0</v>
      </c>
      <c r="H645" s="8">
        <v>12</v>
      </c>
      <c r="I645" t="s">
        <v>28</v>
      </c>
      <c r="Q645" s="36"/>
      <c r="R645" s="37"/>
    </row>
    <row r="646" spans="1:18" ht="15" customHeight="1" x14ac:dyDescent="0.25">
      <c r="A646" s="5">
        <v>6</v>
      </c>
      <c r="B646" s="5">
        <v>645</v>
      </c>
      <c r="C646" s="50">
        <v>46017</v>
      </c>
      <c r="D646" s="13">
        <v>138</v>
      </c>
      <c r="E646" s="8">
        <v>42.3</v>
      </c>
      <c r="F646" s="8">
        <v>0.20100000000000001</v>
      </c>
      <c r="G646" s="8">
        <v>0</v>
      </c>
      <c r="H646" s="8">
        <v>8.1999999999999993</v>
      </c>
      <c r="I646" s="39" t="s">
        <v>29</v>
      </c>
      <c r="Q646" s="36"/>
      <c r="R646" s="37"/>
    </row>
    <row r="647" spans="1:18" ht="15" customHeight="1" x14ac:dyDescent="0.25">
      <c r="A647" s="5">
        <v>7</v>
      </c>
      <c r="B647" s="5">
        <v>646</v>
      </c>
      <c r="C647" s="50">
        <v>46018</v>
      </c>
      <c r="D647" s="13">
        <v>152</v>
      </c>
      <c r="E647" s="8">
        <v>40.1</v>
      </c>
      <c r="F647" s="8">
        <v>0</v>
      </c>
      <c r="G647" s="8">
        <v>0</v>
      </c>
      <c r="H647" s="8">
        <v>8.5</v>
      </c>
      <c r="Q647" s="36"/>
      <c r="R647" s="37"/>
    </row>
    <row r="648" spans="1:18" ht="15" customHeight="1" x14ac:dyDescent="0.25">
      <c r="A648" s="5">
        <v>1</v>
      </c>
      <c r="B648" s="5">
        <v>647</v>
      </c>
      <c r="C648" s="50">
        <v>46019</v>
      </c>
      <c r="D648" s="13">
        <v>78</v>
      </c>
      <c r="E648" s="8">
        <v>47.7</v>
      </c>
      <c r="F648" s="8">
        <v>0.96899999999999997</v>
      </c>
      <c r="G648" s="8">
        <v>0</v>
      </c>
      <c r="H648" s="8">
        <v>10.1</v>
      </c>
      <c r="Q648" s="36"/>
      <c r="R648" s="37"/>
    </row>
    <row r="649" spans="1:18" ht="15" customHeight="1" x14ac:dyDescent="0.25">
      <c r="A649" s="5">
        <v>2</v>
      </c>
      <c r="B649" s="5">
        <v>648</v>
      </c>
      <c r="C649" s="50">
        <v>46020</v>
      </c>
      <c r="D649" s="13">
        <v>49</v>
      </c>
      <c r="E649" s="8">
        <v>22.6</v>
      </c>
      <c r="F649" s="8">
        <v>3.9E-2</v>
      </c>
      <c r="G649" s="8">
        <v>0.98399999999999999</v>
      </c>
      <c r="H649" s="8">
        <v>19</v>
      </c>
      <c r="Q649" s="36"/>
      <c r="R649" s="37"/>
    </row>
    <row r="650" spans="1:18" ht="15" customHeight="1" x14ac:dyDescent="0.25">
      <c r="A650" s="5">
        <v>3</v>
      </c>
      <c r="B650" s="5">
        <v>649</v>
      </c>
      <c r="C650" s="50">
        <v>46021</v>
      </c>
      <c r="D650" s="13">
        <v>70</v>
      </c>
      <c r="E650" s="8">
        <v>16</v>
      </c>
      <c r="F650" s="8">
        <v>7.9000000000000001E-2</v>
      </c>
      <c r="G650" s="8">
        <v>0.98399999999999999</v>
      </c>
      <c r="H650" s="8">
        <v>9.8000000000000007</v>
      </c>
      <c r="Q650" s="36"/>
      <c r="R650" s="37"/>
    </row>
    <row r="651" spans="1:18" ht="15" customHeight="1" x14ac:dyDescent="0.25">
      <c r="A651" s="5">
        <v>4</v>
      </c>
      <c r="B651" s="5">
        <v>650</v>
      </c>
      <c r="C651" s="50">
        <v>46022</v>
      </c>
      <c r="D651" s="13">
        <v>199</v>
      </c>
      <c r="E651" s="8">
        <v>29.3</v>
      </c>
      <c r="F651" s="8">
        <v>3.9E-2</v>
      </c>
      <c r="G651" s="8">
        <v>2.008</v>
      </c>
      <c r="H651" s="8">
        <v>12.3</v>
      </c>
      <c r="I651" s="39" t="s">
        <v>30</v>
      </c>
      <c r="Q651" s="36"/>
      <c r="R651" s="37"/>
    </row>
    <row r="652" spans="1:18" ht="15" customHeight="1" x14ac:dyDescent="0.25">
      <c r="A652" s="5">
        <v>5</v>
      </c>
      <c r="B652" s="5">
        <v>651</v>
      </c>
      <c r="C652" s="50">
        <v>46023</v>
      </c>
      <c r="D652" s="13">
        <v>0</v>
      </c>
      <c r="E652" s="8">
        <v>15.3</v>
      </c>
      <c r="F652" s="8">
        <v>3.5000000000000003E-2</v>
      </c>
      <c r="G652" s="8">
        <v>0</v>
      </c>
      <c r="H652" s="8">
        <v>6.8</v>
      </c>
      <c r="I652" s="39" t="s">
        <v>31</v>
      </c>
    </row>
    <row r="653" spans="1:18" ht="15" customHeight="1" x14ac:dyDescent="0.25">
      <c r="A653" s="5">
        <v>6</v>
      </c>
      <c r="B653" s="5">
        <v>652</v>
      </c>
      <c r="C653" s="50">
        <v>46024</v>
      </c>
      <c r="D653" s="13">
        <v>113</v>
      </c>
      <c r="E653" s="8">
        <v>20.3</v>
      </c>
      <c r="F653" s="8">
        <v>0</v>
      </c>
      <c r="G653" s="8">
        <v>0</v>
      </c>
      <c r="H653" s="8">
        <v>7.1</v>
      </c>
    </row>
    <row r="654" spans="1:18" ht="15" customHeight="1" x14ac:dyDescent="0.25">
      <c r="A654" s="5">
        <v>7</v>
      </c>
      <c r="B654" s="5">
        <v>653</v>
      </c>
      <c r="C654" s="50">
        <v>46025</v>
      </c>
      <c r="D654" s="13">
        <v>110</v>
      </c>
      <c r="E654" s="8">
        <v>23.2</v>
      </c>
      <c r="F654" s="8">
        <v>0</v>
      </c>
      <c r="G654" s="8">
        <v>0</v>
      </c>
      <c r="H654" s="8">
        <v>5.0999999999999996</v>
      </c>
    </row>
    <row r="655" spans="1:18" ht="15" customHeight="1" x14ac:dyDescent="0.25">
      <c r="A655" s="5">
        <v>1</v>
      </c>
      <c r="B655" s="5">
        <v>654</v>
      </c>
      <c r="C655" s="50">
        <v>46026</v>
      </c>
      <c r="D655" s="13">
        <v>41</v>
      </c>
      <c r="E655" s="8">
        <v>28</v>
      </c>
      <c r="F655" s="8">
        <v>1.6E-2</v>
      </c>
      <c r="G655" s="8">
        <v>0</v>
      </c>
      <c r="H655" s="8">
        <v>8.9</v>
      </c>
    </row>
    <row r="656" spans="1:18" ht="15" customHeight="1" x14ac:dyDescent="0.25">
      <c r="A656" s="5">
        <v>2</v>
      </c>
      <c r="B656" s="5">
        <v>655</v>
      </c>
      <c r="C656" s="50">
        <v>46027</v>
      </c>
      <c r="D656" s="13">
        <v>13</v>
      </c>
      <c r="E656" s="8">
        <v>37</v>
      </c>
      <c r="F656" s="8">
        <v>0</v>
      </c>
      <c r="G656" s="8">
        <v>0</v>
      </c>
      <c r="H656" s="8">
        <v>7.2</v>
      </c>
    </row>
    <row r="657" spans="1:9" ht="15" customHeight="1" x14ac:dyDescent="0.25">
      <c r="A657" s="5">
        <v>3</v>
      </c>
      <c r="B657" s="5">
        <v>656</v>
      </c>
      <c r="C657" s="50">
        <v>46028</v>
      </c>
      <c r="D657" s="13">
        <v>18</v>
      </c>
      <c r="E657" s="8">
        <v>39.200000000000003</v>
      </c>
      <c r="F657" s="8">
        <v>5.8999999999999997E-2</v>
      </c>
      <c r="G657" s="8">
        <v>0</v>
      </c>
      <c r="H657" s="8">
        <v>7</v>
      </c>
    </row>
    <row r="658" spans="1:9" ht="15" customHeight="1" x14ac:dyDescent="0.25">
      <c r="A658" s="5">
        <v>4</v>
      </c>
      <c r="B658" s="5">
        <v>657</v>
      </c>
      <c r="C658" s="50">
        <v>46029</v>
      </c>
      <c r="D658" s="13">
        <v>28</v>
      </c>
      <c r="E658" s="8">
        <v>38.299999999999997</v>
      </c>
      <c r="F658" s="8">
        <v>0</v>
      </c>
      <c r="G658" s="8">
        <v>0</v>
      </c>
      <c r="H658" s="8">
        <v>8.6</v>
      </c>
    </row>
    <row r="659" spans="1:9" ht="15" customHeight="1" x14ac:dyDescent="0.25">
      <c r="A659" s="5">
        <v>5</v>
      </c>
      <c r="B659" s="5">
        <v>658</v>
      </c>
      <c r="C659" s="50">
        <v>46030</v>
      </c>
      <c r="D659" s="13">
        <v>46</v>
      </c>
      <c r="E659" s="8">
        <v>50.9</v>
      </c>
      <c r="F659" s="8">
        <v>1.1499999999999999</v>
      </c>
      <c r="G659" s="8">
        <v>0</v>
      </c>
      <c r="H659" s="8">
        <v>13.7</v>
      </c>
    </row>
    <row r="660" spans="1:9" ht="15" customHeight="1" x14ac:dyDescent="0.25">
      <c r="A660" s="5">
        <v>6</v>
      </c>
      <c r="B660" s="5">
        <v>659</v>
      </c>
      <c r="C660" s="50">
        <v>46031</v>
      </c>
      <c r="D660" s="13">
        <v>113</v>
      </c>
      <c r="E660" s="8">
        <v>45.7</v>
      </c>
      <c r="F660" s="8">
        <v>2.4E-2</v>
      </c>
      <c r="G660" s="8">
        <v>0</v>
      </c>
      <c r="H660" s="8">
        <v>13.6</v>
      </c>
    </row>
    <row r="661" spans="1:9" ht="15" customHeight="1" x14ac:dyDescent="0.25">
      <c r="A661" s="5">
        <v>7</v>
      </c>
      <c r="B661" s="5">
        <v>660</v>
      </c>
      <c r="C661" s="50">
        <v>46032</v>
      </c>
      <c r="D661" s="13">
        <v>66</v>
      </c>
      <c r="E661" s="8">
        <v>37.9</v>
      </c>
      <c r="F661" s="8">
        <v>0.18099999999999999</v>
      </c>
      <c r="G661" s="8">
        <v>0</v>
      </c>
      <c r="H661" s="8">
        <v>11.2</v>
      </c>
    </row>
    <row r="662" spans="1:9" ht="15" customHeight="1" x14ac:dyDescent="0.25">
      <c r="A662" s="5">
        <v>1</v>
      </c>
      <c r="B662" s="5">
        <v>661</v>
      </c>
      <c r="C662" s="50">
        <v>46033</v>
      </c>
      <c r="D662" s="13">
        <v>50</v>
      </c>
      <c r="E662" s="8">
        <v>27.9</v>
      </c>
      <c r="F662" s="8">
        <v>0</v>
      </c>
      <c r="G662" s="8">
        <v>0</v>
      </c>
      <c r="H662" s="8">
        <v>13.2</v>
      </c>
    </row>
    <row r="663" spans="1:9" ht="15" customHeight="1" x14ac:dyDescent="0.25">
      <c r="A663" s="5">
        <v>2</v>
      </c>
      <c r="B663" s="5">
        <v>662</v>
      </c>
      <c r="C663" s="50">
        <v>46034</v>
      </c>
      <c r="D663" s="13">
        <v>20</v>
      </c>
      <c r="E663" s="8">
        <v>31.5</v>
      </c>
      <c r="F663" s="8">
        <v>0</v>
      </c>
      <c r="G663" s="8">
        <v>0</v>
      </c>
      <c r="H663" s="8">
        <v>11.4</v>
      </c>
    </row>
    <row r="664" spans="1:9" ht="15" customHeight="1" x14ac:dyDescent="0.25">
      <c r="A664" s="5">
        <v>3</v>
      </c>
      <c r="B664" s="5">
        <v>663</v>
      </c>
      <c r="C664" s="50">
        <v>46035</v>
      </c>
      <c r="D664" s="13">
        <v>20</v>
      </c>
      <c r="E664" s="8">
        <v>40.1</v>
      </c>
      <c r="F664" s="8">
        <v>0</v>
      </c>
      <c r="G664" s="8">
        <v>0</v>
      </c>
      <c r="H664" s="8">
        <v>13.9</v>
      </c>
    </row>
    <row r="665" spans="1:9" ht="15" customHeight="1" x14ac:dyDescent="0.25">
      <c r="A665" s="5">
        <v>4</v>
      </c>
      <c r="B665" s="5">
        <v>664</v>
      </c>
      <c r="C665" s="50">
        <v>46036</v>
      </c>
      <c r="D665" s="13">
        <v>35</v>
      </c>
      <c r="E665" s="8">
        <v>32</v>
      </c>
      <c r="F665" s="8">
        <v>5.8999999999999997E-2</v>
      </c>
      <c r="G665" s="8">
        <v>0</v>
      </c>
      <c r="H665" s="8">
        <v>17</v>
      </c>
    </row>
    <row r="666" spans="1:9" ht="15" customHeight="1" x14ac:dyDescent="0.25">
      <c r="A666" s="5">
        <v>5</v>
      </c>
      <c r="B666" s="5">
        <v>665</v>
      </c>
      <c r="C666" s="50">
        <v>46037</v>
      </c>
      <c r="D666" s="13">
        <v>11</v>
      </c>
      <c r="E666" s="8">
        <v>18.100000000000001</v>
      </c>
      <c r="F666" s="8">
        <v>0</v>
      </c>
      <c r="G666" s="8">
        <v>0.98399999999999999</v>
      </c>
      <c r="H666" s="8">
        <v>11.9</v>
      </c>
    </row>
    <row r="667" spans="1:9" ht="15" customHeight="1" x14ac:dyDescent="0.25">
      <c r="A667" s="5">
        <v>6</v>
      </c>
      <c r="B667" s="5">
        <v>666</v>
      </c>
      <c r="C667" s="50">
        <v>46038</v>
      </c>
      <c r="D667" s="13">
        <v>81</v>
      </c>
      <c r="E667" s="8">
        <v>28</v>
      </c>
      <c r="F667" s="8">
        <v>7.0999999999999994E-2</v>
      </c>
      <c r="G667" s="8">
        <v>0.98399999999999999</v>
      </c>
      <c r="H667" s="8">
        <v>13.9</v>
      </c>
    </row>
    <row r="668" spans="1:9" ht="15" customHeight="1" x14ac:dyDescent="0.25">
      <c r="A668" s="5">
        <v>7</v>
      </c>
      <c r="B668" s="5">
        <v>667</v>
      </c>
      <c r="C668" s="50">
        <v>46039</v>
      </c>
      <c r="D668" s="13">
        <v>174</v>
      </c>
      <c r="E668" s="8">
        <v>18.7</v>
      </c>
      <c r="F668" s="8">
        <v>0</v>
      </c>
      <c r="G668" s="8">
        <v>0</v>
      </c>
      <c r="H668" s="8">
        <v>15</v>
      </c>
    </row>
    <row r="669" spans="1:9" ht="15" customHeight="1" x14ac:dyDescent="0.25">
      <c r="A669" s="5">
        <v>1</v>
      </c>
      <c r="B669" s="5">
        <v>668</v>
      </c>
      <c r="C669" s="50">
        <v>46040</v>
      </c>
      <c r="D669" s="13">
        <v>18</v>
      </c>
      <c r="E669" s="8">
        <v>12.6</v>
      </c>
      <c r="F669" s="8">
        <v>1.2E-2</v>
      </c>
      <c r="G669" s="8">
        <v>0</v>
      </c>
      <c r="H669" s="8">
        <v>11.6</v>
      </c>
    </row>
    <row r="670" spans="1:9" ht="15" customHeight="1" x14ac:dyDescent="0.25">
      <c r="A670" s="5">
        <v>2</v>
      </c>
      <c r="B670" s="5">
        <v>669</v>
      </c>
      <c r="C670" s="50">
        <v>46041</v>
      </c>
      <c r="D670" s="13">
        <v>16</v>
      </c>
      <c r="E670" s="8">
        <v>8.1999999999999993</v>
      </c>
      <c r="F670" s="8">
        <v>0</v>
      </c>
      <c r="G670" s="8">
        <v>0.98399999999999999</v>
      </c>
      <c r="H670" s="8">
        <v>14.3</v>
      </c>
      <c r="I670" t="s">
        <v>32</v>
      </c>
    </row>
    <row r="671" spans="1:9" ht="15" customHeight="1" x14ac:dyDescent="0.25">
      <c r="A671" s="5">
        <v>3</v>
      </c>
      <c r="B671" s="5">
        <v>670</v>
      </c>
      <c r="C671" s="50">
        <v>46042</v>
      </c>
      <c r="D671" s="13">
        <v>23</v>
      </c>
      <c r="E671" s="8">
        <v>7.7</v>
      </c>
      <c r="F671" s="8">
        <v>1.2E-2</v>
      </c>
      <c r="G671" s="8">
        <v>0.98399999999999999</v>
      </c>
      <c r="H671" s="8">
        <v>8.3000000000000007</v>
      </c>
    </row>
    <row r="672" spans="1:9" ht="15" customHeight="1" x14ac:dyDescent="0.25">
      <c r="A672" s="5">
        <v>4</v>
      </c>
      <c r="B672" s="5">
        <v>671</v>
      </c>
      <c r="C672" s="50">
        <v>46043</v>
      </c>
      <c r="D672" s="13">
        <v>103</v>
      </c>
      <c r="E672" s="8">
        <v>25.7</v>
      </c>
      <c r="F672" s="8">
        <v>3.9E-2</v>
      </c>
      <c r="G672" s="8">
        <v>0.98399999999999999</v>
      </c>
      <c r="H672" s="8">
        <v>10.9</v>
      </c>
    </row>
    <row r="673" spans="1:8" ht="15" customHeight="1" x14ac:dyDescent="0.25">
      <c r="A673" s="5">
        <v>5</v>
      </c>
      <c r="B673" s="5">
        <v>672</v>
      </c>
      <c r="C673" s="50">
        <v>46044</v>
      </c>
      <c r="D673" s="13">
        <v>43</v>
      </c>
      <c r="E673" s="8">
        <v>20.8</v>
      </c>
      <c r="F673" s="8">
        <v>0</v>
      </c>
      <c r="G673" s="8">
        <v>0.98399999999999999</v>
      </c>
      <c r="H673" s="8">
        <v>15.7</v>
      </c>
    </row>
    <row r="674" spans="1:8" ht="15" customHeight="1" x14ac:dyDescent="0.25">
      <c r="A674" s="5">
        <v>6</v>
      </c>
      <c r="B674" s="5">
        <v>673</v>
      </c>
      <c r="C674" s="50">
        <v>46045</v>
      </c>
      <c r="D674" s="13">
        <v>38</v>
      </c>
      <c r="E674" s="8">
        <v>-1.3</v>
      </c>
      <c r="F674" s="8">
        <v>0</v>
      </c>
      <c r="G674" s="8">
        <v>0.98399999999999999</v>
      </c>
      <c r="H674" s="8">
        <v>13.2</v>
      </c>
    </row>
    <row r="675" spans="1:8" ht="15" customHeight="1" x14ac:dyDescent="0.25">
      <c r="A675" s="5">
        <v>7</v>
      </c>
      <c r="B675" s="5">
        <v>674</v>
      </c>
      <c r="C675" s="50">
        <v>46046</v>
      </c>
      <c r="D675" s="13">
        <v>156</v>
      </c>
      <c r="E675" s="8">
        <v>-4.4000000000000004</v>
      </c>
      <c r="F675" s="8">
        <v>3.9E-2</v>
      </c>
      <c r="G675" s="8">
        <v>0.98399999999999999</v>
      </c>
      <c r="H675" s="8">
        <v>5.8</v>
      </c>
    </row>
    <row r="676" spans="1:8" ht="15" customHeight="1" x14ac:dyDescent="0.25">
      <c r="A676" s="5">
        <v>1</v>
      </c>
      <c r="B676" s="5">
        <v>675</v>
      </c>
      <c r="C676" s="50">
        <v>46047</v>
      </c>
      <c r="D676" s="13">
        <v>40</v>
      </c>
      <c r="E676" s="8">
        <v>8.1999999999999993</v>
      </c>
      <c r="F676" s="8">
        <v>9.8000000000000004E-2</v>
      </c>
      <c r="G676" s="8">
        <v>0.98399999999999999</v>
      </c>
      <c r="H676" s="8">
        <v>12.3</v>
      </c>
    </row>
    <row r="677" spans="1:8" ht="15" customHeight="1" x14ac:dyDescent="0.25">
      <c r="A677" s="5">
        <v>2</v>
      </c>
      <c r="B677" s="5">
        <v>676</v>
      </c>
      <c r="C677" s="50">
        <v>46048</v>
      </c>
      <c r="D677" s="13">
        <v>22</v>
      </c>
      <c r="E677" s="8">
        <v>4.5</v>
      </c>
      <c r="F677" s="8">
        <v>0</v>
      </c>
      <c r="G677" s="8">
        <v>5</v>
      </c>
      <c r="H677" s="8">
        <v>12.9</v>
      </c>
    </row>
    <row r="678" spans="1:8" ht="15" customHeight="1" x14ac:dyDescent="0.25">
      <c r="A678" s="5">
        <v>3</v>
      </c>
      <c r="B678" s="5">
        <v>677</v>
      </c>
      <c r="C678" s="50">
        <v>46049</v>
      </c>
      <c r="D678" s="13">
        <v>41</v>
      </c>
      <c r="E678" s="8">
        <v>11.1</v>
      </c>
      <c r="F678" s="8">
        <v>0</v>
      </c>
      <c r="G678" s="8">
        <v>2.992</v>
      </c>
      <c r="H678" s="8">
        <v>13.2</v>
      </c>
    </row>
    <row r="679" spans="1:8" ht="15" customHeight="1" x14ac:dyDescent="0.25">
      <c r="A679" s="5">
        <v>4</v>
      </c>
      <c r="B679" s="5">
        <v>678</v>
      </c>
      <c r="C679" s="50">
        <v>46050</v>
      </c>
      <c r="D679" s="13">
        <v>32</v>
      </c>
      <c r="E679" s="8">
        <v>8.1999999999999993</v>
      </c>
      <c r="F679" s="8">
        <v>0</v>
      </c>
      <c r="G679" s="8">
        <v>2.008</v>
      </c>
      <c r="H679" s="8">
        <v>9.1</v>
      </c>
    </row>
    <row r="680" spans="1:8" ht="15" customHeight="1" x14ac:dyDescent="0.25">
      <c r="A680" s="5">
        <v>5</v>
      </c>
      <c r="B680" s="5">
        <v>679</v>
      </c>
      <c r="C680" s="50">
        <v>46051</v>
      </c>
      <c r="D680" s="13">
        <v>85</v>
      </c>
      <c r="E680" s="8">
        <v>8.1999999999999993</v>
      </c>
      <c r="F680" s="8">
        <v>0</v>
      </c>
      <c r="G680" s="8">
        <v>2.008</v>
      </c>
      <c r="H680" s="8">
        <v>5.8</v>
      </c>
    </row>
    <row r="681" spans="1:8" ht="15" customHeight="1" x14ac:dyDescent="0.25">
      <c r="A681" s="5">
        <v>6</v>
      </c>
      <c r="B681" s="5">
        <v>680</v>
      </c>
      <c r="C681" s="50">
        <v>46052</v>
      </c>
      <c r="D681" s="13">
        <v>111</v>
      </c>
      <c r="E681" s="8">
        <v>12.6</v>
      </c>
      <c r="F681" s="8">
        <v>5.0999999999999997E-2</v>
      </c>
      <c r="G681" s="8">
        <v>2.008</v>
      </c>
      <c r="H681" s="8">
        <v>10.4</v>
      </c>
    </row>
    <row r="682" spans="1:8" ht="15" customHeight="1" x14ac:dyDescent="0.25">
      <c r="A682" s="5">
        <v>7</v>
      </c>
      <c r="B682" s="5">
        <v>681</v>
      </c>
      <c r="C682" s="50">
        <v>46053</v>
      </c>
      <c r="D682" s="13">
        <v>163</v>
      </c>
      <c r="E682" s="8">
        <v>18.100000000000001</v>
      </c>
      <c r="F682" s="8">
        <v>4.0000000000000001E-3</v>
      </c>
      <c r="G682" s="8">
        <v>2.992</v>
      </c>
      <c r="H682" s="8">
        <v>13.2</v>
      </c>
    </row>
    <row r="683" spans="1:8" ht="15" customHeight="1" x14ac:dyDescent="0.25">
      <c r="A683" s="5">
        <v>1</v>
      </c>
      <c r="B683" s="5">
        <v>682</v>
      </c>
      <c r="C683" s="50">
        <v>46054</v>
      </c>
      <c r="D683" s="13">
        <v>62</v>
      </c>
      <c r="E683" s="8">
        <v>19.600000000000001</v>
      </c>
      <c r="F683" s="8">
        <v>0</v>
      </c>
      <c r="G683" s="8">
        <v>0</v>
      </c>
      <c r="H683" s="8">
        <v>7.9</v>
      </c>
    </row>
    <row r="684" spans="1:8" ht="15" customHeight="1" x14ac:dyDescent="0.25">
      <c r="A684" s="5">
        <v>2</v>
      </c>
      <c r="B684" s="5">
        <v>683</v>
      </c>
      <c r="C684" s="50">
        <v>46055</v>
      </c>
      <c r="D684" s="13">
        <v>51</v>
      </c>
      <c r="E684" s="8">
        <v>23.7</v>
      </c>
      <c r="F684" s="8">
        <v>8.0000000000000002E-3</v>
      </c>
      <c r="G684" s="8">
        <v>2.008</v>
      </c>
      <c r="H684" s="8">
        <v>7</v>
      </c>
    </row>
    <row r="685" spans="1:8" ht="15" customHeight="1" x14ac:dyDescent="0.25">
      <c r="A685" s="5">
        <v>3</v>
      </c>
      <c r="B685" s="5">
        <v>684</v>
      </c>
      <c r="C685" s="50">
        <v>46056</v>
      </c>
      <c r="D685" s="13">
        <v>42</v>
      </c>
      <c r="E685" s="8">
        <v>21.6</v>
      </c>
      <c r="F685" s="8">
        <v>0</v>
      </c>
      <c r="G685" s="8">
        <v>2.008</v>
      </c>
      <c r="H685" s="8">
        <v>7.3</v>
      </c>
    </row>
    <row r="686" spans="1:8" ht="15" customHeight="1" x14ac:dyDescent="0.25">
      <c r="A686" s="5">
        <v>4</v>
      </c>
      <c r="B686" s="5">
        <v>685</v>
      </c>
      <c r="C686" s="50">
        <v>46057</v>
      </c>
      <c r="D686" s="13">
        <v>38</v>
      </c>
      <c r="E686" s="8">
        <v>21.6</v>
      </c>
      <c r="F686" s="8">
        <v>0</v>
      </c>
      <c r="G686" s="8">
        <v>0</v>
      </c>
      <c r="H686" s="8">
        <v>4.2</v>
      </c>
    </row>
    <row r="687" spans="1:8" ht="15" customHeight="1" x14ac:dyDescent="0.25">
      <c r="A687" s="5">
        <v>5</v>
      </c>
      <c r="B687" s="5">
        <v>686</v>
      </c>
      <c r="C687" s="50">
        <v>46058</v>
      </c>
      <c r="D687" s="13">
        <v>29</v>
      </c>
      <c r="E687" s="8">
        <v>24.4</v>
      </c>
      <c r="F687" s="8">
        <v>5.8999999999999997E-2</v>
      </c>
      <c r="G687" s="8">
        <v>0</v>
      </c>
      <c r="H687" s="8">
        <v>9.4</v>
      </c>
    </row>
    <row r="688" spans="1:8" ht="15" customHeight="1" x14ac:dyDescent="0.25">
      <c r="A688" s="5">
        <v>6</v>
      </c>
      <c r="B688" s="5">
        <v>687</v>
      </c>
      <c r="C688" s="50">
        <v>46059</v>
      </c>
      <c r="D688" s="13">
        <v>140</v>
      </c>
      <c r="E688" s="8">
        <v>31.1</v>
      </c>
      <c r="F688" s="8">
        <v>6.7000000000000004E-2</v>
      </c>
      <c r="G688" s="8">
        <v>0</v>
      </c>
      <c r="H688" s="8">
        <v>13.2</v>
      </c>
    </row>
    <row r="689" spans="1:9" ht="15" customHeight="1" x14ac:dyDescent="0.25">
      <c r="A689" s="5">
        <v>7</v>
      </c>
      <c r="B689" s="5">
        <v>688</v>
      </c>
      <c r="C689" s="50">
        <v>46060</v>
      </c>
      <c r="D689" s="13">
        <v>186</v>
      </c>
      <c r="E689" s="8">
        <v>18.899999999999999</v>
      </c>
      <c r="F689" s="8">
        <v>1.2E-2</v>
      </c>
      <c r="G689" s="8">
        <v>0</v>
      </c>
      <c r="H689" s="8">
        <v>7.4</v>
      </c>
    </row>
    <row r="690" spans="1:9" ht="15" customHeight="1" x14ac:dyDescent="0.25">
      <c r="A690" s="5">
        <v>1</v>
      </c>
      <c r="B690" s="5">
        <v>689</v>
      </c>
      <c r="C690" s="50">
        <v>46061</v>
      </c>
      <c r="D690" s="13">
        <v>0</v>
      </c>
      <c r="E690" s="8">
        <v>25.3</v>
      </c>
      <c r="F690" s="8">
        <v>1.6E-2</v>
      </c>
      <c r="G690" s="8">
        <v>0</v>
      </c>
      <c r="H690" s="8">
        <v>10.199999999999999</v>
      </c>
      <c r="I690" t="s">
        <v>33</v>
      </c>
    </row>
    <row r="691" spans="1:9" ht="15" customHeight="1" x14ac:dyDescent="0.25">
      <c r="A691" s="5">
        <v>2</v>
      </c>
      <c r="B691" s="5">
        <v>690</v>
      </c>
      <c r="C691" s="50">
        <v>46062</v>
      </c>
      <c r="D691" s="13">
        <v>30</v>
      </c>
      <c r="E691" s="8">
        <v>31.3</v>
      </c>
      <c r="F691" s="8">
        <v>0</v>
      </c>
      <c r="G691" s="8">
        <v>0</v>
      </c>
      <c r="H691" s="8">
        <v>7.5</v>
      </c>
    </row>
    <row r="692" spans="1:9" ht="15" customHeight="1" x14ac:dyDescent="0.25">
      <c r="A692" s="5">
        <v>3</v>
      </c>
      <c r="B692" s="5">
        <v>691</v>
      </c>
      <c r="C692" s="50">
        <v>46063</v>
      </c>
      <c r="D692" s="13">
        <v>26</v>
      </c>
      <c r="E692" s="8">
        <v>37.799999999999997</v>
      </c>
      <c r="F692" s="8">
        <v>0</v>
      </c>
      <c r="G692" s="8">
        <v>0</v>
      </c>
      <c r="H692" s="8">
        <v>11.1</v>
      </c>
    </row>
    <row r="693" spans="1:9" ht="15" customHeight="1" x14ac:dyDescent="0.25">
      <c r="A693" s="5">
        <v>4</v>
      </c>
      <c r="B693" s="5">
        <v>692</v>
      </c>
      <c r="C693" s="50">
        <v>46064</v>
      </c>
      <c r="D693" s="13">
        <v>59</v>
      </c>
      <c r="E693" s="8">
        <v>31.1</v>
      </c>
      <c r="F693" s="8">
        <v>0</v>
      </c>
      <c r="G693" s="8">
        <v>0</v>
      </c>
      <c r="H693" s="8">
        <v>9.5</v>
      </c>
    </row>
    <row r="694" spans="1:9" ht="15" customHeight="1" x14ac:dyDescent="0.25">
      <c r="A694" s="5">
        <v>5</v>
      </c>
      <c r="B694" s="5">
        <v>693</v>
      </c>
      <c r="C694" s="50">
        <v>46065</v>
      </c>
      <c r="D694" s="13">
        <v>37</v>
      </c>
      <c r="E694" s="8">
        <v>31.3</v>
      </c>
      <c r="F694" s="8">
        <v>0</v>
      </c>
      <c r="G694" s="8">
        <v>0</v>
      </c>
      <c r="H694" s="8">
        <v>4.7</v>
      </c>
    </row>
    <row r="695" spans="1:9" ht="15" customHeight="1" x14ac:dyDescent="0.25">
      <c r="A695" s="5">
        <v>6</v>
      </c>
      <c r="B695" s="5">
        <v>694</v>
      </c>
      <c r="C695" s="50">
        <v>46066</v>
      </c>
      <c r="D695" s="13">
        <v>199</v>
      </c>
      <c r="E695" s="8">
        <v>34</v>
      </c>
      <c r="F695" s="8">
        <v>0</v>
      </c>
      <c r="G695" s="8">
        <v>0</v>
      </c>
      <c r="H695" s="8">
        <v>5.8</v>
      </c>
    </row>
    <row r="696" spans="1:9" ht="15" customHeight="1" x14ac:dyDescent="0.25">
      <c r="A696" s="5">
        <v>7</v>
      </c>
      <c r="B696" s="5">
        <v>695</v>
      </c>
      <c r="C696" s="50">
        <v>46067</v>
      </c>
      <c r="D696" s="13">
        <v>283</v>
      </c>
      <c r="E696" s="8">
        <v>36.9</v>
      </c>
      <c r="F696" s="8">
        <v>0</v>
      </c>
      <c r="G696" s="8">
        <v>0</v>
      </c>
      <c r="H696" s="8">
        <v>8.1999999999999993</v>
      </c>
      <c r="I696" s="39" t="s">
        <v>34</v>
      </c>
    </row>
    <row r="697" spans="1:9" ht="15" customHeight="1" x14ac:dyDescent="0.25">
      <c r="A697" s="5">
        <v>1</v>
      </c>
      <c r="B697" s="5">
        <v>696</v>
      </c>
      <c r="C697" s="50">
        <v>46068</v>
      </c>
      <c r="D697" s="13">
        <v>91</v>
      </c>
      <c r="E697" s="8">
        <v>44.2</v>
      </c>
      <c r="F697" s="8">
        <v>0.03</v>
      </c>
      <c r="G697" s="8">
        <v>0</v>
      </c>
      <c r="H697" s="8">
        <v>6.7</v>
      </c>
    </row>
    <row r="698" spans="1:9" ht="15" customHeight="1" x14ac:dyDescent="0.25">
      <c r="A698" s="5">
        <v>2</v>
      </c>
      <c r="B698" s="5">
        <v>697</v>
      </c>
      <c r="C698" s="50">
        <v>46069</v>
      </c>
      <c r="D698" s="13">
        <v>35</v>
      </c>
      <c r="E698" s="8">
        <v>48.9</v>
      </c>
      <c r="F698" s="8">
        <v>0</v>
      </c>
      <c r="G698" s="8">
        <v>0</v>
      </c>
      <c r="H698" s="8">
        <v>8.9</v>
      </c>
      <c r="I698" s="39" t="s">
        <v>35</v>
      </c>
    </row>
    <row r="699" spans="1:9" ht="15" customHeight="1" x14ac:dyDescent="0.25">
      <c r="A699" s="5">
        <v>3</v>
      </c>
      <c r="B699" s="5">
        <v>698</v>
      </c>
      <c r="C699" s="50">
        <v>46070</v>
      </c>
      <c r="D699" s="13">
        <v>79</v>
      </c>
      <c r="E699" s="8">
        <v>48.4</v>
      </c>
      <c r="F699" s="8">
        <v>5.0999999999999997E-2</v>
      </c>
      <c r="G699" s="8">
        <v>0</v>
      </c>
      <c r="H699" s="8">
        <v>8.6</v>
      </c>
    </row>
    <row r="700" spans="1:9" ht="15" customHeight="1" x14ac:dyDescent="0.25">
      <c r="A700" s="5">
        <v>4</v>
      </c>
      <c r="B700" s="5">
        <v>699</v>
      </c>
      <c r="C700" s="50">
        <v>46071</v>
      </c>
      <c r="D700" s="13">
        <v>29</v>
      </c>
      <c r="E700" s="8">
        <v>53.6</v>
      </c>
      <c r="F700" s="8">
        <v>0.12</v>
      </c>
      <c r="G700" s="8">
        <v>0</v>
      </c>
      <c r="H700" s="8">
        <v>13</v>
      </c>
      <c r="I700" s="39" t="s">
        <v>37</v>
      </c>
    </row>
    <row r="701" spans="1:9" ht="15" customHeight="1" x14ac:dyDescent="0.25">
      <c r="A701" s="5">
        <v>5</v>
      </c>
      <c r="B701" s="5">
        <v>700</v>
      </c>
      <c r="C701" s="50">
        <v>46072</v>
      </c>
      <c r="D701" s="13">
        <v>38</v>
      </c>
      <c r="E701" s="8">
        <v>45.3</v>
      </c>
      <c r="F701" s="8">
        <v>0.02</v>
      </c>
      <c r="G701" s="8">
        <v>0</v>
      </c>
      <c r="H701" s="8">
        <v>9.1</v>
      </c>
    </row>
    <row r="702" spans="1:9" ht="15" customHeight="1" x14ac:dyDescent="0.25">
      <c r="A702" s="5">
        <v>6</v>
      </c>
      <c r="B702" s="5">
        <v>701</v>
      </c>
      <c r="C702" s="50">
        <v>46073</v>
      </c>
      <c r="D702" s="13">
        <v>101</v>
      </c>
      <c r="E702" s="8">
        <v>38.299999999999997</v>
      </c>
      <c r="F702" s="8">
        <v>0.01</v>
      </c>
      <c r="G702" s="8">
        <v>0</v>
      </c>
      <c r="H702" s="8">
        <v>14</v>
      </c>
      <c r="I702" s="39" t="s">
        <v>10</v>
      </c>
    </row>
    <row r="703" spans="1:9" ht="15" customHeight="1" x14ac:dyDescent="0.25">
      <c r="A703" s="5">
        <v>7</v>
      </c>
      <c r="B703" s="5">
        <v>702</v>
      </c>
      <c r="C703" s="50">
        <v>46074</v>
      </c>
      <c r="D703" s="13">
        <v>183</v>
      </c>
      <c r="E703" s="8">
        <v>31.6</v>
      </c>
      <c r="F703" s="8">
        <v>0</v>
      </c>
      <c r="G703" s="8">
        <v>0</v>
      </c>
      <c r="H703" s="8">
        <v>11.7</v>
      </c>
    </row>
    <row r="704" spans="1:9" ht="15" customHeight="1" x14ac:dyDescent="0.25">
      <c r="A704" s="5">
        <v>1</v>
      </c>
      <c r="B704" s="5">
        <v>703</v>
      </c>
      <c r="C704" s="50">
        <v>46075</v>
      </c>
      <c r="D704" s="13">
        <v>66</v>
      </c>
      <c r="E704" s="8">
        <v>28.4</v>
      </c>
      <c r="F704" s="8">
        <v>0</v>
      </c>
      <c r="G704" s="8">
        <v>0</v>
      </c>
      <c r="H704" s="8">
        <v>10</v>
      </c>
    </row>
    <row r="705" spans="1:10" ht="15" customHeight="1" x14ac:dyDescent="0.25">
      <c r="A705" s="5">
        <v>2</v>
      </c>
      <c r="B705" s="5">
        <v>704</v>
      </c>
      <c r="C705" s="50">
        <v>46076</v>
      </c>
      <c r="D705" s="13">
        <v>36</v>
      </c>
      <c r="E705" s="8">
        <v>28.8</v>
      </c>
      <c r="F705" s="8">
        <v>0</v>
      </c>
      <c r="G705" s="8">
        <v>0</v>
      </c>
      <c r="H705" s="8">
        <v>10.4</v>
      </c>
    </row>
    <row r="706" spans="1:10" ht="15" customHeight="1" x14ac:dyDescent="0.25">
      <c r="A706" s="5">
        <v>3</v>
      </c>
      <c r="B706" s="5">
        <v>705</v>
      </c>
      <c r="C706" s="50">
        <v>46077</v>
      </c>
      <c r="D706" s="13">
        <v>45</v>
      </c>
      <c r="E706" s="8">
        <v>31.8</v>
      </c>
      <c r="F706" s="8">
        <v>0</v>
      </c>
      <c r="G706" s="8">
        <v>0</v>
      </c>
      <c r="H706" s="8">
        <v>9.8000000000000007</v>
      </c>
    </row>
    <row r="707" spans="1:10" ht="15" customHeight="1" x14ac:dyDescent="0.25">
      <c r="A707" s="5">
        <v>4</v>
      </c>
      <c r="B707" s="5">
        <v>706</v>
      </c>
      <c r="C707" s="50">
        <v>46078</v>
      </c>
      <c r="D707" s="13">
        <v>64</v>
      </c>
      <c r="E707" s="8">
        <v>31.6</v>
      </c>
      <c r="F707" s="8">
        <v>0</v>
      </c>
      <c r="G707" s="8">
        <v>0.36</v>
      </c>
      <c r="H707" s="8">
        <v>6.7</v>
      </c>
    </row>
    <row r="708" spans="1:10" ht="15" customHeight="1" x14ac:dyDescent="0.25">
      <c r="A708" s="5">
        <v>5</v>
      </c>
      <c r="B708" s="5">
        <v>707</v>
      </c>
      <c r="C708" s="50">
        <v>46079</v>
      </c>
      <c r="D708" s="13">
        <v>41</v>
      </c>
      <c r="E708" s="8">
        <v>31.2</v>
      </c>
      <c r="F708" s="8">
        <v>0</v>
      </c>
      <c r="G708" s="8">
        <v>0</v>
      </c>
      <c r="H708" s="8">
        <v>6</v>
      </c>
    </row>
    <row r="709" spans="1:10" ht="15" customHeight="1" x14ac:dyDescent="0.25">
      <c r="A709" s="5">
        <v>6</v>
      </c>
      <c r="B709" s="5">
        <v>708</v>
      </c>
      <c r="C709" s="50">
        <v>46080</v>
      </c>
      <c r="D709" s="13">
        <v>90</v>
      </c>
      <c r="E709" s="8">
        <v>46.3</v>
      </c>
      <c r="F709" s="8">
        <v>0</v>
      </c>
      <c r="G709" s="8">
        <v>0</v>
      </c>
      <c r="H709" s="8">
        <v>11.6</v>
      </c>
      <c r="I709" s="39" t="s">
        <v>10</v>
      </c>
    </row>
    <row r="710" spans="1:10" ht="15" customHeight="1" x14ac:dyDescent="0.25">
      <c r="A710" s="5">
        <v>7</v>
      </c>
      <c r="B710" s="5">
        <v>709</v>
      </c>
      <c r="C710" s="50">
        <v>46081</v>
      </c>
      <c r="D710" s="13">
        <v>137</v>
      </c>
      <c r="E710" s="8">
        <v>33.5</v>
      </c>
      <c r="F710" s="8">
        <v>0</v>
      </c>
      <c r="G710" s="8">
        <v>0</v>
      </c>
      <c r="H710" s="8">
        <v>8</v>
      </c>
    </row>
    <row r="711" spans="1:10" ht="15" customHeight="1" x14ac:dyDescent="0.25">
      <c r="A711" s="5">
        <v>1</v>
      </c>
      <c r="B711" s="5">
        <v>710</v>
      </c>
      <c r="C711" s="50">
        <v>46082</v>
      </c>
      <c r="D711" s="13">
        <v>43</v>
      </c>
      <c r="E711" s="8">
        <v>28.4</v>
      </c>
      <c r="F711" s="8">
        <v>0</v>
      </c>
      <c r="G711" s="8">
        <v>0</v>
      </c>
      <c r="H711" s="8">
        <v>5.4</v>
      </c>
    </row>
    <row r="712" spans="1:10" ht="15" customHeight="1" x14ac:dyDescent="0.25">
      <c r="A712" s="5">
        <v>2</v>
      </c>
      <c r="B712" s="5">
        <v>711</v>
      </c>
      <c r="C712" s="50">
        <v>46083</v>
      </c>
      <c r="D712" s="13">
        <v>39</v>
      </c>
      <c r="E712" s="8">
        <v>33.5</v>
      </c>
      <c r="F712" s="8">
        <v>0</v>
      </c>
      <c r="G712" s="8">
        <v>0</v>
      </c>
      <c r="H712" s="8">
        <v>4</v>
      </c>
    </row>
    <row r="713" spans="1:10" ht="15" customHeight="1" x14ac:dyDescent="0.25">
      <c r="A713" s="5">
        <v>3</v>
      </c>
      <c r="B713" s="5">
        <v>712</v>
      </c>
      <c r="C713" s="50">
        <v>46084</v>
      </c>
      <c r="D713" s="13">
        <v>43</v>
      </c>
      <c r="E713" s="8">
        <v>37.200000000000003</v>
      </c>
      <c r="F713" s="8">
        <v>0</v>
      </c>
      <c r="G713" s="8">
        <v>0</v>
      </c>
      <c r="H713" s="8">
        <v>3.6</v>
      </c>
      <c r="J713" s="8">
        <v>6.8699999999999992</v>
      </c>
    </row>
    <row r="714" spans="1:10" ht="15" customHeight="1" x14ac:dyDescent="0.25">
      <c r="A714" s="5">
        <v>4</v>
      </c>
      <c r="B714" s="5">
        <v>713</v>
      </c>
      <c r="C714" s="50">
        <v>46085</v>
      </c>
      <c r="D714" s="13">
        <v>39.5</v>
      </c>
      <c r="E714" s="8">
        <v>43</v>
      </c>
      <c r="F714" s="8">
        <v>7.0000000000000007E-2</v>
      </c>
      <c r="G714" s="8">
        <v>0</v>
      </c>
      <c r="H714" s="8">
        <v>6</v>
      </c>
      <c r="J714" s="8">
        <v>6.6</v>
      </c>
    </row>
    <row r="715" spans="1:10" ht="15" customHeight="1" x14ac:dyDescent="0.25">
      <c r="A715" s="5">
        <v>5</v>
      </c>
      <c r="B715" s="5">
        <v>714</v>
      </c>
      <c r="C715" s="50">
        <v>46086</v>
      </c>
      <c r="D715" s="13">
        <v>46</v>
      </c>
      <c r="E715" s="8">
        <v>41</v>
      </c>
      <c r="F715" s="8">
        <v>0.1</v>
      </c>
      <c r="G715" s="8">
        <v>0</v>
      </c>
      <c r="H715" s="8">
        <v>7</v>
      </c>
      <c r="J715" s="8">
        <v>7.0350000000000001</v>
      </c>
    </row>
    <row r="716" spans="1:10" ht="15" customHeight="1" x14ac:dyDescent="0.25">
      <c r="A716" s="5">
        <v>6</v>
      </c>
      <c r="B716" s="5">
        <v>715</v>
      </c>
      <c r="C716" s="50">
        <v>46087</v>
      </c>
      <c r="D716" s="13">
        <v>82</v>
      </c>
      <c r="E716" s="8">
        <v>62.5</v>
      </c>
      <c r="F716" s="8">
        <v>0.69</v>
      </c>
      <c r="G716" s="8">
        <v>0</v>
      </c>
      <c r="H716" s="8">
        <v>13</v>
      </c>
      <c r="I716" s="39" t="s">
        <v>10</v>
      </c>
      <c r="J716" s="8">
        <v>16.864999999999998</v>
      </c>
    </row>
    <row r="717" spans="1:10" ht="15" customHeight="1" x14ac:dyDescent="0.25">
      <c r="A717" s="5">
        <v>7</v>
      </c>
      <c r="B717" s="5">
        <v>716</v>
      </c>
      <c r="C717" s="50">
        <v>46088</v>
      </c>
      <c r="D717" s="13">
        <v>150</v>
      </c>
      <c r="E717" s="8">
        <v>46.5</v>
      </c>
      <c r="F717" s="8">
        <v>0</v>
      </c>
      <c r="G717" s="8">
        <v>0</v>
      </c>
      <c r="H717" s="8">
        <v>16</v>
      </c>
      <c r="J717" s="8">
        <v>25.545000000000002</v>
      </c>
    </row>
    <row r="718" spans="1:10" ht="15" customHeight="1" x14ac:dyDescent="0.25">
      <c r="A718" s="5">
        <v>1</v>
      </c>
      <c r="B718" s="5">
        <v>717</v>
      </c>
      <c r="C718" s="50">
        <v>46089</v>
      </c>
      <c r="D718" s="13">
        <v>40</v>
      </c>
      <c r="E718" s="8">
        <v>54.5</v>
      </c>
      <c r="F718" s="8">
        <v>0</v>
      </c>
      <c r="G718" s="8">
        <v>0</v>
      </c>
      <c r="H718" s="8">
        <v>13</v>
      </c>
      <c r="I718" t="s">
        <v>61</v>
      </c>
      <c r="J718" s="8">
        <v>8.25</v>
      </c>
    </row>
    <row r="719" spans="1:10" ht="15" customHeight="1" x14ac:dyDescent="0.25">
      <c r="A719" s="5">
        <v>2</v>
      </c>
      <c r="B719" s="5">
        <v>718</v>
      </c>
      <c r="C719" s="50">
        <v>46090</v>
      </c>
      <c r="D719" s="13">
        <v>47.5</v>
      </c>
      <c r="E719" s="8">
        <v>57.5</v>
      </c>
      <c r="F719" s="8">
        <v>0</v>
      </c>
      <c r="G719" s="8">
        <v>0</v>
      </c>
      <c r="H719" s="8">
        <v>13</v>
      </c>
      <c r="J719" s="8">
        <v>8.2149999999999999</v>
      </c>
    </row>
    <row r="720" spans="1:10" ht="15" customHeight="1" x14ac:dyDescent="0.25">
      <c r="A720" s="5">
        <v>3</v>
      </c>
      <c r="B720" s="5">
        <v>719</v>
      </c>
      <c r="C720" s="50">
        <v>46091</v>
      </c>
      <c r="D720" s="13">
        <v>48.5</v>
      </c>
      <c r="E720" s="8">
        <v>48.5</v>
      </c>
      <c r="F720" s="8">
        <v>1.1599999999999999</v>
      </c>
      <c r="G720" s="8">
        <v>0</v>
      </c>
      <c r="H720" s="8">
        <v>16</v>
      </c>
      <c r="J720" s="8">
        <v>7.5049999999999999</v>
      </c>
    </row>
    <row r="721" spans="1:10" ht="15" customHeight="1" x14ac:dyDescent="0.25">
      <c r="A721" s="5">
        <v>4</v>
      </c>
      <c r="B721" s="5">
        <v>720</v>
      </c>
      <c r="C721" s="50">
        <v>46092</v>
      </c>
      <c r="D721" s="13">
        <v>43</v>
      </c>
      <c r="E721" s="8">
        <v>35</v>
      </c>
      <c r="F721" s="8">
        <v>0.08</v>
      </c>
      <c r="G721" s="8">
        <v>0</v>
      </c>
      <c r="H721" s="8">
        <v>13</v>
      </c>
      <c r="J721" s="8">
        <v>6.6649999999999991</v>
      </c>
    </row>
    <row r="722" spans="1:10" ht="15" customHeight="1" x14ac:dyDescent="0.25">
      <c r="A722" s="5">
        <v>5</v>
      </c>
      <c r="B722" s="5">
        <v>721</v>
      </c>
      <c r="C722" s="50">
        <v>46093</v>
      </c>
      <c r="D722" s="13">
        <v>47</v>
      </c>
      <c r="E722" s="8">
        <v>36</v>
      </c>
      <c r="F722" s="8">
        <v>0</v>
      </c>
      <c r="G722" s="8">
        <v>0</v>
      </c>
      <c r="H722" s="8">
        <v>5</v>
      </c>
      <c r="J722" s="8">
        <v>9.5649999999999995</v>
      </c>
    </row>
    <row r="723" spans="1:10" ht="15" customHeight="1" x14ac:dyDescent="0.25">
      <c r="A723" s="5">
        <v>6</v>
      </c>
      <c r="B723" s="5">
        <v>722</v>
      </c>
      <c r="C723" s="50">
        <v>46094</v>
      </c>
      <c r="D723" s="13">
        <v>69.5</v>
      </c>
      <c r="E723" s="8">
        <v>44.5</v>
      </c>
      <c r="F723" s="8">
        <v>0.25</v>
      </c>
      <c r="G723" s="8">
        <v>0</v>
      </c>
      <c r="H723" s="8">
        <v>12</v>
      </c>
      <c r="I723" s="39" t="s">
        <v>10</v>
      </c>
      <c r="J723" s="8">
        <v>11.945</v>
      </c>
    </row>
    <row r="724" spans="1:10" ht="15" customHeight="1" x14ac:dyDescent="0.25">
      <c r="A724" s="5">
        <v>7</v>
      </c>
      <c r="B724" s="5">
        <v>723</v>
      </c>
      <c r="C724" s="50">
        <v>46095</v>
      </c>
      <c r="D724" s="13">
        <v>131.5</v>
      </c>
      <c r="E724" s="8">
        <v>31</v>
      </c>
      <c r="F724" s="8">
        <v>0</v>
      </c>
      <c r="G724" s="8">
        <v>0</v>
      </c>
      <c r="H724" s="8">
        <v>14</v>
      </c>
      <c r="J724" s="8">
        <v>19.82</v>
      </c>
    </row>
    <row r="725" spans="1:10" ht="15" customHeight="1" x14ac:dyDescent="0.25">
      <c r="A725" s="5">
        <v>1</v>
      </c>
      <c r="B725" s="5">
        <v>724</v>
      </c>
      <c r="C725" s="50">
        <v>46096</v>
      </c>
      <c r="D725" s="13">
        <v>49</v>
      </c>
      <c r="E725" s="8">
        <v>33</v>
      </c>
      <c r="F725" s="8">
        <v>0.03</v>
      </c>
      <c r="G725" s="8">
        <v>0.14000000000000001</v>
      </c>
      <c r="H725" s="8">
        <v>1</v>
      </c>
      <c r="J725" s="8">
        <v>15.17</v>
      </c>
    </row>
    <row r="726" spans="1:10" ht="15" customHeight="1" x14ac:dyDescent="0.25">
      <c r="A726" s="5">
        <v>2</v>
      </c>
      <c r="B726" s="5">
        <v>725</v>
      </c>
      <c r="C726" s="50">
        <v>46097</v>
      </c>
      <c r="D726" s="13">
        <v>46.5</v>
      </c>
      <c r="E726" s="8">
        <v>33.5</v>
      </c>
      <c r="F726" s="8">
        <v>0</v>
      </c>
      <c r="G726" s="8">
        <v>0</v>
      </c>
      <c r="H726" s="8">
        <v>8</v>
      </c>
      <c r="J726" s="8">
        <v>9.0050000000000008</v>
      </c>
    </row>
    <row r="727" spans="1:10" ht="15" customHeight="1" x14ac:dyDescent="0.25">
      <c r="A727" s="5">
        <v>3</v>
      </c>
      <c r="B727" s="5">
        <v>726</v>
      </c>
      <c r="C727" s="50">
        <v>46098</v>
      </c>
      <c r="D727" s="13">
        <v>31.5</v>
      </c>
      <c r="E727" s="8">
        <v>35</v>
      </c>
      <c r="F727" s="8">
        <v>0</v>
      </c>
      <c r="G727" s="8">
        <v>0</v>
      </c>
      <c r="H727" s="8">
        <v>12</v>
      </c>
      <c r="I727" s="39" t="s">
        <v>38</v>
      </c>
      <c r="J727" s="8">
        <v>10.89</v>
      </c>
    </row>
    <row r="728" spans="1:10" ht="15" customHeight="1" x14ac:dyDescent="0.25">
      <c r="A728" s="5">
        <v>4</v>
      </c>
      <c r="B728" s="5">
        <v>727</v>
      </c>
      <c r="C728" s="50">
        <v>46099</v>
      </c>
      <c r="D728" s="13">
        <v>45</v>
      </c>
      <c r="E728" s="8">
        <v>29</v>
      </c>
      <c r="F728" s="8">
        <v>0</v>
      </c>
      <c r="G728" s="8">
        <v>0</v>
      </c>
      <c r="H728" s="8">
        <v>6</v>
      </c>
      <c r="J728" s="8">
        <v>9.3249999999999993</v>
      </c>
    </row>
    <row r="729" spans="1:10" ht="15" customHeight="1" x14ac:dyDescent="0.25">
      <c r="A729" s="5">
        <v>5</v>
      </c>
      <c r="B729" s="5">
        <v>728</v>
      </c>
      <c r="C729" s="50">
        <v>46100</v>
      </c>
      <c r="D729" s="13">
        <v>56</v>
      </c>
      <c r="E729" s="8">
        <v>35.5</v>
      </c>
      <c r="F729" s="8">
        <v>0</v>
      </c>
      <c r="G729" s="8">
        <v>0</v>
      </c>
      <c r="H729" s="8">
        <v>10</v>
      </c>
      <c r="J729" s="8">
        <v>11.83</v>
      </c>
    </row>
    <row r="730" spans="1:10" ht="15" customHeight="1" x14ac:dyDescent="0.25">
      <c r="A730" s="5">
        <v>6</v>
      </c>
      <c r="B730" s="5">
        <v>729</v>
      </c>
      <c r="C730" s="50">
        <v>46101</v>
      </c>
      <c r="D730" s="13">
        <v>75.5</v>
      </c>
      <c r="E730" s="8">
        <v>44</v>
      </c>
      <c r="F730" s="8">
        <v>0.28999999999999998</v>
      </c>
      <c r="G730" s="8">
        <v>0</v>
      </c>
      <c r="H730" s="8">
        <v>8</v>
      </c>
      <c r="J730" s="8">
        <v>13.125</v>
      </c>
    </row>
    <row r="731" spans="1:10" ht="15" customHeight="1" x14ac:dyDescent="0.25">
      <c r="A731" s="5">
        <v>7</v>
      </c>
      <c r="B731" s="5">
        <v>730</v>
      </c>
      <c r="C731" s="50">
        <v>46102</v>
      </c>
      <c r="D731" s="13">
        <v>93.5</v>
      </c>
      <c r="E731" s="8">
        <v>42.5</v>
      </c>
      <c r="F731" s="8">
        <v>0.28000000000000003</v>
      </c>
      <c r="G731" s="8">
        <v>0</v>
      </c>
      <c r="H731" s="8">
        <v>10</v>
      </c>
      <c r="J731" s="8">
        <v>16.335000000000001</v>
      </c>
    </row>
    <row r="732" spans="1:10" ht="15" customHeight="1" x14ac:dyDescent="0.25">
      <c r="A732" s="5">
        <v>1</v>
      </c>
      <c r="B732" s="5">
        <v>731</v>
      </c>
      <c r="C732" s="50">
        <v>46103</v>
      </c>
      <c r="D732" s="13">
        <v>45.5</v>
      </c>
      <c r="E732" s="8">
        <v>37.5</v>
      </c>
      <c r="F732" s="8">
        <v>0.34</v>
      </c>
      <c r="G732" s="8">
        <v>0.44</v>
      </c>
      <c r="H732" s="8">
        <v>9</v>
      </c>
      <c r="J732" s="8">
        <v>10.67</v>
      </c>
    </row>
    <row r="733" spans="1:10" ht="15" customHeight="1" x14ac:dyDescent="0.25">
      <c r="A733" s="5">
        <v>2</v>
      </c>
      <c r="B733" s="5">
        <v>732</v>
      </c>
      <c r="C733" s="50">
        <v>46104</v>
      </c>
      <c r="D733" s="13">
        <v>40.5</v>
      </c>
      <c r="E733" s="8">
        <v>31.5</v>
      </c>
      <c r="F733" s="8">
        <v>0</v>
      </c>
      <c r="G733" s="8">
        <v>0</v>
      </c>
      <c r="H733" s="8">
        <v>16</v>
      </c>
      <c r="J733" s="8">
        <v>10.02</v>
      </c>
    </row>
    <row r="734" spans="1:10" ht="15" customHeight="1" x14ac:dyDescent="0.25">
      <c r="A734" s="5">
        <v>3</v>
      </c>
      <c r="B734" s="5">
        <v>733</v>
      </c>
      <c r="C734" s="50">
        <v>46105</v>
      </c>
      <c r="D734" s="13">
        <v>40.5</v>
      </c>
      <c r="E734" s="8">
        <v>30</v>
      </c>
      <c r="F734" s="8">
        <v>0</v>
      </c>
      <c r="G734" s="8">
        <v>0</v>
      </c>
      <c r="H734" s="8">
        <v>14</v>
      </c>
      <c r="J734" s="8">
        <v>7.6349999999999998</v>
      </c>
    </row>
    <row r="735" spans="1:10" ht="15" customHeight="1" x14ac:dyDescent="0.25">
      <c r="A735" s="5">
        <v>4</v>
      </c>
      <c r="B735" s="5">
        <v>734</v>
      </c>
      <c r="C735" s="50">
        <v>46106</v>
      </c>
      <c r="D735" s="13">
        <v>47</v>
      </c>
      <c r="E735" s="8">
        <v>32</v>
      </c>
      <c r="F735" s="8">
        <v>0</v>
      </c>
      <c r="G735" s="8">
        <v>0</v>
      </c>
      <c r="H735" s="8">
        <v>7</v>
      </c>
      <c r="J735" s="8">
        <v>11.475</v>
      </c>
    </row>
    <row r="736" spans="1:10" ht="15" customHeight="1" x14ac:dyDescent="0.25">
      <c r="A736" s="5">
        <v>5</v>
      </c>
      <c r="B736" s="5">
        <v>735</v>
      </c>
      <c r="C736" s="50">
        <v>46107</v>
      </c>
      <c r="D736" s="13">
        <v>55.5</v>
      </c>
      <c r="E736" s="8">
        <v>36.5</v>
      </c>
      <c r="F736" s="8">
        <v>0</v>
      </c>
      <c r="G736" s="8">
        <v>0</v>
      </c>
      <c r="H736" s="8">
        <v>10</v>
      </c>
      <c r="J736" s="8">
        <v>11.355</v>
      </c>
    </row>
    <row r="737" spans="1:10" ht="15" customHeight="1" x14ac:dyDescent="0.25">
      <c r="A737" s="5">
        <v>6</v>
      </c>
      <c r="B737" s="5">
        <v>736</v>
      </c>
      <c r="C737" s="50">
        <v>46108</v>
      </c>
      <c r="D737" s="13">
        <v>75</v>
      </c>
      <c r="E737" s="8">
        <v>35</v>
      </c>
      <c r="F737" s="8">
        <v>0</v>
      </c>
      <c r="G737" s="8">
        <v>0</v>
      </c>
      <c r="H737" s="8">
        <v>10</v>
      </c>
      <c r="I737" s="39" t="s">
        <v>68</v>
      </c>
      <c r="J737" s="8">
        <v>11.215</v>
      </c>
    </row>
    <row r="738" spans="1:10" ht="15" customHeight="1" x14ac:dyDescent="0.25">
      <c r="A738" s="5">
        <v>7</v>
      </c>
      <c r="B738" s="5">
        <v>737</v>
      </c>
      <c r="C738" s="50">
        <v>46109</v>
      </c>
      <c r="D738" s="13">
        <v>125.5</v>
      </c>
      <c r="E738" s="8">
        <v>35</v>
      </c>
      <c r="F738" s="8">
        <v>0</v>
      </c>
      <c r="G738" s="8">
        <v>0</v>
      </c>
      <c r="H738" s="8">
        <v>7</v>
      </c>
      <c r="J738" s="8">
        <v>19.84</v>
      </c>
    </row>
    <row r="739" spans="1:10" ht="15" customHeight="1" x14ac:dyDescent="0.25">
      <c r="A739" s="5">
        <v>1</v>
      </c>
      <c r="B739" s="5">
        <v>738</v>
      </c>
      <c r="C739" s="50">
        <v>46110</v>
      </c>
      <c r="D739" s="13">
        <v>45.5</v>
      </c>
      <c r="E739" s="8">
        <v>36</v>
      </c>
      <c r="F739" s="8">
        <v>0</v>
      </c>
      <c r="G739" s="8">
        <v>0</v>
      </c>
      <c r="H739" s="8">
        <v>6</v>
      </c>
      <c r="J739" s="8">
        <v>7.73</v>
      </c>
    </row>
    <row r="740" spans="1:10" ht="15" customHeight="1" x14ac:dyDescent="0.25">
      <c r="A740" s="5">
        <v>2</v>
      </c>
      <c r="B740" s="5">
        <v>739</v>
      </c>
      <c r="C740" s="50">
        <v>46111</v>
      </c>
      <c r="D740" s="13">
        <v>48</v>
      </c>
      <c r="E740" s="8">
        <v>36.5</v>
      </c>
      <c r="F740" s="8">
        <v>0</v>
      </c>
      <c r="G740" s="8">
        <v>0</v>
      </c>
      <c r="H740" s="8">
        <v>7</v>
      </c>
      <c r="J740" s="8">
        <v>10.565000000000001</v>
      </c>
    </row>
    <row r="741" spans="1:10" ht="15" customHeight="1" x14ac:dyDescent="0.25">
      <c r="A741" s="5">
        <v>3</v>
      </c>
      <c r="B741" s="5">
        <v>740</v>
      </c>
      <c r="C741" s="50">
        <v>46112</v>
      </c>
      <c r="D741" s="13">
        <v>50</v>
      </c>
      <c r="E741" s="8">
        <v>37</v>
      </c>
      <c r="F741" s="8">
        <v>0</v>
      </c>
      <c r="G741" s="8">
        <v>0</v>
      </c>
      <c r="H741" s="8">
        <v>7</v>
      </c>
      <c r="J741" s="8">
        <v>13.21</v>
      </c>
    </row>
    <row r="742" spans="1:10" ht="15" customHeight="1" x14ac:dyDescent="0.25">
      <c r="A742" s="5">
        <v>4</v>
      </c>
      <c r="B742" s="5">
        <v>741</v>
      </c>
      <c r="C742" s="50">
        <v>46113</v>
      </c>
      <c r="D742" s="13">
        <v>44</v>
      </c>
      <c r="E742" s="8">
        <v>40</v>
      </c>
      <c r="F742" s="8">
        <v>0</v>
      </c>
      <c r="G742" s="8">
        <v>0</v>
      </c>
      <c r="H742" s="8">
        <v>8</v>
      </c>
      <c r="J742" s="8">
        <v>9.48</v>
      </c>
    </row>
    <row r="743" spans="1:10" ht="15" customHeight="1" x14ac:dyDescent="0.25">
      <c r="A743" s="5">
        <v>5</v>
      </c>
      <c r="B743" s="5">
        <v>742</v>
      </c>
      <c r="C743" s="50">
        <v>46114</v>
      </c>
      <c r="D743" s="13">
        <v>73</v>
      </c>
      <c r="E743" s="8">
        <v>45</v>
      </c>
      <c r="F743" s="8">
        <v>0.23</v>
      </c>
      <c r="G743" s="8">
        <v>0</v>
      </c>
      <c r="H743" s="8">
        <v>14</v>
      </c>
      <c r="J743" s="8">
        <v>14.77</v>
      </c>
    </row>
    <row r="744" spans="1:10" ht="15" customHeight="1" x14ac:dyDescent="0.25">
      <c r="A744"/>
    </row>
    <row r="745" spans="1:10" ht="15" customHeight="1" x14ac:dyDescent="0.25">
      <c r="A745"/>
    </row>
  </sheetData>
  <conditionalFormatting sqref="A2:A743">
    <cfRule type="cellIs" dxfId="16" priority="1" operator="lessThan">
      <formula>6</formula>
    </cfRule>
    <cfRule type="cellIs" dxfId="15" priority="2" operator="greaterThan">
      <formula>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AF5D-84FB-432F-8F14-677D63D19C50}">
  <dimension ref="A1:X295"/>
  <sheetViews>
    <sheetView topLeftCell="A256" zoomScaleNormal="100" workbookViewId="0">
      <selection activeCell="O259" sqref="O259:P289"/>
    </sheetView>
  </sheetViews>
  <sheetFormatPr defaultRowHeight="15" x14ac:dyDescent="0.25"/>
  <cols>
    <col min="1" max="1" width="11" customWidth="1"/>
    <col min="2" max="2" width="13.140625" customWidth="1"/>
  </cols>
  <sheetData>
    <row r="1" spans="1:19" ht="15.75" thickBot="1" x14ac:dyDescent="0.3">
      <c r="C1" s="54" t="s">
        <v>60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9" ht="15.75" thickBot="1" x14ac:dyDescent="0.3">
      <c r="A2" s="18" t="s">
        <v>43</v>
      </c>
      <c r="B2" s="6"/>
      <c r="C2" s="55">
        <v>0.85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17" t="s">
        <v>39</v>
      </c>
      <c r="P2" s="17" t="s">
        <v>42</v>
      </c>
    </row>
    <row r="3" spans="1:19" x14ac:dyDescent="0.25">
      <c r="A3" s="24">
        <v>125</v>
      </c>
      <c r="B3" s="21">
        <v>45828</v>
      </c>
      <c r="C3" s="14">
        <v>155</v>
      </c>
      <c r="D3">
        <v>151</v>
      </c>
      <c r="E3">
        <v>150</v>
      </c>
      <c r="F3">
        <v>152</v>
      </c>
      <c r="O3" s="19">
        <f t="shared" ref="O3:O66" si="0">ROUND(AVERAGE(C3:N3),0)</f>
        <v>152</v>
      </c>
      <c r="P3" s="19">
        <f>ROUND(_xlfn.STDEV.P(C3:N3),2)</f>
        <v>1.87</v>
      </c>
      <c r="R3" s="25">
        <f t="shared" ref="R3:R4" si="1">O3-A3</f>
        <v>27</v>
      </c>
      <c r="S3">
        <f>O3/A3</f>
        <v>1.216</v>
      </c>
    </row>
    <row r="4" spans="1:19" x14ac:dyDescent="0.25">
      <c r="A4" s="24">
        <v>159</v>
      </c>
      <c r="B4" s="21">
        <v>45829</v>
      </c>
      <c r="C4" s="14">
        <v>87</v>
      </c>
      <c r="D4">
        <v>128</v>
      </c>
      <c r="E4">
        <v>134</v>
      </c>
      <c r="F4">
        <v>107</v>
      </c>
      <c r="O4" s="19">
        <f t="shared" si="0"/>
        <v>114</v>
      </c>
      <c r="P4" s="19">
        <f t="shared" ref="P4:P67" si="2">ROUND(_xlfn.STDEV.P(C4:N4),2)</f>
        <v>18.53</v>
      </c>
      <c r="R4" s="25">
        <f t="shared" si="1"/>
        <v>-45</v>
      </c>
      <c r="S4">
        <f t="shared" ref="S4:S25" si="3">O4/A4</f>
        <v>0.71698113207547165</v>
      </c>
    </row>
    <row r="5" spans="1:19" x14ac:dyDescent="0.25">
      <c r="A5" s="24">
        <v>63</v>
      </c>
      <c r="B5" s="21">
        <v>45830</v>
      </c>
      <c r="C5" s="14">
        <v>49</v>
      </c>
      <c r="D5">
        <v>71</v>
      </c>
      <c r="E5">
        <v>68</v>
      </c>
      <c r="F5">
        <v>113</v>
      </c>
      <c r="O5" s="19">
        <f t="shared" si="0"/>
        <v>75</v>
      </c>
      <c r="P5" s="19">
        <f t="shared" si="2"/>
        <v>23.37</v>
      </c>
      <c r="R5" s="25">
        <f>O5-A5</f>
        <v>12</v>
      </c>
      <c r="S5">
        <f t="shared" si="3"/>
        <v>1.1904761904761905</v>
      </c>
    </row>
    <row r="6" spans="1:19" x14ac:dyDescent="0.25">
      <c r="A6" s="24">
        <v>56</v>
      </c>
      <c r="B6" s="21">
        <v>45831</v>
      </c>
      <c r="C6" s="14">
        <v>49</v>
      </c>
      <c r="D6">
        <v>63</v>
      </c>
      <c r="E6">
        <v>59</v>
      </c>
      <c r="F6">
        <v>90</v>
      </c>
      <c r="O6" s="19">
        <f t="shared" si="0"/>
        <v>65</v>
      </c>
      <c r="P6" s="19">
        <f t="shared" si="2"/>
        <v>15.17</v>
      </c>
      <c r="R6" s="25">
        <f t="shared" ref="R6:R25" si="4">O6-A6</f>
        <v>9</v>
      </c>
      <c r="S6">
        <f t="shared" si="3"/>
        <v>1.1607142857142858</v>
      </c>
    </row>
    <row r="7" spans="1:19" x14ac:dyDescent="0.25">
      <c r="A7" s="24">
        <v>71</v>
      </c>
      <c r="B7" s="21">
        <v>45832</v>
      </c>
      <c r="C7" s="14">
        <v>58</v>
      </c>
      <c r="D7">
        <v>75</v>
      </c>
      <c r="E7">
        <v>62</v>
      </c>
      <c r="F7">
        <v>56</v>
      </c>
      <c r="O7" s="19">
        <f t="shared" si="0"/>
        <v>63</v>
      </c>
      <c r="P7" s="19">
        <f t="shared" si="2"/>
        <v>7.4</v>
      </c>
      <c r="R7" s="25">
        <f t="shared" si="4"/>
        <v>-8</v>
      </c>
      <c r="S7">
        <f t="shared" si="3"/>
        <v>0.88732394366197187</v>
      </c>
    </row>
    <row r="8" spans="1:19" x14ac:dyDescent="0.25">
      <c r="A8" s="24">
        <v>55</v>
      </c>
      <c r="B8" s="21">
        <v>45833</v>
      </c>
      <c r="C8" s="14">
        <v>48</v>
      </c>
      <c r="D8">
        <v>58</v>
      </c>
      <c r="E8">
        <v>65</v>
      </c>
      <c r="F8">
        <v>67</v>
      </c>
      <c r="O8" s="19">
        <f t="shared" si="0"/>
        <v>60</v>
      </c>
      <c r="P8" s="19">
        <f t="shared" si="2"/>
        <v>7.43</v>
      </c>
      <c r="R8" s="25">
        <f t="shared" si="4"/>
        <v>5</v>
      </c>
      <c r="S8">
        <f t="shared" si="3"/>
        <v>1.0909090909090908</v>
      </c>
    </row>
    <row r="9" spans="1:19" x14ac:dyDescent="0.25">
      <c r="A9" s="24">
        <v>100</v>
      </c>
      <c r="B9" s="21">
        <v>45834</v>
      </c>
      <c r="C9" s="14">
        <v>114</v>
      </c>
      <c r="D9">
        <v>114</v>
      </c>
      <c r="E9">
        <v>135</v>
      </c>
      <c r="F9">
        <v>109</v>
      </c>
      <c r="O9" s="19">
        <f t="shared" si="0"/>
        <v>118</v>
      </c>
      <c r="P9" s="19">
        <f t="shared" si="2"/>
        <v>10.02</v>
      </c>
      <c r="R9" s="25">
        <f t="shared" si="4"/>
        <v>18</v>
      </c>
      <c r="S9">
        <f t="shared" si="3"/>
        <v>1.18</v>
      </c>
    </row>
    <row r="10" spans="1:19" x14ac:dyDescent="0.25">
      <c r="A10" s="24">
        <v>144</v>
      </c>
      <c r="B10" s="21">
        <v>45835</v>
      </c>
      <c r="C10" s="14">
        <v>135</v>
      </c>
      <c r="D10">
        <v>113</v>
      </c>
      <c r="E10">
        <v>126</v>
      </c>
      <c r="F10">
        <v>146</v>
      </c>
      <c r="O10" s="19">
        <f t="shared" si="0"/>
        <v>130</v>
      </c>
      <c r="P10" s="19">
        <f t="shared" si="2"/>
        <v>12.1</v>
      </c>
      <c r="R10" s="25">
        <f t="shared" si="4"/>
        <v>-14</v>
      </c>
      <c r="S10">
        <f t="shared" si="3"/>
        <v>0.90277777777777779</v>
      </c>
    </row>
    <row r="11" spans="1:19" x14ac:dyDescent="0.25">
      <c r="A11" s="24">
        <v>197</v>
      </c>
      <c r="B11" s="21">
        <v>45836</v>
      </c>
      <c r="C11" s="14">
        <v>172</v>
      </c>
      <c r="D11">
        <v>174</v>
      </c>
      <c r="E11">
        <v>173</v>
      </c>
      <c r="F11">
        <v>155</v>
      </c>
      <c r="O11" s="19">
        <f t="shared" si="0"/>
        <v>169</v>
      </c>
      <c r="P11" s="19">
        <f t="shared" si="2"/>
        <v>7.83</v>
      </c>
      <c r="R11" s="25">
        <f t="shared" si="4"/>
        <v>-28</v>
      </c>
      <c r="S11">
        <f t="shared" si="3"/>
        <v>0.85786802030456855</v>
      </c>
    </row>
    <row r="12" spans="1:19" x14ac:dyDescent="0.25">
      <c r="A12" s="24">
        <v>52</v>
      </c>
      <c r="B12" s="21">
        <v>45837</v>
      </c>
      <c r="C12" s="14">
        <v>94</v>
      </c>
      <c r="D12">
        <v>72</v>
      </c>
      <c r="E12">
        <v>79</v>
      </c>
      <c r="F12">
        <v>100</v>
      </c>
      <c r="O12" s="19">
        <f t="shared" si="0"/>
        <v>86</v>
      </c>
      <c r="P12" s="19">
        <f t="shared" si="2"/>
        <v>11.23</v>
      </c>
      <c r="R12" s="25">
        <f t="shared" si="4"/>
        <v>34</v>
      </c>
      <c r="S12">
        <f t="shared" si="3"/>
        <v>1.6538461538461537</v>
      </c>
    </row>
    <row r="13" spans="1:19" x14ac:dyDescent="0.25">
      <c r="A13" s="18">
        <v>122</v>
      </c>
      <c r="B13" s="21">
        <v>45838</v>
      </c>
      <c r="C13" s="14">
        <v>86</v>
      </c>
      <c r="D13">
        <v>77</v>
      </c>
      <c r="E13">
        <v>82</v>
      </c>
      <c r="F13">
        <v>90</v>
      </c>
      <c r="K13">
        <v>66</v>
      </c>
      <c r="N13">
        <v>84</v>
      </c>
      <c r="O13" s="19">
        <f t="shared" si="0"/>
        <v>81</v>
      </c>
      <c r="P13" s="19">
        <f t="shared" si="2"/>
        <v>7.71</v>
      </c>
      <c r="R13" s="25">
        <f t="shared" si="4"/>
        <v>-41</v>
      </c>
      <c r="S13">
        <f t="shared" si="3"/>
        <v>0.66393442622950816</v>
      </c>
    </row>
    <row r="14" spans="1:19" x14ac:dyDescent="0.25">
      <c r="A14" s="13">
        <v>82</v>
      </c>
      <c r="B14" s="21">
        <v>45839</v>
      </c>
      <c r="C14" s="14">
        <v>70</v>
      </c>
      <c r="D14">
        <v>72</v>
      </c>
      <c r="E14">
        <v>67</v>
      </c>
      <c r="F14">
        <v>91</v>
      </c>
      <c r="K14">
        <v>69</v>
      </c>
      <c r="N14">
        <v>76</v>
      </c>
      <c r="O14" s="19">
        <f t="shared" si="0"/>
        <v>74</v>
      </c>
      <c r="P14" s="19">
        <f t="shared" si="2"/>
        <v>8.0299999999999994</v>
      </c>
      <c r="R14" s="25">
        <f t="shared" si="4"/>
        <v>-8</v>
      </c>
      <c r="S14">
        <f t="shared" si="3"/>
        <v>0.90243902439024393</v>
      </c>
    </row>
    <row r="15" spans="1:19" x14ac:dyDescent="0.25">
      <c r="A15" s="13">
        <v>69</v>
      </c>
      <c r="B15" s="21">
        <v>45840</v>
      </c>
      <c r="C15" s="14">
        <v>79</v>
      </c>
      <c r="D15">
        <v>81</v>
      </c>
      <c r="E15">
        <v>95</v>
      </c>
      <c r="F15">
        <v>79</v>
      </c>
      <c r="K15">
        <v>97</v>
      </c>
      <c r="N15">
        <v>90</v>
      </c>
      <c r="O15" s="19">
        <f t="shared" si="0"/>
        <v>87</v>
      </c>
      <c r="P15" s="19">
        <f t="shared" si="2"/>
        <v>7.49</v>
      </c>
      <c r="R15" s="25">
        <f t="shared" si="4"/>
        <v>18</v>
      </c>
      <c r="S15">
        <f t="shared" si="3"/>
        <v>1.2608695652173914</v>
      </c>
    </row>
    <row r="16" spans="1:19" x14ac:dyDescent="0.25">
      <c r="A16" s="13">
        <v>137</v>
      </c>
      <c r="B16" s="21">
        <v>45841</v>
      </c>
      <c r="C16" s="14">
        <v>97</v>
      </c>
      <c r="D16">
        <v>110</v>
      </c>
      <c r="E16">
        <v>99</v>
      </c>
      <c r="F16">
        <v>93</v>
      </c>
      <c r="K16">
        <v>110</v>
      </c>
      <c r="N16">
        <v>109</v>
      </c>
      <c r="O16" s="19">
        <f t="shared" si="0"/>
        <v>103</v>
      </c>
      <c r="P16" s="19">
        <f t="shared" si="2"/>
        <v>6.9</v>
      </c>
      <c r="R16" s="25">
        <f t="shared" si="4"/>
        <v>-34</v>
      </c>
      <c r="S16">
        <f t="shared" si="3"/>
        <v>0.75182481751824815</v>
      </c>
    </row>
    <row r="17" spans="1:19" x14ac:dyDescent="0.25">
      <c r="A17" s="13">
        <v>0</v>
      </c>
      <c r="B17" s="21">
        <v>45842</v>
      </c>
      <c r="C17" s="14">
        <v>139</v>
      </c>
      <c r="D17">
        <v>127</v>
      </c>
      <c r="E17">
        <v>132</v>
      </c>
      <c r="F17">
        <v>135</v>
      </c>
      <c r="K17">
        <v>99</v>
      </c>
      <c r="N17">
        <v>152</v>
      </c>
      <c r="O17" s="19">
        <f t="shared" si="0"/>
        <v>131</v>
      </c>
      <c r="P17" s="19">
        <f t="shared" si="2"/>
        <v>16.13</v>
      </c>
      <c r="R17" s="25">
        <f t="shared" si="4"/>
        <v>131</v>
      </c>
      <c r="S17">
        <f>O17/(A17+1)</f>
        <v>131</v>
      </c>
    </row>
    <row r="18" spans="1:19" x14ac:dyDescent="0.25">
      <c r="A18" s="13">
        <v>150</v>
      </c>
      <c r="B18" s="21">
        <v>45843</v>
      </c>
      <c r="C18" s="14">
        <v>184</v>
      </c>
      <c r="D18">
        <v>198</v>
      </c>
      <c r="E18">
        <v>199</v>
      </c>
      <c r="F18">
        <v>182</v>
      </c>
      <c r="K18">
        <v>179</v>
      </c>
      <c r="N18">
        <v>176</v>
      </c>
      <c r="O18" s="19">
        <f t="shared" si="0"/>
        <v>186</v>
      </c>
      <c r="P18" s="19">
        <f t="shared" si="2"/>
        <v>8.9600000000000009</v>
      </c>
      <c r="R18" s="25">
        <f t="shared" si="4"/>
        <v>36</v>
      </c>
      <c r="S18">
        <f t="shared" si="3"/>
        <v>1.24</v>
      </c>
    </row>
    <row r="19" spans="1:19" x14ac:dyDescent="0.25">
      <c r="A19" s="18">
        <v>44</v>
      </c>
      <c r="B19" s="21">
        <v>45844</v>
      </c>
      <c r="C19" s="14">
        <v>80</v>
      </c>
      <c r="D19">
        <v>83</v>
      </c>
      <c r="E19">
        <v>81</v>
      </c>
      <c r="F19">
        <v>80</v>
      </c>
      <c r="G19">
        <v>76</v>
      </c>
      <c r="H19">
        <v>92</v>
      </c>
      <c r="J19">
        <v>97</v>
      </c>
      <c r="K19">
        <v>106</v>
      </c>
      <c r="L19">
        <v>93</v>
      </c>
      <c r="M19">
        <v>79</v>
      </c>
      <c r="N19">
        <v>93</v>
      </c>
      <c r="O19" s="19">
        <f t="shared" si="0"/>
        <v>87</v>
      </c>
      <c r="P19" s="19">
        <f t="shared" si="2"/>
        <v>9.01</v>
      </c>
      <c r="R19" s="25">
        <f t="shared" si="4"/>
        <v>43</v>
      </c>
      <c r="S19">
        <f t="shared" si="3"/>
        <v>1.9772727272727273</v>
      </c>
    </row>
    <row r="20" spans="1:19" x14ac:dyDescent="0.25">
      <c r="A20" s="18">
        <v>52</v>
      </c>
      <c r="B20" s="21">
        <v>45845</v>
      </c>
      <c r="C20" s="14">
        <v>57</v>
      </c>
      <c r="D20">
        <v>28</v>
      </c>
      <c r="E20">
        <v>36</v>
      </c>
      <c r="F20">
        <v>73</v>
      </c>
      <c r="G20">
        <v>87</v>
      </c>
      <c r="H20">
        <v>72</v>
      </c>
      <c r="J20">
        <v>80</v>
      </c>
      <c r="K20">
        <v>57</v>
      </c>
      <c r="L20">
        <v>86</v>
      </c>
      <c r="M20">
        <v>82</v>
      </c>
      <c r="N20">
        <v>58</v>
      </c>
      <c r="O20" s="19">
        <f t="shared" si="0"/>
        <v>65</v>
      </c>
      <c r="P20" s="19">
        <f t="shared" si="2"/>
        <v>18.920000000000002</v>
      </c>
      <c r="R20" s="25">
        <f t="shared" si="4"/>
        <v>13</v>
      </c>
      <c r="S20">
        <f t="shared" si="3"/>
        <v>1.25</v>
      </c>
    </row>
    <row r="21" spans="1:19" x14ac:dyDescent="0.25">
      <c r="A21" s="18">
        <v>68</v>
      </c>
      <c r="B21" s="21">
        <v>45846</v>
      </c>
      <c r="C21" s="14">
        <v>75</v>
      </c>
      <c r="D21">
        <v>70</v>
      </c>
      <c r="E21">
        <v>63</v>
      </c>
      <c r="F21">
        <v>55</v>
      </c>
      <c r="G21">
        <v>50</v>
      </c>
      <c r="H21">
        <v>60</v>
      </c>
      <c r="J21">
        <v>68</v>
      </c>
      <c r="K21">
        <v>52</v>
      </c>
      <c r="L21">
        <v>68</v>
      </c>
      <c r="M21">
        <v>67</v>
      </c>
      <c r="N21">
        <v>58</v>
      </c>
      <c r="O21" s="19">
        <f t="shared" si="0"/>
        <v>62</v>
      </c>
      <c r="P21" s="19">
        <f t="shared" si="2"/>
        <v>7.64</v>
      </c>
      <c r="R21" s="25">
        <f t="shared" si="4"/>
        <v>-6</v>
      </c>
      <c r="S21">
        <f t="shared" si="3"/>
        <v>0.91176470588235292</v>
      </c>
    </row>
    <row r="22" spans="1:19" x14ac:dyDescent="0.25">
      <c r="A22" s="18">
        <v>64</v>
      </c>
      <c r="B22" s="21">
        <v>45847</v>
      </c>
      <c r="C22" s="14">
        <v>74</v>
      </c>
      <c r="D22">
        <v>72</v>
      </c>
      <c r="E22">
        <v>62</v>
      </c>
      <c r="F22">
        <v>75</v>
      </c>
      <c r="G22">
        <v>102</v>
      </c>
      <c r="H22">
        <v>95</v>
      </c>
      <c r="J22">
        <v>104</v>
      </c>
      <c r="K22">
        <v>55</v>
      </c>
      <c r="L22">
        <v>78</v>
      </c>
      <c r="M22">
        <v>117</v>
      </c>
      <c r="N22">
        <v>97</v>
      </c>
      <c r="O22" s="19">
        <f t="shared" si="0"/>
        <v>85</v>
      </c>
      <c r="P22" s="19">
        <f t="shared" si="2"/>
        <v>18.55</v>
      </c>
      <c r="R22" s="25">
        <f t="shared" si="4"/>
        <v>21</v>
      </c>
      <c r="S22">
        <f t="shared" si="3"/>
        <v>1.328125</v>
      </c>
    </row>
    <row r="23" spans="1:19" x14ac:dyDescent="0.25">
      <c r="A23" s="18">
        <v>85</v>
      </c>
      <c r="B23" s="21">
        <v>45848</v>
      </c>
      <c r="C23" s="14">
        <v>77</v>
      </c>
      <c r="D23">
        <v>118</v>
      </c>
      <c r="E23">
        <v>77</v>
      </c>
      <c r="F23">
        <v>95</v>
      </c>
      <c r="G23">
        <v>159</v>
      </c>
      <c r="H23">
        <v>110</v>
      </c>
      <c r="J23">
        <v>137</v>
      </c>
      <c r="K23">
        <v>110</v>
      </c>
      <c r="L23">
        <v>130</v>
      </c>
      <c r="M23">
        <v>133</v>
      </c>
      <c r="N23">
        <v>122</v>
      </c>
      <c r="O23" s="19">
        <f t="shared" si="0"/>
        <v>115</v>
      </c>
      <c r="P23" s="19">
        <f t="shared" si="2"/>
        <v>24.05</v>
      </c>
      <c r="R23" s="25">
        <f t="shared" si="4"/>
        <v>30</v>
      </c>
      <c r="S23">
        <f t="shared" si="3"/>
        <v>1.3529411764705883</v>
      </c>
    </row>
    <row r="24" spans="1:19" x14ac:dyDescent="0.25">
      <c r="A24" s="18">
        <v>146</v>
      </c>
      <c r="B24" s="21">
        <v>45849</v>
      </c>
      <c r="C24" s="14">
        <v>135</v>
      </c>
      <c r="D24">
        <v>195</v>
      </c>
      <c r="E24">
        <v>134</v>
      </c>
      <c r="F24">
        <v>193</v>
      </c>
      <c r="G24">
        <v>204</v>
      </c>
      <c r="H24">
        <v>176</v>
      </c>
      <c r="I24">
        <v>180</v>
      </c>
      <c r="J24">
        <v>219</v>
      </c>
      <c r="K24">
        <v>144</v>
      </c>
      <c r="L24">
        <v>192</v>
      </c>
      <c r="M24">
        <v>128</v>
      </c>
      <c r="N24">
        <v>214</v>
      </c>
      <c r="O24" s="19">
        <f t="shared" si="0"/>
        <v>176</v>
      </c>
      <c r="P24" s="19">
        <f t="shared" si="2"/>
        <v>31.32</v>
      </c>
      <c r="R24" s="25">
        <f t="shared" si="4"/>
        <v>30</v>
      </c>
      <c r="S24">
        <f t="shared" si="3"/>
        <v>1.2054794520547945</v>
      </c>
    </row>
    <row r="25" spans="1:19" x14ac:dyDescent="0.25">
      <c r="A25">
        <v>178</v>
      </c>
      <c r="B25" s="21">
        <v>45850</v>
      </c>
      <c r="C25" s="14">
        <v>164</v>
      </c>
      <c r="D25">
        <v>174</v>
      </c>
      <c r="E25">
        <v>175</v>
      </c>
      <c r="F25">
        <v>158</v>
      </c>
      <c r="G25">
        <v>172</v>
      </c>
      <c r="H25">
        <v>159</v>
      </c>
      <c r="I25">
        <v>169</v>
      </c>
      <c r="J25">
        <v>183</v>
      </c>
      <c r="K25">
        <v>173</v>
      </c>
      <c r="L25">
        <v>182</v>
      </c>
      <c r="M25">
        <v>151</v>
      </c>
      <c r="N25">
        <v>165</v>
      </c>
      <c r="O25" s="19">
        <f t="shared" si="0"/>
        <v>169</v>
      </c>
      <c r="P25" s="19">
        <f t="shared" si="2"/>
        <v>9.2899999999999991</v>
      </c>
      <c r="R25" s="25">
        <f t="shared" si="4"/>
        <v>-9</v>
      </c>
      <c r="S25">
        <f t="shared" si="3"/>
        <v>0.949438202247191</v>
      </c>
    </row>
    <row r="26" spans="1:19" x14ac:dyDescent="0.25">
      <c r="A26">
        <v>92</v>
      </c>
      <c r="B26" s="21">
        <v>45851</v>
      </c>
      <c r="C26" s="14">
        <v>83</v>
      </c>
      <c r="D26">
        <v>94</v>
      </c>
      <c r="E26">
        <v>85</v>
      </c>
      <c r="F26">
        <v>86</v>
      </c>
      <c r="G26">
        <v>85</v>
      </c>
      <c r="H26">
        <v>79</v>
      </c>
      <c r="I26">
        <v>86</v>
      </c>
      <c r="J26">
        <v>70</v>
      </c>
      <c r="K26">
        <v>79</v>
      </c>
      <c r="L26">
        <v>78</v>
      </c>
      <c r="M26">
        <v>84</v>
      </c>
      <c r="N26">
        <v>84</v>
      </c>
      <c r="O26" s="19">
        <f t="shared" si="0"/>
        <v>83</v>
      </c>
      <c r="P26" s="19">
        <f t="shared" si="2"/>
        <v>5.58</v>
      </c>
      <c r="R26" s="25">
        <f t="shared" ref="R26:R35" si="5">O26-A26</f>
        <v>-9</v>
      </c>
      <c r="S26">
        <f t="shared" ref="S26:S35" si="6">O26/A26</f>
        <v>0.90217391304347827</v>
      </c>
    </row>
    <row r="27" spans="1:19" x14ac:dyDescent="0.25">
      <c r="A27">
        <v>113</v>
      </c>
      <c r="B27" s="21">
        <v>45852</v>
      </c>
      <c r="C27" s="14">
        <v>78</v>
      </c>
      <c r="D27">
        <v>85</v>
      </c>
      <c r="E27">
        <v>83</v>
      </c>
      <c r="F27">
        <v>74</v>
      </c>
      <c r="G27">
        <v>78</v>
      </c>
      <c r="H27">
        <v>70</v>
      </c>
      <c r="I27">
        <v>76</v>
      </c>
      <c r="J27">
        <v>83</v>
      </c>
      <c r="K27">
        <v>79</v>
      </c>
      <c r="L27">
        <v>91</v>
      </c>
      <c r="M27">
        <v>76</v>
      </c>
      <c r="N27">
        <v>83</v>
      </c>
      <c r="O27" s="19">
        <f t="shared" si="0"/>
        <v>80</v>
      </c>
      <c r="P27" s="19">
        <f t="shared" si="2"/>
        <v>5.39</v>
      </c>
      <c r="R27" s="25">
        <f t="shared" si="5"/>
        <v>-33</v>
      </c>
      <c r="S27">
        <f t="shared" si="6"/>
        <v>0.70796460176991149</v>
      </c>
    </row>
    <row r="28" spans="1:19" x14ac:dyDescent="0.25">
      <c r="A28">
        <v>77</v>
      </c>
      <c r="B28" s="21">
        <v>45853</v>
      </c>
      <c r="C28" s="14">
        <v>84</v>
      </c>
      <c r="D28">
        <v>81</v>
      </c>
      <c r="E28">
        <v>87</v>
      </c>
      <c r="F28">
        <v>78</v>
      </c>
      <c r="G28">
        <v>86</v>
      </c>
      <c r="H28">
        <v>72</v>
      </c>
      <c r="I28">
        <v>79</v>
      </c>
      <c r="J28">
        <v>84</v>
      </c>
      <c r="K28">
        <v>85</v>
      </c>
      <c r="L28">
        <v>87</v>
      </c>
      <c r="M28">
        <v>79</v>
      </c>
      <c r="N28">
        <v>86</v>
      </c>
      <c r="O28" s="19">
        <f t="shared" si="0"/>
        <v>82</v>
      </c>
      <c r="P28" s="19">
        <f t="shared" si="2"/>
        <v>4.4000000000000004</v>
      </c>
      <c r="R28" s="25">
        <f t="shared" si="5"/>
        <v>5</v>
      </c>
      <c r="S28">
        <f t="shared" si="6"/>
        <v>1.0649350649350648</v>
      </c>
    </row>
    <row r="29" spans="1:19" x14ac:dyDescent="0.25">
      <c r="A29" s="18">
        <v>80</v>
      </c>
      <c r="B29" s="21">
        <v>45854</v>
      </c>
      <c r="C29" s="14">
        <v>58</v>
      </c>
      <c r="D29">
        <v>74</v>
      </c>
      <c r="E29">
        <v>76</v>
      </c>
      <c r="F29">
        <v>60</v>
      </c>
      <c r="G29">
        <v>66</v>
      </c>
      <c r="H29">
        <v>72</v>
      </c>
      <c r="I29">
        <v>63</v>
      </c>
      <c r="J29">
        <v>70</v>
      </c>
      <c r="K29">
        <v>92</v>
      </c>
      <c r="L29">
        <v>98</v>
      </c>
      <c r="M29">
        <v>93</v>
      </c>
      <c r="N29">
        <v>101</v>
      </c>
      <c r="O29" s="19">
        <f t="shared" si="0"/>
        <v>77</v>
      </c>
      <c r="P29" s="19">
        <f t="shared" si="2"/>
        <v>14.57</v>
      </c>
      <c r="R29" s="25">
        <f t="shared" si="5"/>
        <v>-3</v>
      </c>
      <c r="S29">
        <f t="shared" si="6"/>
        <v>0.96250000000000002</v>
      </c>
    </row>
    <row r="30" spans="1:19" x14ac:dyDescent="0.25">
      <c r="A30" s="18">
        <v>84</v>
      </c>
      <c r="B30" s="21">
        <v>45855</v>
      </c>
      <c r="C30" s="14">
        <v>114</v>
      </c>
      <c r="D30">
        <v>118</v>
      </c>
      <c r="E30">
        <v>114</v>
      </c>
      <c r="F30">
        <v>114</v>
      </c>
      <c r="G30">
        <v>110</v>
      </c>
      <c r="H30">
        <v>101</v>
      </c>
      <c r="I30">
        <v>117</v>
      </c>
      <c r="J30">
        <v>112</v>
      </c>
      <c r="K30">
        <v>100</v>
      </c>
      <c r="L30">
        <v>99</v>
      </c>
      <c r="M30">
        <v>107</v>
      </c>
      <c r="N30">
        <v>95</v>
      </c>
      <c r="O30" s="19">
        <f t="shared" si="0"/>
        <v>108</v>
      </c>
      <c r="P30" s="19">
        <f t="shared" si="2"/>
        <v>7.48</v>
      </c>
      <c r="R30" s="25">
        <f t="shared" si="5"/>
        <v>24</v>
      </c>
      <c r="S30">
        <f t="shared" si="6"/>
        <v>1.2857142857142858</v>
      </c>
    </row>
    <row r="31" spans="1:19" x14ac:dyDescent="0.25">
      <c r="A31" s="18">
        <v>127</v>
      </c>
      <c r="B31" s="21">
        <v>45856</v>
      </c>
      <c r="C31" s="14">
        <v>127</v>
      </c>
      <c r="D31">
        <v>137</v>
      </c>
      <c r="E31">
        <v>135</v>
      </c>
      <c r="F31">
        <v>137</v>
      </c>
      <c r="G31">
        <v>130</v>
      </c>
      <c r="H31">
        <v>133</v>
      </c>
      <c r="I31">
        <v>134</v>
      </c>
      <c r="J31">
        <v>133</v>
      </c>
      <c r="K31">
        <v>148</v>
      </c>
      <c r="L31">
        <v>136</v>
      </c>
      <c r="M31">
        <v>147</v>
      </c>
      <c r="N31">
        <v>143</v>
      </c>
      <c r="O31" s="19">
        <f t="shared" si="0"/>
        <v>137</v>
      </c>
      <c r="P31" s="19">
        <f t="shared" si="2"/>
        <v>6.13</v>
      </c>
      <c r="R31" s="25">
        <f t="shared" si="5"/>
        <v>10</v>
      </c>
      <c r="S31">
        <f t="shared" si="6"/>
        <v>1.078740157480315</v>
      </c>
    </row>
    <row r="32" spans="1:19" x14ac:dyDescent="0.25">
      <c r="A32" s="18">
        <v>210</v>
      </c>
      <c r="B32" s="21">
        <v>45857</v>
      </c>
      <c r="C32" s="14">
        <v>172</v>
      </c>
      <c r="D32">
        <v>176</v>
      </c>
      <c r="E32">
        <v>173</v>
      </c>
      <c r="F32">
        <v>175</v>
      </c>
      <c r="G32">
        <v>169</v>
      </c>
      <c r="H32">
        <v>170</v>
      </c>
      <c r="I32">
        <v>167</v>
      </c>
      <c r="J32">
        <v>171</v>
      </c>
      <c r="K32">
        <v>167</v>
      </c>
      <c r="L32">
        <v>164</v>
      </c>
      <c r="M32">
        <v>170</v>
      </c>
      <c r="N32">
        <v>163</v>
      </c>
      <c r="O32" s="19">
        <f t="shared" si="0"/>
        <v>170</v>
      </c>
      <c r="P32" s="19">
        <f t="shared" si="2"/>
        <v>3.85</v>
      </c>
      <c r="R32" s="25">
        <f t="shared" si="5"/>
        <v>-40</v>
      </c>
      <c r="S32">
        <f t="shared" si="6"/>
        <v>0.80952380952380953</v>
      </c>
    </row>
    <row r="33" spans="1:19" x14ac:dyDescent="0.25">
      <c r="A33">
        <v>53</v>
      </c>
      <c r="B33" s="21">
        <v>45858</v>
      </c>
      <c r="C33" s="14">
        <v>50</v>
      </c>
      <c r="D33">
        <v>49</v>
      </c>
      <c r="E33">
        <v>48</v>
      </c>
      <c r="F33">
        <v>54</v>
      </c>
      <c r="G33">
        <v>45</v>
      </c>
      <c r="H33">
        <v>44</v>
      </c>
      <c r="I33">
        <v>51</v>
      </c>
      <c r="J33">
        <v>52</v>
      </c>
      <c r="K33">
        <v>66</v>
      </c>
      <c r="L33">
        <v>61</v>
      </c>
      <c r="M33">
        <v>58</v>
      </c>
      <c r="N33">
        <v>58</v>
      </c>
      <c r="O33" s="19">
        <f t="shared" si="0"/>
        <v>53</v>
      </c>
      <c r="P33" s="19">
        <f t="shared" si="2"/>
        <v>6.35</v>
      </c>
      <c r="R33">
        <f t="shared" si="5"/>
        <v>0</v>
      </c>
      <c r="S33">
        <f t="shared" si="6"/>
        <v>1</v>
      </c>
    </row>
    <row r="34" spans="1:19" x14ac:dyDescent="0.25">
      <c r="A34">
        <v>66</v>
      </c>
      <c r="B34" s="21">
        <v>45859</v>
      </c>
      <c r="C34" s="14">
        <v>59</v>
      </c>
      <c r="D34">
        <v>59</v>
      </c>
      <c r="E34">
        <v>60</v>
      </c>
      <c r="F34">
        <v>68</v>
      </c>
      <c r="G34">
        <v>54</v>
      </c>
      <c r="H34">
        <v>62</v>
      </c>
      <c r="I34">
        <v>61</v>
      </c>
      <c r="J34">
        <v>61</v>
      </c>
      <c r="K34">
        <v>77</v>
      </c>
      <c r="L34">
        <v>81</v>
      </c>
      <c r="M34">
        <v>81</v>
      </c>
      <c r="N34">
        <v>81</v>
      </c>
      <c r="O34" s="19">
        <f t="shared" si="0"/>
        <v>67</v>
      </c>
      <c r="P34" s="19">
        <f t="shared" si="2"/>
        <v>9.7100000000000009</v>
      </c>
      <c r="R34" s="25">
        <f t="shared" si="5"/>
        <v>1</v>
      </c>
      <c r="S34">
        <f t="shared" si="6"/>
        <v>1.0151515151515151</v>
      </c>
    </row>
    <row r="35" spans="1:19" x14ac:dyDescent="0.25">
      <c r="A35">
        <v>73</v>
      </c>
      <c r="B35" s="21">
        <v>45860</v>
      </c>
      <c r="C35" s="14">
        <v>81</v>
      </c>
      <c r="D35">
        <v>96</v>
      </c>
      <c r="E35">
        <v>94</v>
      </c>
      <c r="F35">
        <v>84</v>
      </c>
      <c r="G35">
        <v>92</v>
      </c>
      <c r="H35">
        <v>96</v>
      </c>
      <c r="I35">
        <v>90</v>
      </c>
      <c r="J35">
        <v>86</v>
      </c>
      <c r="K35">
        <v>82</v>
      </c>
      <c r="L35">
        <v>89</v>
      </c>
      <c r="M35">
        <v>88</v>
      </c>
      <c r="N35">
        <v>98</v>
      </c>
      <c r="O35" s="19">
        <f t="shared" si="0"/>
        <v>90</v>
      </c>
      <c r="P35" s="19">
        <f t="shared" si="2"/>
        <v>5.45</v>
      </c>
      <c r="R35" s="25">
        <f t="shared" si="5"/>
        <v>17</v>
      </c>
      <c r="S35">
        <f t="shared" si="6"/>
        <v>1.2328767123287672</v>
      </c>
    </row>
    <row r="36" spans="1:19" x14ac:dyDescent="0.25">
      <c r="A36">
        <v>61</v>
      </c>
      <c r="B36" s="21">
        <v>45861</v>
      </c>
      <c r="C36" s="14">
        <v>79</v>
      </c>
      <c r="D36">
        <v>74</v>
      </c>
      <c r="E36">
        <v>85</v>
      </c>
      <c r="F36">
        <v>80</v>
      </c>
      <c r="G36">
        <v>71</v>
      </c>
      <c r="H36">
        <v>77</v>
      </c>
      <c r="I36">
        <v>79</v>
      </c>
      <c r="J36">
        <v>71</v>
      </c>
      <c r="K36">
        <v>76</v>
      </c>
      <c r="L36">
        <v>74</v>
      </c>
      <c r="O36" s="19">
        <f t="shared" si="0"/>
        <v>77</v>
      </c>
      <c r="P36" s="19">
        <f t="shared" si="2"/>
        <v>4.13</v>
      </c>
      <c r="R36" s="25">
        <f t="shared" ref="R36:R41" si="7">O36-A36</f>
        <v>16</v>
      </c>
      <c r="S36">
        <f t="shared" ref="S36:S41" si="8">O36/A36</f>
        <v>1.2622950819672132</v>
      </c>
    </row>
    <row r="37" spans="1:19" x14ac:dyDescent="0.25">
      <c r="A37">
        <v>93</v>
      </c>
      <c r="B37" s="21">
        <v>45862</v>
      </c>
      <c r="C37" s="14">
        <v>90</v>
      </c>
      <c r="D37">
        <v>98</v>
      </c>
      <c r="E37">
        <v>97</v>
      </c>
      <c r="F37">
        <v>96</v>
      </c>
      <c r="G37">
        <v>102</v>
      </c>
      <c r="H37">
        <v>76</v>
      </c>
      <c r="I37">
        <v>83</v>
      </c>
      <c r="J37">
        <v>81</v>
      </c>
      <c r="K37">
        <v>68</v>
      </c>
      <c r="L37">
        <v>85</v>
      </c>
      <c r="O37" s="19">
        <f t="shared" si="0"/>
        <v>88</v>
      </c>
      <c r="P37" s="19">
        <f t="shared" si="2"/>
        <v>10.35</v>
      </c>
      <c r="R37" s="25">
        <f t="shared" si="7"/>
        <v>-5</v>
      </c>
      <c r="S37">
        <f t="shared" si="8"/>
        <v>0.94623655913978499</v>
      </c>
    </row>
    <row r="38" spans="1:19" x14ac:dyDescent="0.25">
      <c r="A38">
        <v>122</v>
      </c>
      <c r="B38" s="21">
        <v>45863</v>
      </c>
      <c r="C38" s="14">
        <v>163</v>
      </c>
      <c r="D38" s="14">
        <v>148</v>
      </c>
      <c r="E38" s="14">
        <v>156</v>
      </c>
      <c r="F38" s="14">
        <v>142</v>
      </c>
      <c r="G38" s="14">
        <v>135</v>
      </c>
      <c r="H38" s="18">
        <v>175</v>
      </c>
      <c r="I38" s="14">
        <v>180</v>
      </c>
      <c r="J38" s="14">
        <v>162</v>
      </c>
      <c r="K38" s="14">
        <v>155</v>
      </c>
      <c r="L38" s="14">
        <v>164</v>
      </c>
      <c r="M38" s="14"/>
      <c r="N38" s="15"/>
      <c r="O38" s="19">
        <f t="shared" si="0"/>
        <v>158</v>
      </c>
      <c r="P38" s="19">
        <f t="shared" si="2"/>
        <v>13.22</v>
      </c>
      <c r="R38" s="25">
        <f t="shared" si="7"/>
        <v>36</v>
      </c>
      <c r="S38">
        <f t="shared" si="8"/>
        <v>1.2950819672131149</v>
      </c>
    </row>
    <row r="39" spans="1:19" x14ac:dyDescent="0.25">
      <c r="A39">
        <v>135</v>
      </c>
      <c r="B39" s="21">
        <v>45864</v>
      </c>
      <c r="C39" s="14">
        <v>172</v>
      </c>
      <c r="D39" s="14">
        <v>171</v>
      </c>
      <c r="E39" s="14">
        <v>169</v>
      </c>
      <c r="F39" s="14">
        <v>170</v>
      </c>
      <c r="G39" s="14">
        <v>173</v>
      </c>
      <c r="H39" s="18">
        <v>177</v>
      </c>
      <c r="I39" s="14">
        <v>172</v>
      </c>
      <c r="J39" s="14">
        <v>172</v>
      </c>
      <c r="K39" s="14">
        <v>172</v>
      </c>
      <c r="L39" s="14">
        <v>173</v>
      </c>
      <c r="M39" s="14"/>
      <c r="N39" s="15"/>
      <c r="O39" s="19">
        <f t="shared" si="0"/>
        <v>172</v>
      </c>
      <c r="P39" s="19">
        <f t="shared" si="2"/>
        <v>2.02</v>
      </c>
      <c r="R39" s="25">
        <f t="shared" si="7"/>
        <v>37</v>
      </c>
      <c r="S39">
        <f t="shared" si="8"/>
        <v>1.2740740740740741</v>
      </c>
    </row>
    <row r="40" spans="1:19" x14ac:dyDescent="0.25">
      <c r="A40">
        <v>31</v>
      </c>
      <c r="B40" s="21">
        <v>45865</v>
      </c>
      <c r="C40" s="14">
        <v>72</v>
      </c>
      <c r="D40" s="14">
        <v>69</v>
      </c>
      <c r="E40" s="14">
        <v>57</v>
      </c>
      <c r="F40" s="14">
        <v>64</v>
      </c>
      <c r="G40" s="14">
        <v>54</v>
      </c>
      <c r="H40" s="18">
        <v>68</v>
      </c>
      <c r="I40" s="14">
        <v>64</v>
      </c>
      <c r="J40" s="14">
        <v>65</v>
      </c>
      <c r="K40" s="14">
        <v>70</v>
      </c>
      <c r="L40" s="14">
        <v>59</v>
      </c>
      <c r="M40" s="14"/>
      <c r="N40" s="15"/>
      <c r="O40" s="19">
        <f t="shared" si="0"/>
        <v>64</v>
      </c>
      <c r="P40" s="19">
        <f t="shared" si="2"/>
        <v>5.62</v>
      </c>
      <c r="R40" s="25">
        <f t="shared" si="7"/>
        <v>33</v>
      </c>
      <c r="S40">
        <f t="shared" si="8"/>
        <v>2.064516129032258</v>
      </c>
    </row>
    <row r="41" spans="1:19" x14ac:dyDescent="0.25">
      <c r="A41">
        <v>70</v>
      </c>
      <c r="B41" s="21">
        <v>45866</v>
      </c>
      <c r="C41" s="14">
        <v>75</v>
      </c>
      <c r="D41" s="14">
        <v>66</v>
      </c>
      <c r="E41" s="14">
        <v>70</v>
      </c>
      <c r="F41" s="14">
        <v>72</v>
      </c>
      <c r="G41" s="14">
        <v>75</v>
      </c>
      <c r="H41" s="18">
        <v>63</v>
      </c>
      <c r="I41" s="14">
        <v>64</v>
      </c>
      <c r="J41" s="14">
        <v>70</v>
      </c>
      <c r="K41" s="14">
        <v>69</v>
      </c>
      <c r="L41" s="14">
        <v>69</v>
      </c>
      <c r="M41" s="14"/>
      <c r="N41" s="15"/>
      <c r="O41" s="19">
        <f t="shared" si="0"/>
        <v>69</v>
      </c>
      <c r="P41" s="19">
        <f t="shared" si="2"/>
        <v>3.9</v>
      </c>
      <c r="R41" s="25">
        <f t="shared" si="7"/>
        <v>-1</v>
      </c>
      <c r="S41">
        <f t="shared" si="8"/>
        <v>0.98571428571428577</v>
      </c>
    </row>
    <row r="42" spans="1:19" x14ac:dyDescent="0.25">
      <c r="A42">
        <v>69</v>
      </c>
      <c r="B42" s="21">
        <v>45867</v>
      </c>
      <c r="C42" s="14">
        <v>66</v>
      </c>
      <c r="D42" s="14">
        <v>74</v>
      </c>
      <c r="E42" s="14">
        <v>74</v>
      </c>
      <c r="F42" s="14">
        <v>78</v>
      </c>
      <c r="G42" s="14">
        <v>72</v>
      </c>
      <c r="H42" s="18">
        <v>70</v>
      </c>
      <c r="I42" s="14">
        <v>66</v>
      </c>
      <c r="J42" s="14">
        <v>72</v>
      </c>
      <c r="K42" s="14">
        <v>85</v>
      </c>
      <c r="L42" s="14">
        <v>75</v>
      </c>
      <c r="M42" s="14"/>
      <c r="N42" s="15"/>
      <c r="O42" s="19">
        <f t="shared" si="0"/>
        <v>73</v>
      </c>
      <c r="P42" s="19">
        <f t="shared" si="2"/>
        <v>5.33</v>
      </c>
      <c r="R42" s="25">
        <f t="shared" ref="R42:R49" si="9">O42-A42</f>
        <v>4</v>
      </c>
      <c r="S42">
        <f t="shared" ref="S42:S49" si="10">O42/A42</f>
        <v>1.0579710144927537</v>
      </c>
    </row>
    <row r="43" spans="1:19" x14ac:dyDescent="0.25">
      <c r="A43">
        <v>90</v>
      </c>
      <c r="B43" s="21">
        <v>45868</v>
      </c>
      <c r="C43" s="14">
        <v>68</v>
      </c>
      <c r="D43" s="14">
        <v>58</v>
      </c>
      <c r="E43" s="14">
        <v>69</v>
      </c>
      <c r="F43" s="14">
        <v>62</v>
      </c>
      <c r="G43" s="14">
        <v>70</v>
      </c>
      <c r="H43" s="18">
        <v>58</v>
      </c>
      <c r="I43" s="14">
        <v>60</v>
      </c>
      <c r="J43" s="14">
        <v>60</v>
      </c>
      <c r="K43" s="14">
        <v>64</v>
      </c>
      <c r="L43" s="14">
        <v>66</v>
      </c>
      <c r="M43" s="14"/>
      <c r="N43" s="15"/>
      <c r="O43" s="19">
        <f t="shared" si="0"/>
        <v>64</v>
      </c>
      <c r="P43" s="19">
        <f t="shared" si="2"/>
        <v>4.32</v>
      </c>
      <c r="R43" s="25">
        <f t="shared" si="9"/>
        <v>-26</v>
      </c>
      <c r="S43">
        <f t="shared" si="10"/>
        <v>0.71111111111111114</v>
      </c>
    </row>
    <row r="44" spans="1:19" x14ac:dyDescent="0.25">
      <c r="A44">
        <v>109</v>
      </c>
      <c r="B44" s="21">
        <v>45869</v>
      </c>
      <c r="C44" s="14">
        <v>81</v>
      </c>
      <c r="D44" s="14">
        <v>87</v>
      </c>
      <c r="E44" s="14">
        <v>77</v>
      </c>
      <c r="F44" s="14">
        <v>74</v>
      </c>
      <c r="G44" s="14">
        <v>84</v>
      </c>
      <c r="H44" s="18">
        <v>82</v>
      </c>
      <c r="I44" s="14">
        <v>105</v>
      </c>
      <c r="J44" s="14">
        <v>76</v>
      </c>
      <c r="K44" s="14">
        <v>83</v>
      </c>
      <c r="L44" s="14">
        <v>99</v>
      </c>
      <c r="M44" s="14"/>
      <c r="N44" s="15"/>
      <c r="O44" s="19">
        <f t="shared" si="0"/>
        <v>85</v>
      </c>
      <c r="P44" s="19">
        <f t="shared" si="2"/>
        <v>9.4600000000000009</v>
      </c>
      <c r="R44" s="25">
        <f t="shared" si="9"/>
        <v>-24</v>
      </c>
      <c r="S44">
        <f t="shared" si="10"/>
        <v>0.77981651376146788</v>
      </c>
    </row>
    <row r="45" spans="1:19" x14ac:dyDescent="0.25">
      <c r="A45">
        <v>191</v>
      </c>
      <c r="B45" s="21">
        <v>45870</v>
      </c>
      <c r="C45" s="14">
        <v>159</v>
      </c>
      <c r="D45" s="14">
        <v>157</v>
      </c>
      <c r="E45" s="14">
        <v>158</v>
      </c>
      <c r="F45" s="14">
        <v>161</v>
      </c>
      <c r="G45" s="14">
        <v>159</v>
      </c>
      <c r="H45" s="18">
        <v>158</v>
      </c>
      <c r="I45" s="14">
        <v>158</v>
      </c>
      <c r="J45" s="14">
        <v>157</v>
      </c>
      <c r="K45" s="14">
        <v>156</v>
      </c>
      <c r="L45" s="14">
        <v>164</v>
      </c>
      <c r="M45" s="14"/>
      <c r="N45" s="15"/>
      <c r="O45" s="19">
        <f t="shared" si="0"/>
        <v>159</v>
      </c>
      <c r="P45" s="19">
        <f t="shared" si="2"/>
        <v>2.19</v>
      </c>
      <c r="R45" s="25">
        <f t="shared" si="9"/>
        <v>-32</v>
      </c>
      <c r="S45">
        <f t="shared" si="10"/>
        <v>0.83246073298429324</v>
      </c>
    </row>
    <row r="46" spans="1:19" x14ac:dyDescent="0.25">
      <c r="A46">
        <v>161</v>
      </c>
      <c r="B46" s="21">
        <v>45871</v>
      </c>
      <c r="C46" s="14">
        <v>184</v>
      </c>
      <c r="D46" s="14">
        <v>187</v>
      </c>
      <c r="E46" s="14">
        <v>176</v>
      </c>
      <c r="F46" s="14">
        <v>178</v>
      </c>
      <c r="G46" s="14">
        <v>178</v>
      </c>
      <c r="H46" s="18">
        <v>178</v>
      </c>
      <c r="I46" s="14">
        <v>180</v>
      </c>
      <c r="J46" s="14">
        <v>178</v>
      </c>
      <c r="K46" s="14">
        <v>177</v>
      </c>
      <c r="L46" s="14">
        <v>182</v>
      </c>
      <c r="M46" s="14"/>
      <c r="N46" s="15"/>
      <c r="O46" s="19">
        <f t="shared" si="0"/>
        <v>180</v>
      </c>
      <c r="P46" s="19">
        <f t="shared" si="2"/>
        <v>3.31</v>
      </c>
      <c r="R46" s="25">
        <f t="shared" si="9"/>
        <v>19</v>
      </c>
      <c r="S46">
        <f t="shared" si="10"/>
        <v>1.1180124223602483</v>
      </c>
    </row>
    <row r="47" spans="1:19" x14ac:dyDescent="0.25">
      <c r="A47">
        <v>68</v>
      </c>
      <c r="B47" s="21">
        <v>45872</v>
      </c>
      <c r="C47" s="14">
        <v>60</v>
      </c>
      <c r="D47" s="14">
        <v>59</v>
      </c>
      <c r="E47" s="14">
        <v>62</v>
      </c>
      <c r="F47" s="14">
        <v>62</v>
      </c>
      <c r="G47" s="14">
        <v>62</v>
      </c>
      <c r="H47" s="18">
        <v>56</v>
      </c>
      <c r="I47" s="14">
        <v>52</v>
      </c>
      <c r="J47" s="14">
        <v>53</v>
      </c>
      <c r="K47" s="14">
        <v>63</v>
      </c>
      <c r="L47" s="14">
        <v>65</v>
      </c>
      <c r="M47" s="14"/>
      <c r="N47" s="15"/>
      <c r="O47" s="19">
        <f t="shared" si="0"/>
        <v>59</v>
      </c>
      <c r="P47" s="19">
        <f t="shared" si="2"/>
        <v>4.1500000000000004</v>
      </c>
      <c r="R47" s="25">
        <f t="shared" si="9"/>
        <v>-9</v>
      </c>
      <c r="S47">
        <f t="shared" si="10"/>
        <v>0.86764705882352944</v>
      </c>
    </row>
    <row r="48" spans="1:19" x14ac:dyDescent="0.25">
      <c r="A48">
        <v>75</v>
      </c>
      <c r="B48" s="21">
        <v>45873</v>
      </c>
      <c r="C48" s="14">
        <v>66</v>
      </c>
      <c r="D48" s="14">
        <v>75</v>
      </c>
      <c r="E48" s="14">
        <v>77</v>
      </c>
      <c r="F48" s="14">
        <v>74</v>
      </c>
      <c r="G48" s="14">
        <v>76</v>
      </c>
      <c r="H48" s="18">
        <v>75</v>
      </c>
      <c r="I48" s="14">
        <v>68</v>
      </c>
      <c r="J48" s="14">
        <v>71</v>
      </c>
      <c r="K48" s="14">
        <v>75</v>
      </c>
      <c r="L48" s="14">
        <v>75</v>
      </c>
      <c r="M48" s="14"/>
      <c r="N48" s="15"/>
      <c r="O48" s="19">
        <f t="shared" si="0"/>
        <v>73</v>
      </c>
      <c r="P48" s="19">
        <f t="shared" si="2"/>
        <v>3.46</v>
      </c>
      <c r="R48" s="25">
        <f t="shared" si="9"/>
        <v>-2</v>
      </c>
      <c r="S48">
        <f t="shared" si="10"/>
        <v>0.97333333333333338</v>
      </c>
    </row>
    <row r="49" spans="1:19" x14ac:dyDescent="0.25">
      <c r="A49">
        <v>49</v>
      </c>
      <c r="B49" s="21">
        <v>45874</v>
      </c>
      <c r="C49" s="14">
        <v>95</v>
      </c>
      <c r="D49" s="14">
        <v>92</v>
      </c>
      <c r="E49" s="14">
        <v>91</v>
      </c>
      <c r="F49" s="14">
        <v>91</v>
      </c>
      <c r="G49" s="14">
        <v>89</v>
      </c>
      <c r="H49" s="18">
        <v>89</v>
      </c>
      <c r="I49" s="14">
        <v>94</v>
      </c>
      <c r="J49" s="14">
        <v>92</v>
      </c>
      <c r="K49" s="14">
        <v>91</v>
      </c>
      <c r="L49" s="14">
        <v>81</v>
      </c>
      <c r="M49" s="14"/>
      <c r="N49" s="15"/>
      <c r="O49" s="19">
        <f t="shared" si="0"/>
        <v>91</v>
      </c>
      <c r="P49" s="19">
        <f t="shared" si="2"/>
        <v>3.64</v>
      </c>
      <c r="R49" s="25">
        <f t="shared" si="9"/>
        <v>42</v>
      </c>
      <c r="S49">
        <f t="shared" si="10"/>
        <v>1.8571428571428572</v>
      </c>
    </row>
    <row r="50" spans="1:19" x14ac:dyDescent="0.25">
      <c r="A50">
        <v>60</v>
      </c>
      <c r="B50" s="21">
        <v>45875</v>
      </c>
      <c r="C50" s="14">
        <v>69</v>
      </c>
      <c r="D50" s="14">
        <v>72</v>
      </c>
      <c r="E50" s="14">
        <v>70</v>
      </c>
      <c r="F50" s="14">
        <v>70</v>
      </c>
      <c r="G50" s="14">
        <v>68</v>
      </c>
      <c r="H50" s="18">
        <v>69</v>
      </c>
      <c r="I50" s="14">
        <v>69</v>
      </c>
      <c r="J50" s="14">
        <v>71</v>
      </c>
      <c r="K50" s="14">
        <v>70</v>
      </c>
      <c r="L50" s="14">
        <v>67</v>
      </c>
      <c r="M50" s="14">
        <v>70</v>
      </c>
      <c r="N50" s="15">
        <v>70</v>
      </c>
      <c r="O50" s="19">
        <f t="shared" si="0"/>
        <v>70</v>
      </c>
      <c r="P50" s="19">
        <f t="shared" si="2"/>
        <v>1.26</v>
      </c>
      <c r="R50" s="25">
        <f t="shared" ref="R50:R58" si="11">O50-A50</f>
        <v>10</v>
      </c>
      <c r="S50">
        <f t="shared" ref="S50:S58" si="12">O50/A50</f>
        <v>1.1666666666666667</v>
      </c>
    </row>
    <row r="51" spans="1:19" x14ac:dyDescent="0.25">
      <c r="A51">
        <v>91</v>
      </c>
      <c r="B51" s="21">
        <v>45876</v>
      </c>
      <c r="C51" s="14">
        <v>104</v>
      </c>
      <c r="D51" s="14">
        <v>125</v>
      </c>
      <c r="E51" s="14">
        <v>106</v>
      </c>
      <c r="F51" s="14">
        <v>114</v>
      </c>
      <c r="G51" s="14">
        <v>105</v>
      </c>
      <c r="H51" s="18">
        <v>104</v>
      </c>
      <c r="I51" s="14">
        <v>102</v>
      </c>
      <c r="J51" s="14">
        <v>103</v>
      </c>
      <c r="K51" s="14">
        <v>110</v>
      </c>
      <c r="L51" s="14">
        <v>101</v>
      </c>
      <c r="M51" s="14">
        <v>118</v>
      </c>
      <c r="N51" s="15">
        <v>107</v>
      </c>
      <c r="O51" s="19">
        <f t="shared" si="0"/>
        <v>108</v>
      </c>
      <c r="P51" s="19">
        <f t="shared" si="2"/>
        <v>6.98</v>
      </c>
      <c r="R51" s="25">
        <f t="shared" si="11"/>
        <v>17</v>
      </c>
      <c r="S51">
        <f t="shared" si="12"/>
        <v>1.1868131868131868</v>
      </c>
    </row>
    <row r="52" spans="1:19" x14ac:dyDescent="0.25">
      <c r="A52">
        <v>136</v>
      </c>
      <c r="B52" s="21">
        <v>45877</v>
      </c>
      <c r="C52" s="14">
        <v>175</v>
      </c>
      <c r="D52" s="14">
        <v>160</v>
      </c>
      <c r="E52" s="14">
        <v>167</v>
      </c>
      <c r="F52" s="14">
        <v>176</v>
      </c>
      <c r="G52" s="14">
        <v>176</v>
      </c>
      <c r="H52" s="18">
        <v>167</v>
      </c>
      <c r="I52" s="14">
        <v>171</v>
      </c>
      <c r="J52" s="14">
        <v>166</v>
      </c>
      <c r="K52" s="14">
        <v>169</v>
      </c>
      <c r="L52" s="14">
        <v>172</v>
      </c>
      <c r="M52" s="14">
        <v>174</v>
      </c>
      <c r="N52" s="15">
        <v>175</v>
      </c>
      <c r="O52" s="19">
        <f t="shared" si="0"/>
        <v>171</v>
      </c>
      <c r="P52" s="19">
        <f t="shared" si="2"/>
        <v>4.7699999999999996</v>
      </c>
      <c r="R52" s="25">
        <f t="shared" si="11"/>
        <v>35</v>
      </c>
      <c r="S52">
        <f t="shared" si="12"/>
        <v>1.2573529411764706</v>
      </c>
    </row>
    <row r="53" spans="1:19" x14ac:dyDescent="0.25">
      <c r="A53" s="18">
        <v>159</v>
      </c>
      <c r="B53" s="21">
        <v>45878</v>
      </c>
      <c r="C53" s="14">
        <v>189</v>
      </c>
      <c r="D53" s="14">
        <v>183</v>
      </c>
      <c r="E53" s="14">
        <v>198</v>
      </c>
      <c r="F53" s="14">
        <v>210</v>
      </c>
      <c r="G53" s="14">
        <v>214</v>
      </c>
      <c r="H53" s="18">
        <v>224</v>
      </c>
      <c r="I53" s="14">
        <v>197</v>
      </c>
      <c r="J53" s="14">
        <v>195</v>
      </c>
      <c r="K53" s="14">
        <v>195</v>
      </c>
      <c r="L53" s="14">
        <v>213</v>
      </c>
      <c r="M53" s="14">
        <v>209</v>
      </c>
      <c r="N53" s="15">
        <v>193</v>
      </c>
      <c r="O53" s="19">
        <f t="shared" si="0"/>
        <v>202</v>
      </c>
      <c r="P53" s="19">
        <f t="shared" si="2"/>
        <v>11.59</v>
      </c>
      <c r="R53" s="25">
        <f t="shared" si="11"/>
        <v>43</v>
      </c>
      <c r="S53">
        <f t="shared" si="12"/>
        <v>1.270440251572327</v>
      </c>
    </row>
    <row r="54" spans="1:19" x14ac:dyDescent="0.25">
      <c r="A54">
        <v>73</v>
      </c>
      <c r="B54" s="21">
        <v>45879</v>
      </c>
      <c r="C54" s="14">
        <v>72</v>
      </c>
      <c r="D54" s="14">
        <v>73</v>
      </c>
      <c r="E54" s="14">
        <v>69</v>
      </c>
      <c r="F54" s="14">
        <v>73</v>
      </c>
      <c r="G54" s="14">
        <v>75</v>
      </c>
      <c r="H54" s="18">
        <v>71</v>
      </c>
      <c r="I54" s="14">
        <v>72</v>
      </c>
      <c r="J54" s="14">
        <v>73</v>
      </c>
      <c r="K54" s="14">
        <v>77</v>
      </c>
      <c r="L54" s="14">
        <v>69</v>
      </c>
      <c r="M54" s="14">
        <v>69</v>
      </c>
      <c r="N54" s="15">
        <v>69</v>
      </c>
      <c r="O54" s="19">
        <f t="shared" si="0"/>
        <v>72</v>
      </c>
      <c r="P54" s="19">
        <f t="shared" si="2"/>
        <v>2.48</v>
      </c>
      <c r="R54">
        <f t="shared" si="11"/>
        <v>-1</v>
      </c>
      <c r="S54">
        <f t="shared" si="12"/>
        <v>0.98630136986301364</v>
      </c>
    </row>
    <row r="55" spans="1:19" x14ac:dyDescent="0.25">
      <c r="A55">
        <v>63</v>
      </c>
      <c r="B55" s="21">
        <v>45880</v>
      </c>
      <c r="C55" s="14">
        <v>85</v>
      </c>
      <c r="D55" s="14">
        <v>81</v>
      </c>
      <c r="E55" s="14">
        <v>83</v>
      </c>
      <c r="F55" s="14">
        <v>90</v>
      </c>
      <c r="G55" s="14">
        <v>88</v>
      </c>
      <c r="H55" s="18">
        <v>86</v>
      </c>
      <c r="I55" s="14">
        <v>84</v>
      </c>
      <c r="J55" s="14">
        <v>83</v>
      </c>
      <c r="K55" s="14">
        <v>91</v>
      </c>
      <c r="L55" s="14">
        <v>81</v>
      </c>
      <c r="M55" s="14">
        <v>88</v>
      </c>
      <c r="N55" s="15">
        <v>89</v>
      </c>
      <c r="O55" s="19">
        <f t="shared" si="0"/>
        <v>86</v>
      </c>
      <c r="P55" s="19">
        <f t="shared" si="2"/>
        <v>3.29</v>
      </c>
      <c r="R55" s="25">
        <f t="shared" si="11"/>
        <v>23</v>
      </c>
      <c r="S55">
        <f t="shared" si="12"/>
        <v>1.3650793650793651</v>
      </c>
    </row>
    <row r="56" spans="1:19" x14ac:dyDescent="0.25">
      <c r="A56">
        <v>55</v>
      </c>
      <c r="B56" s="21">
        <v>45881</v>
      </c>
      <c r="C56" s="14">
        <v>92</v>
      </c>
      <c r="D56" s="14">
        <v>87</v>
      </c>
      <c r="E56" s="14">
        <v>90</v>
      </c>
      <c r="F56" s="14">
        <v>78</v>
      </c>
      <c r="G56" s="14">
        <v>89</v>
      </c>
      <c r="H56" s="18">
        <v>86</v>
      </c>
      <c r="I56" s="14">
        <v>83</v>
      </c>
      <c r="J56" s="14">
        <v>89</v>
      </c>
      <c r="K56" s="14">
        <v>90</v>
      </c>
      <c r="L56" s="14">
        <v>88</v>
      </c>
      <c r="M56" s="14">
        <v>86</v>
      </c>
      <c r="N56" s="15">
        <v>88</v>
      </c>
      <c r="O56" s="19">
        <f t="shared" si="0"/>
        <v>87</v>
      </c>
      <c r="P56" s="19">
        <f t="shared" si="2"/>
        <v>3.56</v>
      </c>
      <c r="R56" s="25">
        <f t="shared" si="11"/>
        <v>32</v>
      </c>
      <c r="S56">
        <f t="shared" si="12"/>
        <v>1.5818181818181818</v>
      </c>
    </row>
    <row r="57" spans="1:19" ht="15.75" thickBot="1" x14ac:dyDescent="0.3">
      <c r="A57">
        <v>54</v>
      </c>
      <c r="B57" s="21">
        <v>45882</v>
      </c>
      <c r="C57" s="22">
        <v>107</v>
      </c>
      <c r="D57" s="16">
        <v>96</v>
      </c>
      <c r="E57" s="16">
        <v>112</v>
      </c>
      <c r="F57" s="16">
        <v>108</v>
      </c>
      <c r="G57" s="16">
        <v>109</v>
      </c>
      <c r="H57" s="20">
        <v>108</v>
      </c>
      <c r="I57" s="16">
        <v>105</v>
      </c>
      <c r="J57" s="16">
        <v>106</v>
      </c>
      <c r="K57" s="16">
        <v>108</v>
      </c>
      <c r="L57" s="16">
        <v>110</v>
      </c>
      <c r="M57" s="16">
        <v>100</v>
      </c>
      <c r="N57" s="23">
        <v>110</v>
      </c>
      <c r="O57" s="19">
        <f t="shared" si="0"/>
        <v>107</v>
      </c>
      <c r="P57" s="19">
        <f t="shared" si="2"/>
        <v>4.3099999999999996</v>
      </c>
      <c r="R57" s="25">
        <f t="shared" si="11"/>
        <v>53</v>
      </c>
      <c r="S57">
        <f t="shared" si="12"/>
        <v>1.9814814814814814</v>
      </c>
    </row>
    <row r="58" spans="1:19" x14ac:dyDescent="0.25">
      <c r="A58" s="13">
        <v>82</v>
      </c>
      <c r="B58" s="21">
        <v>45883</v>
      </c>
      <c r="C58">
        <v>150</v>
      </c>
      <c r="D58">
        <v>136</v>
      </c>
      <c r="E58">
        <v>152</v>
      </c>
      <c r="F58">
        <v>150</v>
      </c>
      <c r="G58">
        <v>149</v>
      </c>
      <c r="H58">
        <v>156</v>
      </c>
      <c r="I58">
        <v>148</v>
      </c>
      <c r="J58">
        <v>153</v>
      </c>
      <c r="K58">
        <v>147</v>
      </c>
      <c r="L58">
        <v>145</v>
      </c>
      <c r="M58">
        <v>146</v>
      </c>
      <c r="N58">
        <v>144</v>
      </c>
      <c r="O58" s="19">
        <f t="shared" si="0"/>
        <v>148</v>
      </c>
      <c r="P58" s="19">
        <f t="shared" si="2"/>
        <v>4.9000000000000004</v>
      </c>
      <c r="R58" s="25">
        <f t="shared" si="11"/>
        <v>66</v>
      </c>
      <c r="S58">
        <f t="shared" si="12"/>
        <v>1.8048780487804879</v>
      </c>
    </row>
    <row r="59" spans="1:19" x14ac:dyDescent="0.25">
      <c r="A59" s="13">
        <v>140</v>
      </c>
      <c r="B59" s="21">
        <v>45884</v>
      </c>
      <c r="C59">
        <v>164</v>
      </c>
      <c r="D59">
        <v>148</v>
      </c>
      <c r="O59" s="19">
        <f t="shared" si="0"/>
        <v>156</v>
      </c>
      <c r="P59" s="19">
        <f t="shared" si="2"/>
        <v>8</v>
      </c>
      <c r="R59" s="25">
        <f t="shared" ref="R59:R68" si="13">O59-A59</f>
        <v>16</v>
      </c>
      <c r="S59">
        <f t="shared" ref="S59:S68" si="14">O59/A59</f>
        <v>1.1142857142857143</v>
      </c>
    </row>
    <row r="60" spans="1:19" x14ac:dyDescent="0.25">
      <c r="A60" s="13">
        <v>162</v>
      </c>
      <c r="B60" s="21">
        <v>45885</v>
      </c>
      <c r="C60">
        <v>180</v>
      </c>
      <c r="D60">
        <v>194</v>
      </c>
      <c r="E60">
        <v>218</v>
      </c>
      <c r="F60">
        <v>153</v>
      </c>
      <c r="G60">
        <v>150</v>
      </c>
      <c r="H60">
        <v>172</v>
      </c>
      <c r="I60">
        <v>160</v>
      </c>
      <c r="J60">
        <v>177</v>
      </c>
      <c r="K60">
        <v>192</v>
      </c>
      <c r="L60">
        <v>185</v>
      </c>
      <c r="M60">
        <v>165</v>
      </c>
      <c r="N60">
        <v>154</v>
      </c>
      <c r="O60" s="19">
        <f t="shared" si="0"/>
        <v>175</v>
      </c>
      <c r="P60" s="19">
        <f t="shared" si="2"/>
        <v>19.39</v>
      </c>
      <c r="R60" s="25">
        <f t="shared" si="13"/>
        <v>13</v>
      </c>
      <c r="S60">
        <f t="shared" si="14"/>
        <v>1.0802469135802468</v>
      </c>
    </row>
    <row r="61" spans="1:19" x14ac:dyDescent="0.25">
      <c r="A61" s="13">
        <v>92</v>
      </c>
      <c r="B61" s="21">
        <v>45886</v>
      </c>
      <c r="C61">
        <v>62</v>
      </c>
      <c r="D61">
        <v>63</v>
      </c>
      <c r="E61">
        <v>63</v>
      </c>
      <c r="F61">
        <v>70</v>
      </c>
      <c r="G61">
        <v>50</v>
      </c>
      <c r="H61">
        <v>85</v>
      </c>
      <c r="I61">
        <v>73</v>
      </c>
      <c r="J61">
        <v>80</v>
      </c>
      <c r="K61">
        <v>63</v>
      </c>
      <c r="L61">
        <v>71</v>
      </c>
      <c r="M61">
        <v>70</v>
      </c>
      <c r="N61">
        <v>66</v>
      </c>
      <c r="O61" s="19">
        <f t="shared" si="0"/>
        <v>68</v>
      </c>
      <c r="P61" s="19">
        <f t="shared" si="2"/>
        <v>8.73</v>
      </c>
      <c r="R61">
        <f t="shared" si="13"/>
        <v>-24</v>
      </c>
      <c r="S61">
        <f t="shared" si="14"/>
        <v>0.73913043478260865</v>
      </c>
    </row>
    <row r="62" spans="1:19" x14ac:dyDescent="0.25">
      <c r="A62" s="13">
        <v>86</v>
      </c>
      <c r="B62" s="21">
        <v>45887</v>
      </c>
      <c r="C62">
        <v>58</v>
      </c>
      <c r="D62">
        <v>80</v>
      </c>
      <c r="E62">
        <v>68</v>
      </c>
      <c r="F62">
        <v>61</v>
      </c>
      <c r="G62">
        <v>54</v>
      </c>
      <c r="H62">
        <v>65</v>
      </c>
      <c r="I62">
        <v>66</v>
      </c>
      <c r="J62">
        <v>69</v>
      </c>
      <c r="K62">
        <v>71</v>
      </c>
      <c r="L62">
        <v>81</v>
      </c>
      <c r="M62">
        <v>77</v>
      </c>
      <c r="N62">
        <v>68</v>
      </c>
      <c r="O62" s="19">
        <f t="shared" si="0"/>
        <v>68</v>
      </c>
      <c r="P62" s="19">
        <f t="shared" si="2"/>
        <v>7.97</v>
      </c>
      <c r="R62" s="25">
        <f t="shared" si="13"/>
        <v>-18</v>
      </c>
      <c r="S62">
        <f t="shared" si="14"/>
        <v>0.79069767441860461</v>
      </c>
    </row>
    <row r="63" spans="1:19" x14ac:dyDescent="0.25">
      <c r="A63" s="13">
        <v>62</v>
      </c>
      <c r="B63" s="21">
        <v>45888</v>
      </c>
      <c r="C63">
        <v>65</v>
      </c>
      <c r="D63">
        <v>70</v>
      </c>
      <c r="E63">
        <v>66</v>
      </c>
      <c r="F63">
        <v>73</v>
      </c>
      <c r="G63">
        <v>63</v>
      </c>
      <c r="H63">
        <v>73</v>
      </c>
      <c r="I63">
        <v>62</v>
      </c>
      <c r="J63">
        <v>66</v>
      </c>
      <c r="K63">
        <v>80</v>
      </c>
      <c r="L63">
        <v>76</v>
      </c>
      <c r="M63">
        <v>86</v>
      </c>
      <c r="N63">
        <v>79</v>
      </c>
      <c r="O63" s="19">
        <f t="shared" si="0"/>
        <v>72</v>
      </c>
      <c r="P63" s="19">
        <f t="shared" si="2"/>
        <v>7.25</v>
      </c>
      <c r="R63" s="25">
        <f t="shared" si="13"/>
        <v>10</v>
      </c>
      <c r="S63">
        <f t="shared" si="14"/>
        <v>1.1612903225806452</v>
      </c>
    </row>
    <row r="64" spans="1:19" x14ac:dyDescent="0.25">
      <c r="A64" s="13">
        <v>79</v>
      </c>
      <c r="B64" s="21">
        <v>45889</v>
      </c>
      <c r="C64">
        <v>71</v>
      </c>
      <c r="D64">
        <v>62</v>
      </c>
      <c r="E64">
        <v>67</v>
      </c>
      <c r="F64">
        <v>84</v>
      </c>
      <c r="G64">
        <v>57</v>
      </c>
      <c r="H64">
        <v>74</v>
      </c>
      <c r="I64">
        <v>73</v>
      </c>
      <c r="J64">
        <v>80</v>
      </c>
      <c r="K64">
        <v>82</v>
      </c>
      <c r="L64">
        <v>88</v>
      </c>
      <c r="M64">
        <v>83</v>
      </c>
      <c r="N64">
        <v>84</v>
      </c>
      <c r="O64" s="19">
        <f t="shared" si="0"/>
        <v>75</v>
      </c>
      <c r="P64" s="19">
        <f t="shared" si="2"/>
        <v>9.33</v>
      </c>
      <c r="R64" s="25">
        <f t="shared" si="13"/>
        <v>-4</v>
      </c>
      <c r="S64">
        <f t="shared" si="14"/>
        <v>0.94936708860759489</v>
      </c>
    </row>
    <row r="65" spans="1:19" x14ac:dyDescent="0.25">
      <c r="A65" s="13">
        <v>128</v>
      </c>
      <c r="B65" s="21">
        <v>45890</v>
      </c>
      <c r="C65">
        <v>115</v>
      </c>
      <c r="D65">
        <v>116</v>
      </c>
      <c r="E65">
        <v>99</v>
      </c>
      <c r="F65">
        <v>121</v>
      </c>
      <c r="G65">
        <v>109</v>
      </c>
      <c r="H65">
        <v>113</v>
      </c>
      <c r="I65">
        <v>112</v>
      </c>
      <c r="J65">
        <v>111</v>
      </c>
      <c r="K65">
        <v>111</v>
      </c>
      <c r="L65">
        <v>100</v>
      </c>
      <c r="M65">
        <v>137</v>
      </c>
      <c r="N65">
        <v>122</v>
      </c>
      <c r="O65" s="19">
        <f t="shared" si="0"/>
        <v>114</v>
      </c>
      <c r="P65" s="19">
        <f t="shared" si="2"/>
        <v>9.64</v>
      </c>
      <c r="R65" s="25">
        <f t="shared" si="13"/>
        <v>-14</v>
      </c>
      <c r="S65">
        <f t="shared" si="14"/>
        <v>0.890625</v>
      </c>
    </row>
    <row r="66" spans="1:19" x14ac:dyDescent="0.25">
      <c r="A66" s="13">
        <v>157</v>
      </c>
      <c r="B66" s="21">
        <v>45891</v>
      </c>
      <c r="C66">
        <v>131</v>
      </c>
      <c r="D66">
        <v>142</v>
      </c>
      <c r="E66">
        <v>168</v>
      </c>
      <c r="F66">
        <v>140</v>
      </c>
      <c r="G66">
        <v>161</v>
      </c>
      <c r="H66">
        <v>130</v>
      </c>
      <c r="I66">
        <v>134</v>
      </c>
      <c r="J66">
        <v>126</v>
      </c>
      <c r="K66">
        <v>136</v>
      </c>
      <c r="L66">
        <v>130</v>
      </c>
      <c r="M66">
        <v>138</v>
      </c>
      <c r="N66">
        <v>150</v>
      </c>
      <c r="O66" s="19">
        <f t="shared" si="0"/>
        <v>141</v>
      </c>
      <c r="P66" s="19">
        <f t="shared" si="2"/>
        <v>12.45</v>
      </c>
      <c r="R66" s="25">
        <f t="shared" si="13"/>
        <v>-16</v>
      </c>
      <c r="S66">
        <f t="shared" si="14"/>
        <v>0.89808917197452232</v>
      </c>
    </row>
    <row r="67" spans="1:19" x14ac:dyDescent="0.25">
      <c r="A67" s="13">
        <v>216</v>
      </c>
      <c r="B67" s="21">
        <v>45892</v>
      </c>
      <c r="C67">
        <v>208</v>
      </c>
      <c r="D67">
        <v>185</v>
      </c>
      <c r="E67">
        <v>180</v>
      </c>
      <c r="F67">
        <v>174</v>
      </c>
      <c r="G67">
        <v>188</v>
      </c>
      <c r="H67">
        <v>186</v>
      </c>
      <c r="I67">
        <v>185</v>
      </c>
      <c r="J67">
        <v>188</v>
      </c>
      <c r="K67">
        <v>187</v>
      </c>
      <c r="L67">
        <v>194</v>
      </c>
      <c r="M67">
        <v>204</v>
      </c>
      <c r="N67">
        <v>209</v>
      </c>
      <c r="O67" s="19">
        <f t="shared" ref="O67:O130" si="15">ROUND(AVERAGE(C67:N67),0)</f>
        <v>191</v>
      </c>
      <c r="P67" s="19">
        <f t="shared" si="2"/>
        <v>10.53</v>
      </c>
      <c r="R67" s="25">
        <f t="shared" si="13"/>
        <v>-25</v>
      </c>
      <c r="S67">
        <f t="shared" si="14"/>
        <v>0.8842592592592593</v>
      </c>
    </row>
    <row r="68" spans="1:19" x14ac:dyDescent="0.25">
      <c r="A68" s="13">
        <v>71</v>
      </c>
      <c r="B68" s="21">
        <v>45893</v>
      </c>
      <c r="C68">
        <v>70</v>
      </c>
      <c r="D68">
        <v>88</v>
      </c>
      <c r="E68">
        <v>79</v>
      </c>
      <c r="F68">
        <v>65</v>
      </c>
      <c r="G68">
        <v>60</v>
      </c>
      <c r="H68">
        <v>81</v>
      </c>
      <c r="I68">
        <v>79</v>
      </c>
      <c r="J68">
        <v>77</v>
      </c>
      <c r="K68">
        <v>81</v>
      </c>
      <c r="L68">
        <v>80</v>
      </c>
      <c r="M68">
        <v>78</v>
      </c>
      <c r="N68">
        <v>89</v>
      </c>
      <c r="O68" s="19">
        <f t="shared" si="15"/>
        <v>77</v>
      </c>
      <c r="P68" s="19">
        <f t="shared" ref="P68:P131" si="16">ROUND(_xlfn.STDEV.P(C68:N68),2)</f>
        <v>8.15</v>
      </c>
      <c r="R68" s="25">
        <f t="shared" si="13"/>
        <v>6</v>
      </c>
      <c r="S68">
        <f t="shared" si="14"/>
        <v>1.0845070422535212</v>
      </c>
    </row>
    <row r="69" spans="1:19" x14ac:dyDescent="0.25">
      <c r="A69">
        <v>34</v>
      </c>
      <c r="B69" s="21">
        <v>45894</v>
      </c>
      <c r="C69">
        <v>62</v>
      </c>
      <c r="D69">
        <v>59</v>
      </c>
      <c r="E69">
        <v>57</v>
      </c>
      <c r="F69">
        <v>53</v>
      </c>
      <c r="G69">
        <v>66</v>
      </c>
      <c r="H69">
        <v>65</v>
      </c>
      <c r="I69">
        <v>70</v>
      </c>
      <c r="J69">
        <v>64</v>
      </c>
      <c r="K69">
        <v>60</v>
      </c>
      <c r="L69">
        <v>66</v>
      </c>
      <c r="M69">
        <f>ROUND(AVERAGE(K69,L69),0)</f>
        <v>63</v>
      </c>
      <c r="N69">
        <v>60</v>
      </c>
      <c r="O69" s="19">
        <f t="shared" si="15"/>
        <v>62</v>
      </c>
      <c r="P69" s="19">
        <f t="shared" si="16"/>
        <v>4.41</v>
      </c>
      <c r="R69" s="25">
        <f t="shared" ref="R69:R83" si="17">O69-A69</f>
        <v>28</v>
      </c>
      <c r="S69">
        <f t="shared" ref="S69:S83" si="18">O69/A69</f>
        <v>1.8235294117647058</v>
      </c>
    </row>
    <row r="70" spans="1:19" x14ac:dyDescent="0.25">
      <c r="A70">
        <v>77</v>
      </c>
      <c r="B70" s="21">
        <v>45895</v>
      </c>
      <c r="C70">
        <v>39</v>
      </c>
      <c r="D70">
        <v>37</v>
      </c>
      <c r="E70">
        <v>57</v>
      </c>
      <c r="F70">
        <v>58</v>
      </c>
      <c r="G70">
        <v>46</v>
      </c>
      <c r="H70">
        <v>42</v>
      </c>
      <c r="I70">
        <v>46</v>
      </c>
      <c r="J70">
        <v>49</v>
      </c>
      <c r="K70">
        <v>42</v>
      </c>
      <c r="L70">
        <v>64</v>
      </c>
      <c r="M70">
        <f t="shared" ref="M70:M74" si="19">ROUND(AVERAGE(K70,L70),0)</f>
        <v>53</v>
      </c>
      <c r="N70">
        <v>63</v>
      </c>
      <c r="O70" s="19">
        <f t="shared" si="15"/>
        <v>50</v>
      </c>
      <c r="P70" s="19">
        <f t="shared" si="16"/>
        <v>8.83</v>
      </c>
      <c r="R70" s="25">
        <f t="shared" si="17"/>
        <v>-27</v>
      </c>
      <c r="S70">
        <f t="shared" si="18"/>
        <v>0.64935064935064934</v>
      </c>
    </row>
    <row r="71" spans="1:19" x14ac:dyDescent="0.25">
      <c r="A71">
        <v>102</v>
      </c>
      <c r="B71" s="21">
        <v>45896</v>
      </c>
      <c r="C71">
        <v>72</v>
      </c>
      <c r="D71">
        <v>45</v>
      </c>
      <c r="E71">
        <v>80</v>
      </c>
      <c r="F71">
        <v>75</v>
      </c>
      <c r="G71">
        <v>59</v>
      </c>
      <c r="H71">
        <v>57</v>
      </c>
      <c r="I71">
        <v>50</v>
      </c>
      <c r="J71">
        <v>54</v>
      </c>
      <c r="K71">
        <v>53</v>
      </c>
      <c r="L71">
        <v>70</v>
      </c>
      <c r="M71">
        <f t="shared" si="19"/>
        <v>62</v>
      </c>
      <c r="N71">
        <v>73</v>
      </c>
      <c r="O71" s="19">
        <f t="shared" si="15"/>
        <v>63</v>
      </c>
      <c r="P71" s="19">
        <f t="shared" si="16"/>
        <v>10.75</v>
      </c>
      <c r="R71" s="25">
        <f t="shared" si="17"/>
        <v>-39</v>
      </c>
      <c r="S71">
        <f t="shared" si="18"/>
        <v>0.61764705882352944</v>
      </c>
    </row>
    <row r="72" spans="1:19" x14ac:dyDescent="0.25">
      <c r="A72">
        <v>86</v>
      </c>
      <c r="B72" s="21">
        <v>45897</v>
      </c>
      <c r="C72">
        <v>81</v>
      </c>
      <c r="D72">
        <v>69</v>
      </c>
      <c r="E72">
        <v>84</v>
      </c>
      <c r="F72">
        <v>89</v>
      </c>
      <c r="G72">
        <v>77</v>
      </c>
      <c r="H72">
        <v>84</v>
      </c>
      <c r="I72">
        <v>62</v>
      </c>
      <c r="J72">
        <v>82</v>
      </c>
      <c r="K72">
        <v>68</v>
      </c>
      <c r="L72">
        <v>80</v>
      </c>
      <c r="M72">
        <f t="shared" si="19"/>
        <v>74</v>
      </c>
      <c r="N72">
        <v>88</v>
      </c>
      <c r="O72" s="19">
        <f t="shared" si="15"/>
        <v>78</v>
      </c>
      <c r="P72" s="19">
        <f t="shared" si="16"/>
        <v>8.0399999999999991</v>
      </c>
      <c r="R72" s="25">
        <f t="shared" si="17"/>
        <v>-8</v>
      </c>
      <c r="S72">
        <f t="shared" si="18"/>
        <v>0.90697674418604646</v>
      </c>
    </row>
    <row r="73" spans="1:19" x14ac:dyDescent="0.25">
      <c r="A73">
        <v>140</v>
      </c>
      <c r="B73" s="21">
        <v>45898</v>
      </c>
      <c r="C73">
        <v>193</v>
      </c>
      <c r="D73">
        <v>174</v>
      </c>
      <c r="E73">
        <v>165</v>
      </c>
      <c r="F73">
        <v>161</v>
      </c>
      <c r="G73">
        <v>188</v>
      </c>
      <c r="H73">
        <v>203</v>
      </c>
      <c r="I73">
        <v>202</v>
      </c>
      <c r="J73">
        <v>194</v>
      </c>
      <c r="K73">
        <v>203</v>
      </c>
      <c r="L73">
        <v>138</v>
      </c>
      <c r="M73">
        <f t="shared" si="19"/>
        <v>171</v>
      </c>
      <c r="N73">
        <v>144</v>
      </c>
      <c r="O73" s="19">
        <f t="shared" si="15"/>
        <v>178</v>
      </c>
      <c r="P73" s="19">
        <f t="shared" si="16"/>
        <v>21.77</v>
      </c>
      <c r="R73" s="25">
        <f t="shared" si="17"/>
        <v>38</v>
      </c>
      <c r="S73">
        <f t="shared" si="18"/>
        <v>1.2714285714285714</v>
      </c>
    </row>
    <row r="74" spans="1:19" x14ac:dyDescent="0.25">
      <c r="A74">
        <v>164</v>
      </c>
      <c r="B74" s="21">
        <v>45899</v>
      </c>
      <c r="C74">
        <v>183</v>
      </c>
      <c r="D74">
        <v>201</v>
      </c>
      <c r="E74">
        <v>213</v>
      </c>
      <c r="F74">
        <v>219</v>
      </c>
      <c r="G74">
        <v>183</v>
      </c>
      <c r="H74">
        <v>182</v>
      </c>
      <c r="I74">
        <v>184</v>
      </c>
      <c r="J74">
        <v>187</v>
      </c>
      <c r="K74">
        <v>178</v>
      </c>
      <c r="L74">
        <v>182</v>
      </c>
      <c r="M74">
        <f t="shared" si="19"/>
        <v>180</v>
      </c>
      <c r="N74">
        <v>168</v>
      </c>
      <c r="O74" s="19">
        <f t="shared" si="15"/>
        <v>188</v>
      </c>
      <c r="P74" s="19">
        <f t="shared" si="16"/>
        <v>14.31</v>
      </c>
      <c r="R74" s="25">
        <f t="shared" si="17"/>
        <v>24</v>
      </c>
      <c r="S74">
        <f t="shared" si="18"/>
        <v>1.1463414634146341</v>
      </c>
    </row>
    <row r="75" spans="1:19" x14ac:dyDescent="0.25">
      <c r="A75">
        <v>68</v>
      </c>
      <c r="B75" s="21">
        <v>45900</v>
      </c>
      <c r="C75">
        <v>74</v>
      </c>
      <c r="D75">
        <v>73</v>
      </c>
      <c r="E75">
        <v>64</v>
      </c>
      <c r="F75">
        <v>64</v>
      </c>
      <c r="G75">
        <v>65</v>
      </c>
      <c r="H75">
        <v>60</v>
      </c>
      <c r="I75">
        <v>71</v>
      </c>
      <c r="J75" s="34">
        <v>61</v>
      </c>
      <c r="K75">
        <v>52</v>
      </c>
      <c r="L75">
        <v>55</v>
      </c>
      <c r="O75" s="19">
        <f t="shared" si="15"/>
        <v>64</v>
      </c>
      <c r="P75" s="19">
        <f t="shared" si="16"/>
        <v>6.93</v>
      </c>
      <c r="R75" s="25">
        <f t="shared" si="17"/>
        <v>-4</v>
      </c>
      <c r="S75">
        <f t="shared" si="18"/>
        <v>0.94117647058823528</v>
      </c>
    </row>
    <row r="76" spans="1:19" x14ac:dyDescent="0.25">
      <c r="A76">
        <v>0</v>
      </c>
      <c r="B76" s="21">
        <v>45901</v>
      </c>
      <c r="C76">
        <v>74</v>
      </c>
      <c r="D76">
        <v>70</v>
      </c>
      <c r="E76">
        <v>64</v>
      </c>
      <c r="F76">
        <v>63</v>
      </c>
      <c r="G76">
        <v>68</v>
      </c>
      <c r="H76">
        <v>63</v>
      </c>
      <c r="I76">
        <v>67</v>
      </c>
      <c r="J76">
        <v>61</v>
      </c>
      <c r="K76">
        <v>57</v>
      </c>
      <c r="L76">
        <v>64</v>
      </c>
      <c r="O76" s="19">
        <f t="shared" si="15"/>
        <v>65</v>
      </c>
      <c r="P76" s="19">
        <f t="shared" si="16"/>
        <v>4.57</v>
      </c>
      <c r="R76" s="25">
        <f t="shared" si="17"/>
        <v>65</v>
      </c>
      <c r="S76" t="e">
        <f>O76/A76</f>
        <v>#DIV/0!</v>
      </c>
    </row>
    <row r="77" spans="1:19" x14ac:dyDescent="0.25">
      <c r="A77">
        <v>45</v>
      </c>
      <c r="B77" s="21">
        <v>45902</v>
      </c>
      <c r="C77">
        <v>82</v>
      </c>
      <c r="D77">
        <v>76</v>
      </c>
      <c r="E77">
        <v>71</v>
      </c>
      <c r="F77">
        <v>72</v>
      </c>
      <c r="G77">
        <v>75</v>
      </c>
      <c r="H77">
        <v>70</v>
      </c>
      <c r="I77">
        <v>69</v>
      </c>
      <c r="J77">
        <v>72</v>
      </c>
      <c r="K77">
        <v>71</v>
      </c>
      <c r="L77">
        <v>74</v>
      </c>
      <c r="O77" s="19">
        <f t="shared" si="15"/>
        <v>73</v>
      </c>
      <c r="P77" s="19">
        <f t="shared" si="16"/>
        <v>3.6</v>
      </c>
      <c r="R77" s="25">
        <f t="shared" si="17"/>
        <v>28</v>
      </c>
      <c r="S77">
        <f t="shared" si="18"/>
        <v>1.6222222222222222</v>
      </c>
    </row>
    <row r="78" spans="1:19" x14ac:dyDescent="0.25">
      <c r="A78">
        <v>36</v>
      </c>
      <c r="B78" s="21">
        <v>45903</v>
      </c>
      <c r="C78">
        <v>77</v>
      </c>
      <c r="D78">
        <v>77</v>
      </c>
      <c r="E78">
        <v>80</v>
      </c>
      <c r="F78">
        <v>76</v>
      </c>
      <c r="G78">
        <v>74</v>
      </c>
      <c r="H78">
        <v>80</v>
      </c>
      <c r="I78">
        <v>88</v>
      </c>
      <c r="J78">
        <v>76</v>
      </c>
      <c r="K78">
        <v>80</v>
      </c>
      <c r="L78">
        <v>67</v>
      </c>
      <c r="O78" s="19">
        <f t="shared" si="15"/>
        <v>78</v>
      </c>
      <c r="P78" s="19">
        <f t="shared" si="16"/>
        <v>5.0599999999999996</v>
      </c>
      <c r="R78" s="25">
        <f t="shared" si="17"/>
        <v>42</v>
      </c>
      <c r="S78">
        <f>O78/A78</f>
        <v>2.1666666666666665</v>
      </c>
    </row>
    <row r="79" spans="1:19" x14ac:dyDescent="0.25">
      <c r="A79">
        <v>59</v>
      </c>
      <c r="B79" s="21">
        <v>45904</v>
      </c>
      <c r="C79">
        <v>130</v>
      </c>
      <c r="D79">
        <v>110</v>
      </c>
      <c r="E79">
        <v>121</v>
      </c>
      <c r="F79">
        <v>114</v>
      </c>
      <c r="G79">
        <v>113</v>
      </c>
      <c r="H79">
        <v>123</v>
      </c>
      <c r="I79">
        <v>113</v>
      </c>
      <c r="J79">
        <v>104</v>
      </c>
      <c r="K79">
        <v>116</v>
      </c>
      <c r="L79">
        <v>114</v>
      </c>
      <c r="O79" s="19">
        <f t="shared" si="15"/>
        <v>116</v>
      </c>
      <c r="P79" s="19">
        <f t="shared" si="16"/>
        <v>6.9</v>
      </c>
      <c r="R79" s="25">
        <f t="shared" si="17"/>
        <v>57</v>
      </c>
      <c r="S79">
        <f t="shared" si="18"/>
        <v>1.9661016949152543</v>
      </c>
    </row>
    <row r="80" spans="1:19" x14ac:dyDescent="0.25">
      <c r="A80">
        <v>107</v>
      </c>
      <c r="B80" s="21">
        <v>45905</v>
      </c>
      <c r="C80">
        <v>165</v>
      </c>
      <c r="D80">
        <v>162</v>
      </c>
      <c r="E80">
        <v>154</v>
      </c>
      <c r="F80">
        <v>153</v>
      </c>
      <c r="G80">
        <v>158</v>
      </c>
      <c r="H80">
        <v>149</v>
      </c>
      <c r="I80">
        <v>157</v>
      </c>
      <c r="J80">
        <v>161</v>
      </c>
      <c r="K80">
        <v>175</v>
      </c>
      <c r="L80">
        <v>153</v>
      </c>
      <c r="M80">
        <v>154</v>
      </c>
      <c r="N80">
        <v>163</v>
      </c>
      <c r="O80" s="19">
        <f t="shared" si="15"/>
        <v>159</v>
      </c>
      <c r="P80" s="19">
        <f t="shared" si="16"/>
        <v>6.75</v>
      </c>
      <c r="R80">
        <f t="shared" si="17"/>
        <v>52</v>
      </c>
      <c r="S80">
        <f t="shared" si="18"/>
        <v>1.485981308411215</v>
      </c>
    </row>
    <row r="81" spans="1:19" x14ac:dyDescent="0.25">
      <c r="A81">
        <v>152</v>
      </c>
      <c r="B81" s="21">
        <v>45906</v>
      </c>
      <c r="C81">
        <v>178</v>
      </c>
      <c r="D81">
        <v>182</v>
      </c>
      <c r="E81">
        <v>177</v>
      </c>
      <c r="F81">
        <v>177</v>
      </c>
      <c r="G81">
        <v>177</v>
      </c>
      <c r="H81">
        <v>168</v>
      </c>
      <c r="I81">
        <v>170</v>
      </c>
      <c r="J81">
        <v>171</v>
      </c>
      <c r="K81">
        <v>191</v>
      </c>
      <c r="L81">
        <v>173</v>
      </c>
      <c r="M81">
        <v>173</v>
      </c>
      <c r="N81">
        <v>182</v>
      </c>
      <c r="O81" s="19">
        <f t="shared" si="15"/>
        <v>177</v>
      </c>
      <c r="P81" s="19">
        <f t="shared" si="16"/>
        <v>6.08</v>
      </c>
      <c r="R81" s="25">
        <f t="shared" si="17"/>
        <v>25</v>
      </c>
      <c r="S81">
        <f t="shared" si="18"/>
        <v>1.1644736842105263</v>
      </c>
    </row>
    <row r="82" spans="1:19" x14ac:dyDescent="0.25">
      <c r="A82">
        <v>46</v>
      </c>
      <c r="B82" s="21">
        <v>45907</v>
      </c>
      <c r="C82">
        <v>48</v>
      </c>
      <c r="D82">
        <v>66</v>
      </c>
      <c r="E82">
        <v>60</v>
      </c>
      <c r="F82">
        <v>60</v>
      </c>
      <c r="G82">
        <v>62</v>
      </c>
      <c r="H82">
        <v>57</v>
      </c>
      <c r="I82">
        <v>64</v>
      </c>
      <c r="J82">
        <v>57</v>
      </c>
      <c r="K82">
        <v>57</v>
      </c>
      <c r="L82">
        <v>55</v>
      </c>
      <c r="M82">
        <v>56</v>
      </c>
      <c r="N82">
        <v>51</v>
      </c>
      <c r="O82" s="19">
        <f t="shared" si="15"/>
        <v>58</v>
      </c>
      <c r="P82" s="19">
        <f t="shared" si="16"/>
        <v>4.9000000000000004</v>
      </c>
      <c r="R82" s="25">
        <f t="shared" si="17"/>
        <v>12</v>
      </c>
      <c r="S82">
        <f t="shared" si="18"/>
        <v>1.2608695652173914</v>
      </c>
    </row>
    <row r="83" spans="1:19" x14ac:dyDescent="0.25">
      <c r="A83">
        <v>39</v>
      </c>
      <c r="B83" s="21">
        <v>45908</v>
      </c>
      <c r="C83">
        <v>53</v>
      </c>
      <c r="D83">
        <v>45</v>
      </c>
      <c r="E83">
        <v>64</v>
      </c>
      <c r="F83">
        <v>62</v>
      </c>
      <c r="G83">
        <v>62</v>
      </c>
      <c r="H83">
        <v>57</v>
      </c>
      <c r="I83">
        <v>72</v>
      </c>
      <c r="J83">
        <v>56</v>
      </c>
      <c r="K83">
        <v>53</v>
      </c>
      <c r="L83">
        <v>54</v>
      </c>
      <c r="M83">
        <v>58</v>
      </c>
      <c r="N83">
        <v>60</v>
      </c>
      <c r="O83" s="19">
        <f t="shared" si="15"/>
        <v>58</v>
      </c>
      <c r="P83" s="19">
        <f t="shared" si="16"/>
        <v>6.51</v>
      </c>
      <c r="R83" s="25">
        <f t="shared" si="17"/>
        <v>19</v>
      </c>
      <c r="S83">
        <f t="shared" si="18"/>
        <v>1.4871794871794872</v>
      </c>
    </row>
    <row r="84" spans="1:19" x14ac:dyDescent="0.25">
      <c r="A84" s="13">
        <v>58</v>
      </c>
      <c r="B84" s="21">
        <v>45909</v>
      </c>
      <c r="C84">
        <v>60</v>
      </c>
      <c r="D84">
        <v>54</v>
      </c>
      <c r="E84">
        <v>54</v>
      </c>
      <c r="F84">
        <v>47</v>
      </c>
      <c r="G84">
        <v>43</v>
      </c>
      <c r="O84" s="19">
        <f t="shared" si="15"/>
        <v>52</v>
      </c>
      <c r="P84" s="19">
        <f t="shared" si="16"/>
        <v>5.95</v>
      </c>
      <c r="R84" s="25">
        <f t="shared" ref="R84:R94" si="20">O84-A84</f>
        <v>-6</v>
      </c>
      <c r="S84">
        <f t="shared" ref="S84:S94" si="21">O84/A84</f>
        <v>0.89655172413793105</v>
      </c>
    </row>
    <row r="85" spans="1:19" x14ac:dyDescent="0.25">
      <c r="A85" s="13">
        <v>83</v>
      </c>
      <c r="B85" s="21">
        <v>45910</v>
      </c>
      <c r="C85">
        <v>81</v>
      </c>
      <c r="D85">
        <v>84</v>
      </c>
      <c r="E85">
        <v>63</v>
      </c>
      <c r="F85">
        <v>61</v>
      </c>
      <c r="G85">
        <v>62</v>
      </c>
      <c r="O85" s="19">
        <f t="shared" si="15"/>
        <v>70</v>
      </c>
      <c r="P85" s="19">
        <f t="shared" si="16"/>
        <v>10.11</v>
      </c>
      <c r="R85" s="25">
        <f t="shared" si="20"/>
        <v>-13</v>
      </c>
      <c r="S85">
        <f t="shared" si="21"/>
        <v>0.84337349397590367</v>
      </c>
    </row>
    <row r="86" spans="1:19" x14ac:dyDescent="0.25">
      <c r="A86" s="13">
        <v>81</v>
      </c>
      <c r="B86" s="21">
        <v>45911</v>
      </c>
      <c r="C86">
        <v>77</v>
      </c>
      <c r="D86">
        <v>76</v>
      </c>
      <c r="E86">
        <v>64</v>
      </c>
      <c r="F86">
        <v>66</v>
      </c>
      <c r="G86">
        <v>71</v>
      </c>
      <c r="O86" s="19">
        <f t="shared" si="15"/>
        <v>71</v>
      </c>
      <c r="P86" s="19">
        <f t="shared" si="16"/>
        <v>5.19</v>
      </c>
      <c r="R86" s="25">
        <f t="shared" si="20"/>
        <v>-10</v>
      </c>
      <c r="S86">
        <f t="shared" si="21"/>
        <v>0.87654320987654322</v>
      </c>
    </row>
    <row r="87" spans="1:19" x14ac:dyDescent="0.25">
      <c r="A87" s="13">
        <v>117</v>
      </c>
      <c r="B87" s="21">
        <v>45912</v>
      </c>
      <c r="C87">
        <v>179</v>
      </c>
      <c r="D87">
        <v>130</v>
      </c>
      <c r="E87">
        <v>126</v>
      </c>
      <c r="F87">
        <v>114</v>
      </c>
      <c r="G87">
        <v>136</v>
      </c>
      <c r="O87" s="19">
        <f t="shared" si="15"/>
        <v>137</v>
      </c>
      <c r="P87" s="19">
        <f t="shared" si="16"/>
        <v>22.2</v>
      </c>
      <c r="R87" s="25">
        <f t="shared" si="20"/>
        <v>20</v>
      </c>
      <c r="S87">
        <f t="shared" si="21"/>
        <v>1.170940170940171</v>
      </c>
    </row>
    <row r="88" spans="1:19" x14ac:dyDescent="0.25">
      <c r="A88" s="13">
        <v>148</v>
      </c>
      <c r="B88" s="21">
        <v>45913</v>
      </c>
      <c r="C88">
        <v>184</v>
      </c>
      <c r="D88">
        <v>202</v>
      </c>
      <c r="E88">
        <v>188</v>
      </c>
      <c r="F88">
        <v>193</v>
      </c>
      <c r="G88">
        <v>187</v>
      </c>
      <c r="O88" s="19">
        <f t="shared" si="15"/>
        <v>191</v>
      </c>
      <c r="P88" s="19">
        <f t="shared" si="16"/>
        <v>6.31</v>
      </c>
      <c r="R88" s="25">
        <f t="shared" si="20"/>
        <v>43</v>
      </c>
      <c r="S88">
        <f t="shared" si="21"/>
        <v>1.2905405405405406</v>
      </c>
    </row>
    <row r="89" spans="1:19" x14ac:dyDescent="0.25">
      <c r="A89" s="13">
        <v>51</v>
      </c>
      <c r="B89" s="21">
        <v>45914</v>
      </c>
      <c r="C89">
        <v>56</v>
      </c>
      <c r="D89">
        <v>57</v>
      </c>
      <c r="E89">
        <v>78</v>
      </c>
      <c r="F89">
        <v>66</v>
      </c>
      <c r="G89">
        <v>52</v>
      </c>
      <c r="O89" s="19">
        <f t="shared" si="15"/>
        <v>62</v>
      </c>
      <c r="P89" s="19">
        <f t="shared" si="16"/>
        <v>9.3000000000000007</v>
      </c>
      <c r="R89" s="25">
        <f t="shared" si="20"/>
        <v>11</v>
      </c>
      <c r="S89">
        <f t="shared" si="21"/>
        <v>1.2156862745098038</v>
      </c>
    </row>
    <row r="90" spans="1:19" x14ac:dyDescent="0.25">
      <c r="A90" s="13">
        <v>77</v>
      </c>
      <c r="B90" s="21">
        <v>45915</v>
      </c>
      <c r="C90">
        <v>48</v>
      </c>
      <c r="D90">
        <v>50</v>
      </c>
      <c r="E90">
        <v>40</v>
      </c>
      <c r="F90">
        <v>47</v>
      </c>
      <c r="G90">
        <v>40</v>
      </c>
      <c r="O90" s="19">
        <f t="shared" si="15"/>
        <v>45</v>
      </c>
      <c r="P90" s="19">
        <f t="shared" si="16"/>
        <v>4.2</v>
      </c>
      <c r="R90" s="25">
        <f t="shared" si="20"/>
        <v>-32</v>
      </c>
      <c r="S90">
        <f t="shared" si="21"/>
        <v>0.58441558441558439</v>
      </c>
    </row>
    <row r="91" spans="1:19" x14ac:dyDescent="0.25">
      <c r="A91" s="13">
        <v>80</v>
      </c>
      <c r="B91" s="21">
        <v>45916</v>
      </c>
      <c r="C91">
        <v>76</v>
      </c>
      <c r="D91">
        <v>73</v>
      </c>
      <c r="E91">
        <v>77</v>
      </c>
      <c r="F91">
        <v>90</v>
      </c>
      <c r="G91">
        <v>86</v>
      </c>
      <c r="O91" s="19">
        <f t="shared" si="15"/>
        <v>80</v>
      </c>
      <c r="P91" s="19">
        <f t="shared" si="16"/>
        <v>6.47</v>
      </c>
      <c r="R91" s="25">
        <f t="shared" si="20"/>
        <v>0</v>
      </c>
      <c r="S91">
        <f>O91/A91</f>
        <v>1</v>
      </c>
    </row>
    <row r="92" spans="1:19" x14ac:dyDescent="0.25">
      <c r="A92" s="13">
        <v>69</v>
      </c>
      <c r="B92" s="21">
        <v>45917</v>
      </c>
      <c r="C92">
        <v>60</v>
      </c>
      <c r="D92">
        <v>60</v>
      </c>
      <c r="E92">
        <v>58</v>
      </c>
      <c r="F92">
        <v>62</v>
      </c>
      <c r="G92">
        <v>56</v>
      </c>
      <c r="O92" s="19">
        <f t="shared" si="15"/>
        <v>59</v>
      </c>
      <c r="P92" s="19">
        <f t="shared" si="16"/>
        <v>2.04</v>
      </c>
      <c r="R92" s="25">
        <f t="shared" si="20"/>
        <v>-10</v>
      </c>
      <c r="S92">
        <f>O92/A92</f>
        <v>0.85507246376811596</v>
      </c>
    </row>
    <row r="93" spans="1:19" x14ac:dyDescent="0.25">
      <c r="A93" s="13">
        <v>98</v>
      </c>
      <c r="B93" s="21">
        <v>45918</v>
      </c>
      <c r="C93">
        <v>107</v>
      </c>
      <c r="D93">
        <v>94</v>
      </c>
      <c r="E93">
        <v>82</v>
      </c>
      <c r="F93">
        <v>84</v>
      </c>
      <c r="G93">
        <v>82</v>
      </c>
      <c r="O93" s="19">
        <f t="shared" si="15"/>
        <v>90</v>
      </c>
      <c r="P93" s="19">
        <f t="shared" si="16"/>
        <v>9.68</v>
      </c>
      <c r="R93" s="25">
        <f t="shared" si="20"/>
        <v>-8</v>
      </c>
      <c r="S93">
        <f t="shared" si="21"/>
        <v>0.91836734693877553</v>
      </c>
    </row>
    <row r="94" spans="1:19" x14ac:dyDescent="0.25">
      <c r="A94" s="13">
        <v>151</v>
      </c>
      <c r="B94" s="21">
        <v>45919</v>
      </c>
      <c r="C94">
        <v>177</v>
      </c>
      <c r="D94">
        <v>168</v>
      </c>
      <c r="E94">
        <v>181</v>
      </c>
      <c r="F94">
        <v>178</v>
      </c>
      <c r="G94">
        <v>187</v>
      </c>
      <c r="O94" s="19">
        <f t="shared" si="15"/>
        <v>178</v>
      </c>
      <c r="P94" s="19">
        <f t="shared" si="16"/>
        <v>6.18</v>
      </c>
      <c r="R94" s="25">
        <f t="shared" si="20"/>
        <v>27</v>
      </c>
      <c r="S94">
        <f t="shared" si="21"/>
        <v>1.1788079470198676</v>
      </c>
    </row>
    <row r="95" spans="1:19" x14ac:dyDescent="0.25">
      <c r="A95" s="13">
        <v>171</v>
      </c>
      <c r="B95" s="21">
        <v>45920</v>
      </c>
      <c r="O95" s="19" t="e">
        <f t="shared" si="15"/>
        <v>#DIV/0!</v>
      </c>
      <c r="P95" s="19" t="e">
        <f t="shared" si="16"/>
        <v>#DIV/0!</v>
      </c>
      <c r="R95" s="25" t="e">
        <f t="shared" ref="R95:R113" si="22">O95-A95</f>
        <v>#DIV/0!</v>
      </c>
      <c r="S95" t="e">
        <f t="shared" ref="S95:S113" si="23">O95/A95</f>
        <v>#DIV/0!</v>
      </c>
    </row>
    <row r="96" spans="1:19" x14ac:dyDescent="0.25">
      <c r="A96" s="13">
        <v>73</v>
      </c>
      <c r="B96" s="21">
        <v>45921</v>
      </c>
      <c r="O96" s="19" t="e">
        <f t="shared" si="15"/>
        <v>#DIV/0!</v>
      </c>
      <c r="P96" s="19" t="e">
        <f t="shared" si="16"/>
        <v>#DIV/0!</v>
      </c>
      <c r="R96" s="25" t="e">
        <f t="shared" si="22"/>
        <v>#DIV/0!</v>
      </c>
      <c r="S96" t="e">
        <f t="shared" si="23"/>
        <v>#DIV/0!</v>
      </c>
    </row>
    <row r="97" spans="1:19" x14ac:dyDescent="0.25">
      <c r="A97" s="13">
        <v>41</v>
      </c>
      <c r="B97" s="21">
        <v>45922</v>
      </c>
      <c r="O97" s="19" t="e">
        <f t="shared" si="15"/>
        <v>#DIV/0!</v>
      </c>
      <c r="P97" s="19" t="e">
        <f t="shared" si="16"/>
        <v>#DIV/0!</v>
      </c>
      <c r="R97" s="25" t="e">
        <f t="shared" si="22"/>
        <v>#DIV/0!</v>
      </c>
      <c r="S97" t="e">
        <f t="shared" si="23"/>
        <v>#DIV/0!</v>
      </c>
    </row>
    <row r="98" spans="1:19" x14ac:dyDescent="0.25">
      <c r="A98" s="13">
        <v>47</v>
      </c>
      <c r="B98" s="21">
        <v>45923</v>
      </c>
      <c r="C98">
        <v>54</v>
      </c>
      <c r="D98">
        <v>50</v>
      </c>
      <c r="E98">
        <v>56</v>
      </c>
      <c r="F98">
        <v>67</v>
      </c>
      <c r="G98">
        <v>60</v>
      </c>
      <c r="H98">
        <v>55</v>
      </c>
      <c r="I98">
        <v>47</v>
      </c>
      <c r="J98">
        <v>49</v>
      </c>
      <c r="K98">
        <v>49</v>
      </c>
      <c r="L98">
        <v>56</v>
      </c>
      <c r="M98">
        <v>53</v>
      </c>
      <c r="N98">
        <v>50</v>
      </c>
      <c r="O98" s="19">
        <f t="shared" si="15"/>
        <v>54</v>
      </c>
      <c r="P98" s="19">
        <f t="shared" si="16"/>
        <v>5.37</v>
      </c>
      <c r="R98" s="25">
        <f t="shared" si="22"/>
        <v>7</v>
      </c>
      <c r="S98">
        <f t="shared" si="23"/>
        <v>1.1489361702127661</v>
      </c>
    </row>
    <row r="99" spans="1:19" x14ac:dyDescent="0.25">
      <c r="A99" s="13">
        <v>68</v>
      </c>
      <c r="B99" s="21">
        <v>45924</v>
      </c>
      <c r="C99" s="41">
        <v>64</v>
      </c>
      <c r="D99">
        <v>71</v>
      </c>
      <c r="E99">
        <v>56</v>
      </c>
      <c r="F99">
        <v>66</v>
      </c>
      <c r="G99">
        <v>58</v>
      </c>
      <c r="H99">
        <v>66</v>
      </c>
      <c r="I99">
        <v>68</v>
      </c>
      <c r="J99">
        <v>60</v>
      </c>
      <c r="K99">
        <v>64</v>
      </c>
      <c r="L99">
        <v>56</v>
      </c>
      <c r="M99">
        <v>76</v>
      </c>
      <c r="N99">
        <v>74</v>
      </c>
      <c r="O99" s="19">
        <f t="shared" si="15"/>
        <v>65</v>
      </c>
      <c r="P99" s="19">
        <f t="shared" si="16"/>
        <v>6.37</v>
      </c>
      <c r="R99" s="25">
        <f t="shared" si="22"/>
        <v>-3</v>
      </c>
      <c r="S99">
        <f t="shared" si="23"/>
        <v>0.95588235294117652</v>
      </c>
    </row>
    <row r="100" spans="1:19" x14ac:dyDescent="0.25">
      <c r="A100" s="13">
        <v>101</v>
      </c>
      <c r="B100" s="21">
        <v>45925</v>
      </c>
      <c r="C100">
        <v>66</v>
      </c>
      <c r="D100">
        <v>67</v>
      </c>
      <c r="E100">
        <v>72</v>
      </c>
      <c r="F100">
        <v>93</v>
      </c>
      <c r="G100">
        <v>84</v>
      </c>
      <c r="H100">
        <v>74</v>
      </c>
      <c r="I100">
        <v>63</v>
      </c>
      <c r="J100">
        <v>69</v>
      </c>
      <c r="K100">
        <v>70</v>
      </c>
      <c r="L100">
        <v>72</v>
      </c>
      <c r="M100">
        <v>65</v>
      </c>
      <c r="N100">
        <v>77</v>
      </c>
      <c r="O100" s="19">
        <f t="shared" si="15"/>
        <v>73</v>
      </c>
      <c r="P100" s="19">
        <f t="shared" si="16"/>
        <v>8.23</v>
      </c>
      <c r="R100" s="25">
        <f t="shared" si="22"/>
        <v>-28</v>
      </c>
      <c r="S100">
        <f t="shared" si="23"/>
        <v>0.72277227722772275</v>
      </c>
    </row>
    <row r="101" spans="1:19" x14ac:dyDescent="0.25">
      <c r="A101" s="13">
        <v>158</v>
      </c>
      <c r="B101" s="21">
        <v>45926</v>
      </c>
      <c r="C101">
        <v>177</v>
      </c>
      <c r="D101">
        <v>183</v>
      </c>
      <c r="E101">
        <v>142</v>
      </c>
      <c r="F101">
        <v>142</v>
      </c>
      <c r="G101">
        <v>128</v>
      </c>
      <c r="H101">
        <v>151</v>
      </c>
      <c r="I101">
        <v>178</v>
      </c>
      <c r="J101">
        <v>166</v>
      </c>
      <c r="K101">
        <v>177</v>
      </c>
      <c r="L101">
        <v>154</v>
      </c>
      <c r="M101">
        <v>155</v>
      </c>
      <c r="N101">
        <v>169</v>
      </c>
      <c r="O101" s="19">
        <f t="shared" si="15"/>
        <v>160</v>
      </c>
      <c r="P101" s="19">
        <f t="shared" si="16"/>
        <v>16.739999999999998</v>
      </c>
      <c r="R101" s="25">
        <f t="shared" si="22"/>
        <v>2</v>
      </c>
      <c r="S101">
        <f t="shared" si="23"/>
        <v>1.0126582278481013</v>
      </c>
    </row>
    <row r="102" spans="1:19" x14ac:dyDescent="0.25">
      <c r="A102" s="13">
        <v>190</v>
      </c>
      <c r="B102" s="21">
        <v>45927</v>
      </c>
      <c r="C102">
        <v>200</v>
      </c>
      <c r="D102">
        <v>198</v>
      </c>
      <c r="E102">
        <v>174</v>
      </c>
      <c r="F102">
        <v>178</v>
      </c>
      <c r="G102">
        <v>169</v>
      </c>
      <c r="H102">
        <v>186</v>
      </c>
      <c r="I102">
        <v>199</v>
      </c>
      <c r="J102">
        <v>192</v>
      </c>
      <c r="K102">
        <v>195</v>
      </c>
      <c r="L102">
        <v>190</v>
      </c>
      <c r="M102">
        <v>185</v>
      </c>
      <c r="N102">
        <v>199</v>
      </c>
      <c r="O102" s="19">
        <f t="shared" si="15"/>
        <v>189</v>
      </c>
      <c r="P102" s="19">
        <f t="shared" si="16"/>
        <v>10.08</v>
      </c>
      <c r="R102" s="25">
        <f t="shared" si="22"/>
        <v>-1</v>
      </c>
      <c r="S102">
        <f t="shared" si="23"/>
        <v>0.99473684210526314</v>
      </c>
    </row>
    <row r="103" spans="1:19" x14ac:dyDescent="0.25">
      <c r="A103" s="13">
        <v>53</v>
      </c>
      <c r="B103" s="21">
        <v>45928</v>
      </c>
      <c r="C103">
        <v>63</v>
      </c>
      <c r="D103">
        <v>63</v>
      </c>
      <c r="E103">
        <v>65</v>
      </c>
      <c r="F103">
        <v>85</v>
      </c>
      <c r="G103">
        <v>82</v>
      </c>
      <c r="H103">
        <v>62</v>
      </c>
      <c r="I103">
        <v>55</v>
      </c>
      <c r="J103">
        <v>59</v>
      </c>
      <c r="K103">
        <v>57</v>
      </c>
      <c r="L103">
        <v>61</v>
      </c>
      <c r="M103">
        <v>63</v>
      </c>
      <c r="N103">
        <v>54</v>
      </c>
      <c r="O103" s="19">
        <f t="shared" si="15"/>
        <v>64</v>
      </c>
      <c r="P103" s="19">
        <f t="shared" si="16"/>
        <v>9.3000000000000007</v>
      </c>
      <c r="R103" s="25">
        <f t="shared" si="22"/>
        <v>11</v>
      </c>
      <c r="S103">
        <f t="shared" si="23"/>
        <v>1.2075471698113207</v>
      </c>
    </row>
    <row r="104" spans="1:19" x14ac:dyDescent="0.25">
      <c r="A104" s="13">
        <v>38</v>
      </c>
      <c r="B104" s="21">
        <v>45929</v>
      </c>
      <c r="C104">
        <v>104</v>
      </c>
      <c r="D104">
        <v>101</v>
      </c>
      <c r="E104">
        <v>83</v>
      </c>
      <c r="F104">
        <v>78</v>
      </c>
      <c r="G104">
        <v>71</v>
      </c>
      <c r="H104">
        <v>91</v>
      </c>
      <c r="I104">
        <v>117</v>
      </c>
      <c r="J104">
        <v>103</v>
      </c>
      <c r="K104">
        <v>100</v>
      </c>
      <c r="L104">
        <v>104</v>
      </c>
      <c r="M104">
        <v>89</v>
      </c>
      <c r="N104">
        <v>81</v>
      </c>
      <c r="O104" s="19">
        <f t="shared" si="15"/>
        <v>94</v>
      </c>
      <c r="P104" s="19">
        <f t="shared" si="16"/>
        <v>12.91</v>
      </c>
      <c r="R104" s="25">
        <f t="shared" si="22"/>
        <v>56</v>
      </c>
      <c r="S104">
        <f t="shared" si="23"/>
        <v>2.4736842105263159</v>
      </c>
    </row>
    <row r="105" spans="1:19" x14ac:dyDescent="0.25">
      <c r="A105" s="13">
        <v>55</v>
      </c>
      <c r="B105" s="21">
        <v>45930</v>
      </c>
      <c r="C105">
        <v>61</v>
      </c>
      <c r="D105">
        <v>60</v>
      </c>
      <c r="E105">
        <v>69</v>
      </c>
      <c r="F105">
        <v>77</v>
      </c>
      <c r="G105">
        <v>62</v>
      </c>
      <c r="H105">
        <v>62</v>
      </c>
      <c r="I105">
        <v>63</v>
      </c>
      <c r="J105">
        <v>62</v>
      </c>
      <c r="K105">
        <v>62</v>
      </c>
      <c r="L105">
        <v>75</v>
      </c>
      <c r="M105">
        <v>59</v>
      </c>
      <c r="N105">
        <v>57</v>
      </c>
      <c r="O105" s="19">
        <f t="shared" si="15"/>
        <v>64</v>
      </c>
      <c r="P105" s="19">
        <f t="shared" si="16"/>
        <v>5.99</v>
      </c>
      <c r="R105" s="25">
        <f t="shared" si="22"/>
        <v>9</v>
      </c>
      <c r="S105">
        <f t="shared" si="23"/>
        <v>1.1636363636363636</v>
      </c>
    </row>
    <row r="106" spans="1:19" x14ac:dyDescent="0.25">
      <c r="A106" s="13">
        <v>75</v>
      </c>
      <c r="B106" s="21">
        <v>45931</v>
      </c>
      <c r="C106">
        <v>71</v>
      </c>
      <c r="D106">
        <v>65</v>
      </c>
      <c r="E106">
        <v>59</v>
      </c>
      <c r="F106">
        <v>75</v>
      </c>
      <c r="G106">
        <v>68</v>
      </c>
      <c r="H106">
        <v>63</v>
      </c>
      <c r="I106">
        <v>61</v>
      </c>
      <c r="J106">
        <v>68</v>
      </c>
      <c r="K106">
        <v>68</v>
      </c>
      <c r="L106">
        <v>67</v>
      </c>
      <c r="M106">
        <v>64</v>
      </c>
      <c r="N106">
        <v>65</v>
      </c>
      <c r="O106" s="19">
        <f t="shared" si="15"/>
        <v>66</v>
      </c>
      <c r="P106" s="19">
        <f t="shared" si="16"/>
        <v>4.16</v>
      </c>
      <c r="R106" s="25">
        <f t="shared" si="22"/>
        <v>-9</v>
      </c>
      <c r="S106">
        <f t="shared" si="23"/>
        <v>0.88</v>
      </c>
    </row>
    <row r="107" spans="1:19" x14ac:dyDescent="0.25">
      <c r="A107" s="13">
        <v>82</v>
      </c>
      <c r="B107" s="21">
        <v>45932</v>
      </c>
      <c r="C107">
        <v>88</v>
      </c>
      <c r="D107">
        <v>86</v>
      </c>
      <c r="E107">
        <v>98</v>
      </c>
      <c r="F107">
        <v>90</v>
      </c>
      <c r="G107">
        <v>96</v>
      </c>
      <c r="H107">
        <v>90</v>
      </c>
      <c r="I107">
        <v>93</v>
      </c>
      <c r="J107">
        <v>96</v>
      </c>
      <c r="K107">
        <v>99</v>
      </c>
      <c r="L107">
        <v>96</v>
      </c>
      <c r="M107">
        <v>103</v>
      </c>
      <c r="N107">
        <v>109</v>
      </c>
      <c r="O107" s="19">
        <f t="shared" si="15"/>
        <v>95</v>
      </c>
      <c r="P107" s="19">
        <f t="shared" si="16"/>
        <v>6.26</v>
      </c>
      <c r="R107" s="25">
        <f t="shared" si="22"/>
        <v>13</v>
      </c>
      <c r="S107">
        <f t="shared" si="23"/>
        <v>1.1585365853658536</v>
      </c>
    </row>
    <row r="108" spans="1:19" x14ac:dyDescent="0.25">
      <c r="A108" s="13">
        <v>144</v>
      </c>
      <c r="B108" s="21">
        <v>45933</v>
      </c>
      <c r="C108">
        <v>152</v>
      </c>
      <c r="D108">
        <v>151</v>
      </c>
      <c r="E108">
        <v>133</v>
      </c>
      <c r="F108">
        <v>126</v>
      </c>
      <c r="G108">
        <v>127</v>
      </c>
      <c r="H108">
        <v>133</v>
      </c>
      <c r="I108">
        <v>137</v>
      </c>
      <c r="J108">
        <v>150</v>
      </c>
      <c r="K108">
        <v>147</v>
      </c>
      <c r="L108">
        <v>153</v>
      </c>
      <c r="M108">
        <v>143</v>
      </c>
      <c r="N108">
        <v>166</v>
      </c>
      <c r="O108" s="19">
        <f t="shared" si="15"/>
        <v>143</v>
      </c>
      <c r="P108" s="19">
        <f t="shared" si="16"/>
        <v>11.62</v>
      </c>
      <c r="R108" s="25">
        <f t="shared" si="22"/>
        <v>-1</v>
      </c>
      <c r="S108">
        <f t="shared" si="23"/>
        <v>0.99305555555555558</v>
      </c>
    </row>
    <row r="109" spans="1:19" x14ac:dyDescent="0.25">
      <c r="A109" s="13">
        <v>190</v>
      </c>
      <c r="B109" s="21">
        <v>45934</v>
      </c>
      <c r="C109">
        <v>198</v>
      </c>
      <c r="D109">
        <v>195</v>
      </c>
      <c r="E109">
        <v>179</v>
      </c>
      <c r="F109">
        <v>184</v>
      </c>
      <c r="G109">
        <v>179</v>
      </c>
      <c r="H109">
        <v>188</v>
      </c>
      <c r="I109">
        <v>199</v>
      </c>
      <c r="J109">
        <v>194</v>
      </c>
      <c r="K109">
        <v>194</v>
      </c>
      <c r="L109">
        <v>196</v>
      </c>
      <c r="M109">
        <v>189</v>
      </c>
      <c r="N109">
        <v>206</v>
      </c>
      <c r="O109" s="19">
        <f t="shared" si="15"/>
        <v>192</v>
      </c>
      <c r="P109" s="19">
        <f t="shared" si="16"/>
        <v>7.85</v>
      </c>
      <c r="R109" s="25">
        <f t="shared" si="22"/>
        <v>2</v>
      </c>
      <c r="S109">
        <f t="shared" si="23"/>
        <v>1.0105263157894737</v>
      </c>
    </row>
    <row r="110" spans="1:19" x14ac:dyDescent="0.25">
      <c r="A110" s="13">
        <v>50</v>
      </c>
      <c r="B110" s="21">
        <v>45935</v>
      </c>
      <c r="C110">
        <v>69</v>
      </c>
      <c r="D110">
        <v>70</v>
      </c>
      <c r="E110">
        <v>61</v>
      </c>
      <c r="F110">
        <v>74</v>
      </c>
      <c r="G110">
        <v>71</v>
      </c>
      <c r="H110">
        <v>75</v>
      </c>
      <c r="I110">
        <v>63</v>
      </c>
      <c r="J110">
        <v>75</v>
      </c>
      <c r="K110">
        <v>69</v>
      </c>
      <c r="L110">
        <v>65</v>
      </c>
      <c r="M110">
        <v>82</v>
      </c>
      <c r="N110">
        <v>76</v>
      </c>
      <c r="O110" s="19">
        <f t="shared" si="15"/>
        <v>71</v>
      </c>
      <c r="P110" s="19">
        <f t="shared" si="16"/>
        <v>5.74</v>
      </c>
      <c r="R110" s="25">
        <f t="shared" si="22"/>
        <v>21</v>
      </c>
      <c r="S110">
        <f t="shared" si="23"/>
        <v>1.42</v>
      </c>
    </row>
    <row r="111" spans="1:19" x14ac:dyDescent="0.25">
      <c r="A111" s="13">
        <v>38</v>
      </c>
      <c r="B111" s="21">
        <v>45936</v>
      </c>
      <c r="C111">
        <v>57</v>
      </c>
      <c r="D111">
        <v>52</v>
      </c>
      <c r="E111">
        <v>53</v>
      </c>
      <c r="F111">
        <v>57</v>
      </c>
      <c r="G111">
        <v>56</v>
      </c>
      <c r="H111">
        <v>66</v>
      </c>
      <c r="I111">
        <v>59</v>
      </c>
      <c r="J111">
        <v>55</v>
      </c>
      <c r="K111">
        <v>56</v>
      </c>
      <c r="L111">
        <v>55</v>
      </c>
      <c r="M111">
        <v>61</v>
      </c>
      <c r="N111">
        <v>59</v>
      </c>
      <c r="O111" s="19">
        <f t="shared" si="15"/>
        <v>57</v>
      </c>
      <c r="P111" s="19">
        <f t="shared" si="16"/>
        <v>3.6</v>
      </c>
      <c r="R111" s="25">
        <f t="shared" si="22"/>
        <v>19</v>
      </c>
      <c r="S111">
        <f t="shared" si="23"/>
        <v>1.5</v>
      </c>
    </row>
    <row r="112" spans="1:19" x14ac:dyDescent="0.25">
      <c r="A112" s="13">
        <v>105</v>
      </c>
      <c r="B112" s="21">
        <v>45937</v>
      </c>
      <c r="C112">
        <v>55</v>
      </c>
      <c r="D112">
        <v>57</v>
      </c>
      <c r="E112">
        <v>56</v>
      </c>
      <c r="F112">
        <v>55</v>
      </c>
      <c r="G112">
        <v>53</v>
      </c>
      <c r="H112">
        <v>54</v>
      </c>
      <c r="I112">
        <v>58</v>
      </c>
      <c r="J112">
        <v>48</v>
      </c>
      <c r="K112">
        <v>50</v>
      </c>
      <c r="L112">
        <v>56</v>
      </c>
      <c r="M112">
        <v>54</v>
      </c>
      <c r="N112">
        <v>57</v>
      </c>
      <c r="O112" s="19">
        <f t="shared" si="15"/>
        <v>54</v>
      </c>
      <c r="P112" s="19">
        <f t="shared" si="16"/>
        <v>2.81</v>
      </c>
      <c r="R112" s="25">
        <f t="shared" si="22"/>
        <v>-51</v>
      </c>
      <c r="S112">
        <f t="shared" si="23"/>
        <v>0.51428571428571423</v>
      </c>
    </row>
    <row r="113" spans="1:19" x14ac:dyDescent="0.25">
      <c r="A113" s="13">
        <v>38</v>
      </c>
      <c r="B113" s="21">
        <v>45938</v>
      </c>
      <c r="C113">
        <v>58</v>
      </c>
      <c r="D113">
        <v>58</v>
      </c>
      <c r="E113">
        <v>60</v>
      </c>
      <c r="F113">
        <v>56</v>
      </c>
      <c r="G113">
        <v>58</v>
      </c>
      <c r="H113">
        <v>58</v>
      </c>
      <c r="I113">
        <v>65</v>
      </c>
      <c r="J113">
        <v>58</v>
      </c>
      <c r="K113">
        <v>60</v>
      </c>
      <c r="L113">
        <v>59</v>
      </c>
      <c r="M113">
        <v>63</v>
      </c>
      <c r="N113">
        <v>57</v>
      </c>
      <c r="O113" s="19">
        <f t="shared" si="15"/>
        <v>59</v>
      </c>
      <c r="P113" s="19">
        <f t="shared" si="16"/>
        <v>2.44</v>
      </c>
      <c r="R113" s="25">
        <f t="shared" si="22"/>
        <v>21</v>
      </c>
      <c r="S113">
        <f t="shared" si="23"/>
        <v>1.5526315789473684</v>
      </c>
    </row>
    <row r="114" spans="1:19" x14ac:dyDescent="0.25">
      <c r="A114" s="25">
        <v>59</v>
      </c>
      <c r="B114" s="21">
        <v>45939</v>
      </c>
      <c r="C114">
        <v>47</v>
      </c>
      <c r="D114">
        <v>52</v>
      </c>
      <c r="E114">
        <v>62</v>
      </c>
      <c r="F114">
        <v>61</v>
      </c>
      <c r="G114">
        <v>90</v>
      </c>
      <c r="H114">
        <v>94</v>
      </c>
      <c r="I114">
        <v>63</v>
      </c>
      <c r="J114">
        <v>63</v>
      </c>
      <c r="K114">
        <v>53</v>
      </c>
      <c r="L114">
        <v>51</v>
      </c>
      <c r="M114">
        <v>54</v>
      </c>
      <c r="N114">
        <v>56</v>
      </c>
      <c r="O114" s="19">
        <f t="shared" si="15"/>
        <v>62</v>
      </c>
      <c r="P114" s="19">
        <f t="shared" si="16"/>
        <v>14.25</v>
      </c>
      <c r="R114" s="25">
        <f t="shared" ref="R114:R136" si="24">O114-A114</f>
        <v>3</v>
      </c>
      <c r="S114">
        <f t="shared" ref="S114:S135" si="25">O114/A114</f>
        <v>1.0508474576271187</v>
      </c>
    </row>
    <row r="115" spans="1:19" x14ac:dyDescent="0.25">
      <c r="A115" s="25">
        <v>91</v>
      </c>
      <c r="B115" s="21">
        <v>45940</v>
      </c>
      <c r="C115">
        <v>152</v>
      </c>
      <c r="D115">
        <v>144</v>
      </c>
      <c r="E115">
        <v>135</v>
      </c>
      <c r="F115">
        <v>130</v>
      </c>
      <c r="G115">
        <v>129</v>
      </c>
      <c r="H115">
        <v>138</v>
      </c>
      <c r="I115">
        <v>141</v>
      </c>
      <c r="J115">
        <v>137</v>
      </c>
      <c r="K115">
        <v>144</v>
      </c>
      <c r="L115">
        <v>137</v>
      </c>
      <c r="M115">
        <v>140</v>
      </c>
      <c r="N115">
        <v>139</v>
      </c>
      <c r="O115" s="19">
        <f t="shared" si="15"/>
        <v>139</v>
      </c>
      <c r="P115" s="19">
        <f t="shared" si="16"/>
        <v>5.98</v>
      </c>
      <c r="R115" s="25">
        <f t="shared" si="24"/>
        <v>48</v>
      </c>
      <c r="S115">
        <f t="shared" si="25"/>
        <v>1.5274725274725274</v>
      </c>
    </row>
    <row r="116" spans="1:19" x14ac:dyDescent="0.25">
      <c r="A116" s="25">
        <v>138</v>
      </c>
      <c r="B116" s="21">
        <v>45941</v>
      </c>
      <c r="C116">
        <v>181</v>
      </c>
      <c r="D116">
        <v>179</v>
      </c>
      <c r="E116">
        <v>204</v>
      </c>
      <c r="F116">
        <v>196</v>
      </c>
      <c r="G116">
        <v>185</v>
      </c>
      <c r="H116">
        <v>191</v>
      </c>
      <c r="I116">
        <v>179</v>
      </c>
      <c r="J116">
        <v>181</v>
      </c>
      <c r="K116">
        <v>173</v>
      </c>
      <c r="L116">
        <v>193</v>
      </c>
      <c r="M116">
        <v>179</v>
      </c>
      <c r="N116">
        <v>181</v>
      </c>
      <c r="O116" s="19">
        <f t="shared" si="15"/>
        <v>185</v>
      </c>
      <c r="P116" s="19">
        <f t="shared" si="16"/>
        <v>8.57</v>
      </c>
      <c r="R116" s="25">
        <f t="shared" si="24"/>
        <v>47</v>
      </c>
      <c r="S116">
        <f t="shared" si="25"/>
        <v>1.3405797101449275</v>
      </c>
    </row>
    <row r="117" spans="1:19" x14ac:dyDescent="0.25">
      <c r="A117" s="25">
        <v>19</v>
      </c>
      <c r="B117" s="21">
        <v>45942</v>
      </c>
      <c r="C117">
        <v>50</v>
      </c>
      <c r="D117">
        <v>51</v>
      </c>
      <c r="E117">
        <v>53</v>
      </c>
      <c r="F117">
        <v>65</v>
      </c>
      <c r="G117">
        <v>61</v>
      </c>
      <c r="H117">
        <v>58</v>
      </c>
      <c r="I117">
        <v>59</v>
      </c>
      <c r="J117">
        <v>61</v>
      </c>
      <c r="K117">
        <v>56</v>
      </c>
      <c r="L117">
        <v>50</v>
      </c>
      <c r="M117">
        <v>54</v>
      </c>
      <c r="N117">
        <v>53</v>
      </c>
      <c r="O117" s="19">
        <f t="shared" si="15"/>
        <v>56</v>
      </c>
      <c r="P117" s="19">
        <f t="shared" si="16"/>
        <v>4.68</v>
      </c>
      <c r="R117" s="25">
        <f t="shared" si="24"/>
        <v>37</v>
      </c>
      <c r="S117">
        <f t="shared" si="25"/>
        <v>2.9473684210526314</v>
      </c>
    </row>
    <row r="118" spans="1:19" x14ac:dyDescent="0.25">
      <c r="A118" s="25">
        <v>33</v>
      </c>
      <c r="B118" s="21">
        <v>45943</v>
      </c>
      <c r="C118">
        <v>45</v>
      </c>
      <c r="D118">
        <v>44</v>
      </c>
      <c r="E118">
        <v>52</v>
      </c>
      <c r="F118">
        <v>69</v>
      </c>
      <c r="G118">
        <v>38</v>
      </c>
      <c r="H118">
        <v>36</v>
      </c>
      <c r="I118">
        <v>51</v>
      </c>
      <c r="J118">
        <v>55</v>
      </c>
      <c r="K118">
        <v>49</v>
      </c>
      <c r="L118">
        <v>42</v>
      </c>
      <c r="M118">
        <v>46</v>
      </c>
      <c r="N118">
        <v>43</v>
      </c>
      <c r="O118" s="19">
        <f t="shared" si="15"/>
        <v>48</v>
      </c>
      <c r="P118" s="19">
        <f t="shared" si="16"/>
        <v>8.4</v>
      </c>
      <c r="R118" s="25">
        <f t="shared" si="24"/>
        <v>15</v>
      </c>
      <c r="S118">
        <f t="shared" si="25"/>
        <v>1.4545454545454546</v>
      </c>
    </row>
    <row r="119" spans="1:19" x14ac:dyDescent="0.25">
      <c r="A119" s="25">
        <v>25</v>
      </c>
      <c r="B119" s="21">
        <v>45944</v>
      </c>
      <c r="C119">
        <v>72</v>
      </c>
      <c r="D119">
        <v>67</v>
      </c>
      <c r="E119">
        <v>69</v>
      </c>
      <c r="F119">
        <v>68</v>
      </c>
      <c r="G119">
        <v>68</v>
      </c>
      <c r="H119">
        <v>48</v>
      </c>
      <c r="I119">
        <v>67</v>
      </c>
      <c r="J119">
        <v>73</v>
      </c>
      <c r="K119">
        <v>75</v>
      </c>
      <c r="L119">
        <v>64</v>
      </c>
      <c r="M119">
        <v>68</v>
      </c>
      <c r="N119">
        <v>68</v>
      </c>
      <c r="O119" s="19">
        <f t="shared" si="15"/>
        <v>67</v>
      </c>
      <c r="P119" s="19">
        <f t="shared" si="16"/>
        <v>6.47</v>
      </c>
      <c r="R119" s="25">
        <f t="shared" si="24"/>
        <v>42</v>
      </c>
      <c r="S119">
        <f t="shared" si="25"/>
        <v>2.68</v>
      </c>
    </row>
    <row r="120" spans="1:19" x14ac:dyDescent="0.25">
      <c r="A120" s="25">
        <v>37</v>
      </c>
      <c r="B120" s="21">
        <v>45945</v>
      </c>
      <c r="C120">
        <v>51</v>
      </c>
      <c r="D120">
        <v>47</v>
      </c>
      <c r="E120">
        <v>68</v>
      </c>
      <c r="F120">
        <v>59</v>
      </c>
      <c r="G120">
        <v>59</v>
      </c>
      <c r="H120">
        <v>55</v>
      </c>
      <c r="I120">
        <v>54</v>
      </c>
      <c r="J120">
        <v>55</v>
      </c>
      <c r="K120">
        <v>62</v>
      </c>
      <c r="L120">
        <v>55</v>
      </c>
      <c r="M120">
        <v>57</v>
      </c>
      <c r="N120">
        <v>53</v>
      </c>
      <c r="O120" s="19">
        <f t="shared" si="15"/>
        <v>56</v>
      </c>
      <c r="P120" s="19">
        <f t="shared" si="16"/>
        <v>5.17</v>
      </c>
      <c r="R120" s="25">
        <f t="shared" si="24"/>
        <v>19</v>
      </c>
      <c r="S120">
        <f t="shared" si="25"/>
        <v>1.5135135135135136</v>
      </c>
    </row>
    <row r="121" spans="1:19" x14ac:dyDescent="0.25">
      <c r="A121" s="25">
        <v>62</v>
      </c>
      <c r="B121" s="21">
        <v>45946</v>
      </c>
      <c r="C121">
        <v>81</v>
      </c>
      <c r="D121">
        <v>83</v>
      </c>
      <c r="E121">
        <v>86</v>
      </c>
      <c r="F121">
        <v>82</v>
      </c>
      <c r="G121">
        <v>100</v>
      </c>
      <c r="H121">
        <v>96</v>
      </c>
      <c r="I121">
        <v>78</v>
      </c>
      <c r="J121">
        <v>77</v>
      </c>
      <c r="K121">
        <v>83</v>
      </c>
      <c r="L121">
        <v>83</v>
      </c>
      <c r="M121">
        <v>80</v>
      </c>
      <c r="N121">
        <v>81</v>
      </c>
      <c r="O121" s="19">
        <f t="shared" si="15"/>
        <v>84</v>
      </c>
      <c r="P121" s="19">
        <f t="shared" si="16"/>
        <v>6.64</v>
      </c>
      <c r="R121" s="25">
        <f t="shared" si="24"/>
        <v>22</v>
      </c>
      <c r="S121">
        <f t="shared" si="25"/>
        <v>1.3548387096774193</v>
      </c>
    </row>
    <row r="122" spans="1:19" x14ac:dyDescent="0.25">
      <c r="A122" s="25">
        <v>126</v>
      </c>
      <c r="B122" s="21">
        <v>45947</v>
      </c>
      <c r="C122">
        <v>147</v>
      </c>
      <c r="D122">
        <v>147</v>
      </c>
      <c r="E122">
        <v>144</v>
      </c>
      <c r="F122">
        <v>158</v>
      </c>
      <c r="G122">
        <v>158</v>
      </c>
      <c r="H122">
        <v>148</v>
      </c>
      <c r="I122">
        <v>134</v>
      </c>
      <c r="J122">
        <v>146</v>
      </c>
      <c r="K122">
        <v>150</v>
      </c>
      <c r="L122">
        <v>148</v>
      </c>
      <c r="M122">
        <v>145</v>
      </c>
      <c r="N122">
        <v>148</v>
      </c>
      <c r="O122" s="19">
        <f t="shared" si="15"/>
        <v>148</v>
      </c>
      <c r="P122" s="19">
        <f t="shared" si="16"/>
        <v>5.99</v>
      </c>
      <c r="R122" s="25">
        <f t="shared" si="24"/>
        <v>22</v>
      </c>
      <c r="S122">
        <f t="shared" si="25"/>
        <v>1.1746031746031746</v>
      </c>
    </row>
    <row r="123" spans="1:19" x14ac:dyDescent="0.25">
      <c r="A123" s="25">
        <v>141</v>
      </c>
      <c r="B123" s="21">
        <v>45948</v>
      </c>
      <c r="C123">
        <v>180</v>
      </c>
      <c r="D123">
        <v>178</v>
      </c>
      <c r="E123">
        <v>178</v>
      </c>
      <c r="F123">
        <v>173</v>
      </c>
      <c r="G123">
        <v>189</v>
      </c>
      <c r="H123">
        <v>193</v>
      </c>
      <c r="I123">
        <v>175</v>
      </c>
      <c r="J123">
        <v>180</v>
      </c>
      <c r="K123">
        <v>177</v>
      </c>
      <c r="L123">
        <v>177</v>
      </c>
      <c r="M123">
        <v>174</v>
      </c>
      <c r="N123">
        <v>176</v>
      </c>
      <c r="O123" s="19">
        <f t="shared" si="15"/>
        <v>179</v>
      </c>
      <c r="P123" s="19">
        <f t="shared" si="16"/>
        <v>5.73</v>
      </c>
      <c r="R123" s="25">
        <f t="shared" si="24"/>
        <v>38</v>
      </c>
      <c r="S123">
        <f t="shared" si="25"/>
        <v>1.2695035460992907</v>
      </c>
    </row>
    <row r="124" spans="1:19" x14ac:dyDescent="0.25">
      <c r="A124" s="25">
        <v>65</v>
      </c>
      <c r="B124" s="21">
        <v>45949</v>
      </c>
      <c r="C124">
        <v>53</v>
      </c>
      <c r="D124">
        <v>52</v>
      </c>
      <c r="E124">
        <v>57</v>
      </c>
      <c r="F124">
        <v>62</v>
      </c>
      <c r="G124">
        <v>64</v>
      </c>
      <c r="H124">
        <v>54</v>
      </c>
      <c r="I124">
        <v>52</v>
      </c>
      <c r="J124">
        <v>59</v>
      </c>
      <c r="K124">
        <v>55</v>
      </c>
      <c r="L124">
        <v>54</v>
      </c>
      <c r="M124">
        <v>55</v>
      </c>
      <c r="N124">
        <v>56</v>
      </c>
      <c r="O124" s="19">
        <f t="shared" si="15"/>
        <v>56</v>
      </c>
      <c r="P124" s="19">
        <f t="shared" si="16"/>
        <v>3.66</v>
      </c>
      <c r="R124" s="25">
        <f t="shared" si="24"/>
        <v>-9</v>
      </c>
      <c r="S124">
        <f t="shared" si="25"/>
        <v>0.86153846153846159</v>
      </c>
    </row>
    <row r="125" spans="1:19" x14ac:dyDescent="0.25">
      <c r="A125" s="25">
        <v>46</v>
      </c>
      <c r="B125" s="21">
        <v>45950</v>
      </c>
      <c r="C125">
        <v>23</v>
      </c>
      <c r="D125">
        <v>30</v>
      </c>
      <c r="E125">
        <v>48</v>
      </c>
      <c r="F125">
        <v>62</v>
      </c>
      <c r="G125">
        <v>23</v>
      </c>
      <c r="H125">
        <v>27</v>
      </c>
      <c r="I125">
        <v>49</v>
      </c>
      <c r="J125">
        <v>46</v>
      </c>
      <c r="K125">
        <v>34</v>
      </c>
      <c r="L125">
        <v>24</v>
      </c>
      <c r="M125">
        <v>27</v>
      </c>
      <c r="N125">
        <v>23</v>
      </c>
      <c r="O125" s="19">
        <f t="shared" si="15"/>
        <v>35</v>
      </c>
      <c r="P125" s="19">
        <f t="shared" si="16"/>
        <v>12.65</v>
      </c>
      <c r="R125" s="25">
        <f t="shared" si="24"/>
        <v>-11</v>
      </c>
      <c r="S125">
        <f t="shared" si="25"/>
        <v>0.76086956521739135</v>
      </c>
    </row>
    <row r="126" spans="1:19" x14ac:dyDescent="0.25">
      <c r="A126" s="25">
        <v>31</v>
      </c>
      <c r="B126" s="21">
        <v>45951</v>
      </c>
      <c r="C126">
        <v>35</v>
      </c>
      <c r="D126">
        <v>36</v>
      </c>
      <c r="E126">
        <v>46</v>
      </c>
      <c r="F126">
        <v>49</v>
      </c>
      <c r="G126">
        <v>38</v>
      </c>
      <c r="H126">
        <v>41</v>
      </c>
      <c r="I126">
        <v>41</v>
      </c>
      <c r="J126">
        <v>39</v>
      </c>
      <c r="K126">
        <v>36</v>
      </c>
      <c r="L126">
        <v>37</v>
      </c>
      <c r="M126">
        <v>37</v>
      </c>
      <c r="N126">
        <v>36</v>
      </c>
      <c r="O126" s="19">
        <f t="shared" si="15"/>
        <v>39</v>
      </c>
      <c r="P126" s="19">
        <f t="shared" si="16"/>
        <v>4.17</v>
      </c>
      <c r="R126" s="25">
        <f t="shared" si="24"/>
        <v>8</v>
      </c>
      <c r="S126">
        <f t="shared" si="25"/>
        <v>1.2580645161290323</v>
      </c>
    </row>
    <row r="127" spans="1:19" x14ac:dyDescent="0.25">
      <c r="A127" s="25">
        <v>84</v>
      </c>
      <c r="B127" s="21">
        <v>45952</v>
      </c>
      <c r="C127">
        <v>64</v>
      </c>
      <c r="D127">
        <v>60</v>
      </c>
      <c r="E127">
        <v>77</v>
      </c>
      <c r="F127">
        <v>69</v>
      </c>
      <c r="G127">
        <v>69</v>
      </c>
      <c r="H127">
        <v>63</v>
      </c>
      <c r="I127">
        <v>63</v>
      </c>
      <c r="J127">
        <v>60</v>
      </c>
      <c r="K127">
        <v>60</v>
      </c>
      <c r="L127">
        <v>60</v>
      </c>
      <c r="M127">
        <v>60</v>
      </c>
      <c r="N127">
        <v>62</v>
      </c>
      <c r="O127" s="19">
        <f t="shared" si="15"/>
        <v>64</v>
      </c>
      <c r="P127" s="19">
        <f t="shared" si="16"/>
        <v>5.04</v>
      </c>
      <c r="R127" s="25">
        <f t="shared" si="24"/>
        <v>-20</v>
      </c>
      <c r="S127">
        <f t="shared" si="25"/>
        <v>0.76190476190476186</v>
      </c>
    </row>
    <row r="128" spans="1:19" x14ac:dyDescent="0.25">
      <c r="A128" s="25">
        <v>28</v>
      </c>
      <c r="B128" s="21">
        <v>45953</v>
      </c>
      <c r="C128">
        <v>86</v>
      </c>
      <c r="D128">
        <v>86</v>
      </c>
      <c r="E128">
        <v>88</v>
      </c>
      <c r="F128">
        <v>92</v>
      </c>
      <c r="G128">
        <v>107</v>
      </c>
      <c r="H128">
        <v>101</v>
      </c>
      <c r="I128">
        <v>86</v>
      </c>
      <c r="J128">
        <v>86</v>
      </c>
      <c r="K128">
        <v>83</v>
      </c>
      <c r="L128">
        <v>84</v>
      </c>
      <c r="M128">
        <v>84</v>
      </c>
      <c r="N128">
        <v>86</v>
      </c>
      <c r="O128" s="19">
        <f t="shared" si="15"/>
        <v>89</v>
      </c>
      <c r="P128" s="19">
        <f t="shared" si="16"/>
        <v>7.12</v>
      </c>
      <c r="R128" s="25">
        <f t="shared" si="24"/>
        <v>61</v>
      </c>
      <c r="S128">
        <f t="shared" si="25"/>
        <v>3.1785714285714284</v>
      </c>
    </row>
    <row r="129" spans="1:21" x14ac:dyDescent="0.25">
      <c r="A129" s="25">
        <v>131</v>
      </c>
      <c r="B129" s="21">
        <v>45954</v>
      </c>
      <c r="C129">
        <v>152</v>
      </c>
      <c r="D129">
        <v>147</v>
      </c>
      <c r="E129">
        <v>148</v>
      </c>
      <c r="F129">
        <v>136</v>
      </c>
      <c r="G129">
        <v>144</v>
      </c>
      <c r="H129">
        <v>151</v>
      </c>
      <c r="I129">
        <v>131</v>
      </c>
      <c r="J129">
        <v>138</v>
      </c>
      <c r="K129">
        <v>154</v>
      </c>
      <c r="L129">
        <v>148</v>
      </c>
      <c r="M129">
        <v>151</v>
      </c>
      <c r="N129">
        <v>156</v>
      </c>
      <c r="O129" s="19">
        <f t="shared" si="15"/>
        <v>146</v>
      </c>
      <c r="P129" s="19">
        <f t="shared" si="16"/>
        <v>7.36</v>
      </c>
      <c r="R129" s="25">
        <f t="shared" si="24"/>
        <v>15</v>
      </c>
      <c r="S129">
        <f t="shared" si="25"/>
        <v>1.1145038167938932</v>
      </c>
    </row>
    <row r="130" spans="1:21" x14ac:dyDescent="0.25">
      <c r="A130" s="25">
        <v>199</v>
      </c>
      <c r="B130" s="21">
        <v>45955</v>
      </c>
      <c r="C130">
        <v>166</v>
      </c>
      <c r="D130">
        <v>165</v>
      </c>
      <c r="E130">
        <v>203</v>
      </c>
      <c r="F130">
        <v>206</v>
      </c>
      <c r="G130">
        <v>165</v>
      </c>
      <c r="H130">
        <v>171</v>
      </c>
      <c r="I130">
        <v>182</v>
      </c>
      <c r="J130">
        <v>164</v>
      </c>
      <c r="K130">
        <v>164</v>
      </c>
      <c r="L130">
        <v>170</v>
      </c>
      <c r="M130">
        <v>155</v>
      </c>
      <c r="N130">
        <v>154</v>
      </c>
      <c r="O130" s="19">
        <f t="shared" si="15"/>
        <v>172</v>
      </c>
      <c r="P130" s="19">
        <f t="shared" si="16"/>
        <v>16.059999999999999</v>
      </c>
      <c r="R130" s="25">
        <f t="shared" si="24"/>
        <v>-27</v>
      </c>
      <c r="S130">
        <f t="shared" si="25"/>
        <v>0.86432160804020097</v>
      </c>
    </row>
    <row r="131" spans="1:21" x14ac:dyDescent="0.25">
      <c r="A131" s="25">
        <v>49</v>
      </c>
      <c r="B131" s="21">
        <v>45956</v>
      </c>
      <c r="C131">
        <v>49</v>
      </c>
      <c r="D131">
        <v>57</v>
      </c>
      <c r="E131">
        <v>74</v>
      </c>
      <c r="F131">
        <v>64</v>
      </c>
      <c r="G131">
        <v>42</v>
      </c>
      <c r="H131">
        <v>47</v>
      </c>
      <c r="I131">
        <v>70</v>
      </c>
      <c r="J131">
        <v>58</v>
      </c>
      <c r="K131">
        <v>68</v>
      </c>
      <c r="L131">
        <v>56</v>
      </c>
      <c r="M131">
        <v>62</v>
      </c>
      <c r="N131">
        <v>58</v>
      </c>
      <c r="O131" s="19">
        <f t="shared" ref="O131:O165" si="26">ROUND(AVERAGE(C131:N131),0)</f>
        <v>59</v>
      </c>
      <c r="P131" s="19">
        <f t="shared" si="16"/>
        <v>9.17</v>
      </c>
      <c r="R131" s="25">
        <f t="shared" si="24"/>
        <v>10</v>
      </c>
      <c r="S131">
        <f t="shared" si="25"/>
        <v>1.2040816326530612</v>
      </c>
    </row>
    <row r="132" spans="1:21" x14ac:dyDescent="0.25">
      <c r="A132" s="25">
        <v>48</v>
      </c>
      <c r="B132" s="21">
        <v>45957</v>
      </c>
      <c r="C132">
        <v>37</v>
      </c>
      <c r="D132">
        <v>34</v>
      </c>
      <c r="E132">
        <v>47</v>
      </c>
      <c r="F132">
        <v>52</v>
      </c>
      <c r="G132">
        <v>55</v>
      </c>
      <c r="H132">
        <v>44</v>
      </c>
      <c r="I132">
        <v>41</v>
      </c>
      <c r="J132">
        <v>48</v>
      </c>
      <c r="K132">
        <v>37</v>
      </c>
      <c r="L132">
        <v>41</v>
      </c>
      <c r="M132">
        <v>38</v>
      </c>
      <c r="N132">
        <v>38</v>
      </c>
      <c r="O132" s="19">
        <f t="shared" si="26"/>
        <v>43</v>
      </c>
      <c r="P132" s="19">
        <f t="shared" ref="P132:P165" si="27">ROUND(_xlfn.STDEV.P(C132:N132),2)</f>
        <v>6.3</v>
      </c>
      <c r="R132" s="25">
        <f t="shared" si="24"/>
        <v>-5</v>
      </c>
      <c r="S132">
        <f t="shared" si="25"/>
        <v>0.89583333333333337</v>
      </c>
    </row>
    <row r="133" spans="1:21" x14ac:dyDescent="0.25">
      <c r="A133">
        <v>58</v>
      </c>
      <c r="B133" s="21">
        <v>45958</v>
      </c>
      <c r="C133">
        <v>42</v>
      </c>
      <c r="D133">
        <v>44</v>
      </c>
      <c r="E133">
        <v>46</v>
      </c>
      <c r="F133">
        <v>45</v>
      </c>
      <c r="G133">
        <v>48</v>
      </c>
      <c r="H133">
        <v>47</v>
      </c>
      <c r="I133">
        <v>45</v>
      </c>
      <c r="J133">
        <v>47</v>
      </c>
      <c r="K133">
        <v>42</v>
      </c>
      <c r="L133">
        <v>44</v>
      </c>
      <c r="M133">
        <v>43</v>
      </c>
      <c r="N133">
        <v>44</v>
      </c>
      <c r="O133" s="19">
        <f t="shared" si="26"/>
        <v>45</v>
      </c>
      <c r="P133" s="19">
        <f t="shared" si="27"/>
        <v>1.88</v>
      </c>
      <c r="R133" s="25">
        <f t="shared" si="24"/>
        <v>-13</v>
      </c>
      <c r="S133">
        <f t="shared" si="25"/>
        <v>0.77586206896551724</v>
      </c>
    </row>
    <row r="134" spans="1:21" x14ac:dyDescent="0.25">
      <c r="A134" s="25">
        <v>34</v>
      </c>
      <c r="B134" s="21">
        <v>45959</v>
      </c>
      <c r="C134">
        <v>56</v>
      </c>
      <c r="D134">
        <v>54</v>
      </c>
      <c r="E134">
        <v>53</v>
      </c>
      <c r="F134">
        <v>55</v>
      </c>
      <c r="G134">
        <v>62</v>
      </c>
      <c r="H134">
        <v>58</v>
      </c>
      <c r="I134">
        <v>56</v>
      </c>
      <c r="J134">
        <v>54</v>
      </c>
      <c r="K134">
        <v>49</v>
      </c>
      <c r="L134">
        <v>55</v>
      </c>
      <c r="M134">
        <v>54</v>
      </c>
      <c r="N134">
        <v>53</v>
      </c>
      <c r="O134" s="19">
        <f t="shared" si="26"/>
        <v>55</v>
      </c>
      <c r="P134" s="19">
        <f t="shared" si="27"/>
        <v>2.98</v>
      </c>
      <c r="R134" s="25">
        <f t="shared" si="24"/>
        <v>21</v>
      </c>
      <c r="S134">
        <f t="shared" si="25"/>
        <v>1.6176470588235294</v>
      </c>
    </row>
    <row r="135" spans="1:21" x14ac:dyDescent="0.25">
      <c r="A135" s="25">
        <v>39</v>
      </c>
      <c r="B135" s="21">
        <v>45960</v>
      </c>
      <c r="C135">
        <v>88</v>
      </c>
      <c r="D135">
        <v>91</v>
      </c>
      <c r="E135">
        <v>90</v>
      </c>
      <c r="F135">
        <v>93</v>
      </c>
      <c r="G135">
        <v>101</v>
      </c>
      <c r="H135">
        <v>94</v>
      </c>
      <c r="I135">
        <v>96</v>
      </c>
      <c r="J135">
        <v>92</v>
      </c>
      <c r="K135">
        <v>85</v>
      </c>
      <c r="L135">
        <v>90</v>
      </c>
      <c r="M135">
        <v>86</v>
      </c>
      <c r="N135">
        <v>85</v>
      </c>
      <c r="O135" s="19">
        <f t="shared" si="26"/>
        <v>91</v>
      </c>
      <c r="P135" s="19">
        <f t="shared" si="27"/>
        <v>4.54</v>
      </c>
      <c r="R135" s="25">
        <f t="shared" si="24"/>
        <v>52</v>
      </c>
      <c r="S135">
        <f t="shared" si="25"/>
        <v>2.3333333333333335</v>
      </c>
    </row>
    <row r="136" spans="1:21" x14ac:dyDescent="0.25">
      <c r="A136">
        <v>38</v>
      </c>
      <c r="B136" s="21">
        <v>45961</v>
      </c>
      <c r="C136">
        <v>111</v>
      </c>
      <c r="D136">
        <v>89</v>
      </c>
      <c r="E136">
        <v>115</v>
      </c>
      <c r="F136">
        <v>113</v>
      </c>
      <c r="G136">
        <v>118</v>
      </c>
      <c r="H136">
        <v>114</v>
      </c>
      <c r="I136">
        <v>121</v>
      </c>
      <c r="J136">
        <v>113</v>
      </c>
      <c r="K136">
        <v>87</v>
      </c>
      <c r="L136">
        <v>98</v>
      </c>
      <c r="M136">
        <v>104</v>
      </c>
      <c r="N136">
        <v>90</v>
      </c>
      <c r="O136" s="19">
        <f t="shared" si="26"/>
        <v>106</v>
      </c>
      <c r="P136" s="19">
        <f t="shared" si="27"/>
        <v>11.59</v>
      </c>
      <c r="R136" s="25">
        <f t="shared" si="24"/>
        <v>68</v>
      </c>
      <c r="S136">
        <f t="shared" ref="S136:S150" si="28">O136/A136</f>
        <v>2.7894736842105261</v>
      </c>
    </row>
    <row r="137" spans="1:21" x14ac:dyDescent="0.25">
      <c r="A137" s="36">
        <v>162</v>
      </c>
      <c r="B137" s="21">
        <v>45962</v>
      </c>
      <c r="C137">
        <v>175</v>
      </c>
      <c r="D137">
        <v>174</v>
      </c>
      <c r="E137">
        <v>178</v>
      </c>
      <c r="F137">
        <v>181</v>
      </c>
      <c r="G137">
        <v>188</v>
      </c>
      <c r="H137">
        <v>165</v>
      </c>
      <c r="I137">
        <v>187</v>
      </c>
      <c r="J137">
        <v>182</v>
      </c>
      <c r="K137">
        <v>175</v>
      </c>
      <c r="L137">
        <v>176</v>
      </c>
      <c r="M137">
        <v>173</v>
      </c>
      <c r="N137">
        <v>173</v>
      </c>
      <c r="O137" s="19">
        <f t="shared" si="26"/>
        <v>177</v>
      </c>
      <c r="P137" s="19">
        <f t="shared" si="27"/>
        <v>6.17</v>
      </c>
      <c r="R137" s="25">
        <f t="shared" ref="R137:R150" si="29">O137-A137</f>
        <v>15</v>
      </c>
      <c r="S137">
        <f t="shared" si="28"/>
        <v>1.0925925925925926</v>
      </c>
    </row>
    <row r="138" spans="1:21" x14ac:dyDescent="0.25">
      <c r="A138" s="25">
        <v>35</v>
      </c>
      <c r="B138" s="21">
        <v>45963</v>
      </c>
      <c r="C138">
        <v>66</v>
      </c>
      <c r="D138">
        <v>63</v>
      </c>
      <c r="E138">
        <v>55</v>
      </c>
      <c r="F138">
        <v>56</v>
      </c>
      <c r="G138">
        <v>52</v>
      </c>
      <c r="H138">
        <v>52</v>
      </c>
      <c r="I138">
        <v>61</v>
      </c>
      <c r="J138">
        <v>58</v>
      </c>
      <c r="K138">
        <v>59</v>
      </c>
      <c r="L138">
        <v>48</v>
      </c>
      <c r="M138">
        <v>47</v>
      </c>
      <c r="N138">
        <v>65</v>
      </c>
      <c r="O138" s="19">
        <f t="shared" si="26"/>
        <v>57</v>
      </c>
      <c r="P138" s="19">
        <f t="shared" si="27"/>
        <v>6.04</v>
      </c>
      <c r="R138" s="25">
        <f t="shared" si="29"/>
        <v>22</v>
      </c>
      <c r="S138">
        <f t="shared" si="28"/>
        <v>1.6285714285714286</v>
      </c>
    </row>
    <row r="139" spans="1:21" x14ac:dyDescent="0.25">
      <c r="A139" s="25">
        <v>61</v>
      </c>
      <c r="B139" s="21">
        <v>45964</v>
      </c>
      <c r="C139">
        <v>66</v>
      </c>
      <c r="D139">
        <v>62</v>
      </c>
      <c r="E139">
        <v>58</v>
      </c>
      <c r="F139">
        <v>54</v>
      </c>
      <c r="G139">
        <v>51</v>
      </c>
      <c r="H139">
        <v>53</v>
      </c>
      <c r="I139">
        <v>64</v>
      </c>
      <c r="J139">
        <v>65</v>
      </c>
      <c r="K139">
        <v>62</v>
      </c>
      <c r="L139">
        <v>64</v>
      </c>
      <c r="M139">
        <v>79</v>
      </c>
      <c r="N139">
        <v>68</v>
      </c>
      <c r="O139" s="19">
        <f t="shared" si="26"/>
        <v>62</v>
      </c>
      <c r="P139" s="19">
        <f t="shared" si="27"/>
        <v>7.3</v>
      </c>
      <c r="R139" s="25">
        <f t="shared" si="29"/>
        <v>1</v>
      </c>
      <c r="S139">
        <f t="shared" si="28"/>
        <v>1.0163934426229508</v>
      </c>
    </row>
    <row r="140" spans="1:21" x14ac:dyDescent="0.25">
      <c r="A140" s="25">
        <v>41</v>
      </c>
      <c r="B140" s="21">
        <v>45965</v>
      </c>
      <c r="C140">
        <v>23</v>
      </c>
      <c r="D140">
        <v>25</v>
      </c>
      <c r="E140">
        <v>27</v>
      </c>
      <c r="F140">
        <v>33</v>
      </c>
      <c r="G140">
        <v>32</v>
      </c>
      <c r="H140">
        <v>33</v>
      </c>
      <c r="I140">
        <v>31</v>
      </c>
      <c r="J140">
        <v>34</v>
      </c>
      <c r="K140">
        <v>31</v>
      </c>
      <c r="L140">
        <v>47</v>
      </c>
      <c r="M140">
        <v>29</v>
      </c>
      <c r="N140">
        <v>32</v>
      </c>
      <c r="O140" s="19">
        <f t="shared" si="26"/>
        <v>31</v>
      </c>
      <c r="P140" s="19">
        <f t="shared" si="27"/>
        <v>5.72</v>
      </c>
      <c r="R140" s="25">
        <f t="shared" si="29"/>
        <v>-10</v>
      </c>
      <c r="S140">
        <f t="shared" si="28"/>
        <v>0.75609756097560976</v>
      </c>
    </row>
    <row r="141" spans="1:21" x14ac:dyDescent="0.25">
      <c r="A141" s="25">
        <v>47</v>
      </c>
      <c r="B141" s="21">
        <v>45966</v>
      </c>
      <c r="C141">
        <v>62</v>
      </c>
      <c r="D141">
        <v>61</v>
      </c>
      <c r="E141">
        <v>64</v>
      </c>
      <c r="F141">
        <v>64</v>
      </c>
      <c r="G141">
        <v>64</v>
      </c>
      <c r="H141">
        <v>62</v>
      </c>
      <c r="I141">
        <v>64</v>
      </c>
      <c r="J141">
        <v>65</v>
      </c>
      <c r="K141">
        <v>68</v>
      </c>
      <c r="L141">
        <v>77</v>
      </c>
      <c r="M141">
        <v>82</v>
      </c>
      <c r="N141">
        <v>67</v>
      </c>
      <c r="O141" s="19">
        <f t="shared" si="26"/>
        <v>67</v>
      </c>
      <c r="P141" s="19">
        <f t="shared" si="27"/>
        <v>6.13</v>
      </c>
      <c r="R141" s="25">
        <f t="shared" si="29"/>
        <v>20</v>
      </c>
      <c r="S141">
        <f t="shared" si="28"/>
        <v>1.425531914893617</v>
      </c>
    </row>
    <row r="142" spans="1:21" x14ac:dyDescent="0.25">
      <c r="A142">
        <v>61</v>
      </c>
      <c r="B142" s="21">
        <v>45967</v>
      </c>
      <c r="C142">
        <v>84</v>
      </c>
      <c r="D142">
        <v>83</v>
      </c>
      <c r="E142">
        <v>90</v>
      </c>
      <c r="F142">
        <v>85</v>
      </c>
      <c r="G142">
        <v>99</v>
      </c>
      <c r="H142">
        <v>95</v>
      </c>
      <c r="I142">
        <v>90</v>
      </c>
      <c r="J142">
        <v>92</v>
      </c>
      <c r="K142">
        <v>83</v>
      </c>
      <c r="L142">
        <v>84</v>
      </c>
      <c r="M142">
        <v>82</v>
      </c>
      <c r="N142">
        <v>82</v>
      </c>
      <c r="O142" s="19">
        <f t="shared" si="26"/>
        <v>87</v>
      </c>
      <c r="P142" s="19">
        <f t="shared" si="27"/>
        <v>5.42</v>
      </c>
      <c r="R142" s="25">
        <f t="shared" si="29"/>
        <v>26</v>
      </c>
      <c r="S142">
        <f t="shared" si="28"/>
        <v>1.4262295081967213</v>
      </c>
      <c r="T142">
        <v>90</v>
      </c>
      <c r="U142">
        <v>79</v>
      </c>
    </row>
    <row r="143" spans="1:21" x14ac:dyDescent="0.25">
      <c r="A143" s="25">
        <v>145</v>
      </c>
      <c r="B143" s="21">
        <v>45968</v>
      </c>
      <c r="C143">
        <v>160</v>
      </c>
      <c r="D143">
        <v>161</v>
      </c>
      <c r="E143">
        <v>147</v>
      </c>
      <c r="F143">
        <v>151</v>
      </c>
      <c r="G143">
        <v>138</v>
      </c>
      <c r="H143">
        <v>127</v>
      </c>
      <c r="I143">
        <v>160</v>
      </c>
      <c r="J143">
        <v>157</v>
      </c>
      <c r="K143">
        <v>164</v>
      </c>
      <c r="L143">
        <v>158</v>
      </c>
      <c r="M143">
        <v>157</v>
      </c>
      <c r="N143">
        <v>162</v>
      </c>
      <c r="O143" s="19">
        <f t="shared" si="26"/>
        <v>154</v>
      </c>
      <c r="P143" s="19">
        <f t="shared" si="27"/>
        <v>10.64</v>
      </c>
      <c r="R143" s="25">
        <f t="shared" si="29"/>
        <v>9</v>
      </c>
      <c r="S143">
        <f t="shared" si="28"/>
        <v>1.0620689655172413</v>
      </c>
      <c r="T143">
        <v>154</v>
      </c>
      <c r="U143">
        <v>142</v>
      </c>
    </row>
    <row r="144" spans="1:21" x14ac:dyDescent="0.25">
      <c r="A144">
        <v>142</v>
      </c>
      <c r="B144" s="21">
        <v>45969</v>
      </c>
      <c r="C144">
        <v>174</v>
      </c>
      <c r="D144">
        <v>174</v>
      </c>
      <c r="E144">
        <v>173</v>
      </c>
      <c r="F144">
        <v>175</v>
      </c>
      <c r="G144">
        <v>171</v>
      </c>
      <c r="H144">
        <v>152</v>
      </c>
      <c r="I144">
        <v>185</v>
      </c>
      <c r="J144">
        <v>180</v>
      </c>
      <c r="K144">
        <v>180</v>
      </c>
      <c r="L144">
        <v>158</v>
      </c>
      <c r="M144">
        <v>157</v>
      </c>
      <c r="N144">
        <v>175</v>
      </c>
      <c r="O144" s="19">
        <f t="shared" si="26"/>
        <v>171</v>
      </c>
      <c r="P144" s="19">
        <f t="shared" si="27"/>
        <v>9.74</v>
      </c>
      <c r="R144" s="25">
        <f t="shared" si="29"/>
        <v>29</v>
      </c>
      <c r="S144">
        <f t="shared" si="28"/>
        <v>1.204225352112676</v>
      </c>
      <c r="T144">
        <v>177</v>
      </c>
      <c r="U144">
        <v>148</v>
      </c>
    </row>
    <row r="145" spans="1:21" x14ac:dyDescent="0.25">
      <c r="A145" s="25">
        <v>28</v>
      </c>
      <c r="B145" s="21">
        <v>45970</v>
      </c>
      <c r="C145">
        <v>61</v>
      </c>
      <c r="D145">
        <v>63</v>
      </c>
      <c r="E145">
        <v>55</v>
      </c>
      <c r="F145">
        <v>52</v>
      </c>
      <c r="G145">
        <v>52</v>
      </c>
      <c r="H145">
        <v>55</v>
      </c>
      <c r="I145">
        <v>62</v>
      </c>
      <c r="J145">
        <v>58</v>
      </c>
      <c r="K145">
        <v>68</v>
      </c>
      <c r="L145">
        <v>62</v>
      </c>
      <c r="M145">
        <v>60</v>
      </c>
      <c r="N145">
        <v>67</v>
      </c>
      <c r="O145" s="19">
        <f t="shared" si="26"/>
        <v>60</v>
      </c>
      <c r="P145" s="19">
        <f t="shared" si="27"/>
        <v>5.09</v>
      </c>
      <c r="R145" s="25">
        <f t="shared" si="29"/>
        <v>32</v>
      </c>
      <c r="S145">
        <f t="shared" si="28"/>
        <v>2.1428571428571428</v>
      </c>
      <c r="T145">
        <v>56</v>
      </c>
      <c r="U145">
        <v>59</v>
      </c>
    </row>
    <row r="146" spans="1:21" x14ac:dyDescent="0.25">
      <c r="A146">
        <v>34</v>
      </c>
      <c r="B146" s="21">
        <v>45971</v>
      </c>
      <c r="C146">
        <v>45</v>
      </c>
      <c r="D146">
        <v>42</v>
      </c>
      <c r="E146">
        <v>47</v>
      </c>
      <c r="F146">
        <v>44</v>
      </c>
      <c r="G146">
        <v>45</v>
      </c>
      <c r="H146">
        <v>52</v>
      </c>
      <c r="I146">
        <v>43</v>
      </c>
      <c r="J146">
        <v>45</v>
      </c>
      <c r="K146">
        <v>51</v>
      </c>
      <c r="L146">
        <v>49</v>
      </c>
      <c r="M146">
        <v>48</v>
      </c>
      <c r="N146">
        <v>48</v>
      </c>
      <c r="O146" s="19">
        <f t="shared" si="26"/>
        <v>47</v>
      </c>
      <c r="P146" s="19">
        <f t="shared" si="27"/>
        <v>2.98</v>
      </c>
      <c r="R146" s="25">
        <f t="shared" si="29"/>
        <v>13</v>
      </c>
      <c r="S146">
        <f t="shared" si="28"/>
        <v>1.3823529411764706</v>
      </c>
      <c r="T146">
        <v>46</v>
      </c>
      <c r="U146">
        <v>47</v>
      </c>
    </row>
    <row r="147" spans="1:21" x14ac:dyDescent="0.25">
      <c r="A147" s="25">
        <v>34</v>
      </c>
      <c r="B147" s="21">
        <v>45972</v>
      </c>
      <c r="C147">
        <v>56</v>
      </c>
      <c r="D147">
        <v>52</v>
      </c>
      <c r="E147">
        <v>47</v>
      </c>
      <c r="F147">
        <v>39</v>
      </c>
      <c r="G147">
        <v>40</v>
      </c>
      <c r="H147">
        <v>45</v>
      </c>
      <c r="I147">
        <v>45</v>
      </c>
      <c r="J147">
        <v>40</v>
      </c>
      <c r="K147">
        <v>64</v>
      </c>
      <c r="L147">
        <v>48</v>
      </c>
      <c r="M147">
        <v>54</v>
      </c>
      <c r="N147">
        <v>56</v>
      </c>
      <c r="O147" s="19">
        <f t="shared" si="26"/>
        <v>49</v>
      </c>
      <c r="P147" s="19">
        <f t="shared" si="27"/>
        <v>7.39</v>
      </c>
      <c r="R147" s="25">
        <f t="shared" si="29"/>
        <v>15</v>
      </c>
      <c r="S147">
        <f t="shared" si="28"/>
        <v>1.4411764705882353</v>
      </c>
      <c r="T147">
        <v>47</v>
      </c>
      <c r="U147">
        <v>44</v>
      </c>
    </row>
    <row r="148" spans="1:21" x14ac:dyDescent="0.25">
      <c r="A148">
        <v>22</v>
      </c>
      <c r="B148" s="21">
        <v>45973</v>
      </c>
      <c r="C148">
        <v>66</v>
      </c>
      <c r="D148">
        <v>69</v>
      </c>
      <c r="E148">
        <v>68</v>
      </c>
      <c r="F148">
        <v>61</v>
      </c>
      <c r="G148">
        <v>64</v>
      </c>
      <c r="H148">
        <v>70</v>
      </c>
      <c r="I148">
        <v>66</v>
      </c>
      <c r="J148">
        <v>63</v>
      </c>
      <c r="K148">
        <v>71</v>
      </c>
      <c r="L148">
        <v>72</v>
      </c>
      <c r="M148">
        <v>75</v>
      </c>
      <c r="N148">
        <v>70</v>
      </c>
      <c r="O148" s="19">
        <f t="shared" si="26"/>
        <v>68</v>
      </c>
      <c r="P148" s="19">
        <f t="shared" si="27"/>
        <v>3.88</v>
      </c>
      <c r="R148" s="25">
        <f t="shared" si="29"/>
        <v>46</v>
      </c>
      <c r="S148">
        <f t="shared" si="28"/>
        <v>3.0909090909090908</v>
      </c>
      <c r="T148">
        <v>66</v>
      </c>
      <c r="U148">
        <v>67</v>
      </c>
    </row>
    <row r="149" spans="1:21" x14ac:dyDescent="0.25">
      <c r="A149" s="25">
        <v>78</v>
      </c>
      <c r="B149" s="21">
        <v>45974</v>
      </c>
      <c r="C149">
        <v>100</v>
      </c>
      <c r="D149">
        <v>101</v>
      </c>
      <c r="E149">
        <v>107</v>
      </c>
      <c r="F149">
        <v>99</v>
      </c>
      <c r="G149">
        <v>106</v>
      </c>
      <c r="H149">
        <v>112</v>
      </c>
      <c r="I149">
        <v>102</v>
      </c>
      <c r="J149">
        <v>99</v>
      </c>
      <c r="K149">
        <v>118</v>
      </c>
      <c r="L149">
        <v>109</v>
      </c>
      <c r="M149">
        <v>108</v>
      </c>
      <c r="N149">
        <v>115</v>
      </c>
      <c r="O149" s="19">
        <f t="shared" si="26"/>
        <v>106</v>
      </c>
      <c r="P149" s="19">
        <f t="shared" si="27"/>
        <v>6.11</v>
      </c>
      <c r="R149" s="25">
        <f t="shared" si="29"/>
        <v>28</v>
      </c>
      <c r="S149">
        <f t="shared" si="28"/>
        <v>1.358974358974359</v>
      </c>
      <c r="T149">
        <v>98</v>
      </c>
      <c r="U149">
        <v>105</v>
      </c>
    </row>
    <row r="150" spans="1:21" x14ac:dyDescent="0.25">
      <c r="A150">
        <v>110</v>
      </c>
      <c r="B150" s="21">
        <v>45975</v>
      </c>
      <c r="C150">
        <v>149</v>
      </c>
      <c r="D150">
        <v>149</v>
      </c>
      <c r="E150">
        <v>148</v>
      </c>
      <c r="F150">
        <v>150</v>
      </c>
      <c r="G150">
        <v>153</v>
      </c>
      <c r="H150">
        <v>151</v>
      </c>
      <c r="I150">
        <v>147</v>
      </c>
      <c r="J150">
        <v>148</v>
      </c>
      <c r="K150">
        <v>151</v>
      </c>
      <c r="L150">
        <v>152</v>
      </c>
      <c r="M150">
        <v>153</v>
      </c>
      <c r="N150">
        <v>152</v>
      </c>
      <c r="O150" s="19">
        <f t="shared" si="26"/>
        <v>150</v>
      </c>
      <c r="P150" s="19">
        <f t="shared" si="27"/>
        <v>1.96</v>
      </c>
      <c r="R150" s="25">
        <f t="shared" si="29"/>
        <v>40</v>
      </c>
      <c r="S150">
        <f t="shared" si="28"/>
        <v>1.3636363636363635</v>
      </c>
      <c r="T150">
        <v>146</v>
      </c>
      <c r="U150">
        <v>152</v>
      </c>
    </row>
    <row r="151" spans="1:21" x14ac:dyDescent="0.25">
      <c r="A151" s="13">
        <v>178</v>
      </c>
      <c r="B151" s="21">
        <v>45976</v>
      </c>
      <c r="C151">
        <v>197</v>
      </c>
      <c r="D151">
        <v>193</v>
      </c>
      <c r="E151">
        <v>190</v>
      </c>
      <c r="F151">
        <v>192</v>
      </c>
      <c r="G151">
        <v>182</v>
      </c>
      <c r="H151">
        <v>182</v>
      </c>
      <c r="I151">
        <v>194</v>
      </c>
      <c r="J151">
        <v>194</v>
      </c>
      <c r="K151">
        <v>188</v>
      </c>
      <c r="L151">
        <v>195</v>
      </c>
      <c r="M151">
        <v>196</v>
      </c>
      <c r="N151">
        <v>190</v>
      </c>
      <c r="O151" s="19">
        <f t="shared" si="26"/>
        <v>191</v>
      </c>
      <c r="P151" s="19">
        <f t="shared" si="27"/>
        <v>4.7699999999999996</v>
      </c>
      <c r="R151" s="25">
        <f t="shared" ref="R151:R165" si="30">O151-A151</f>
        <v>13</v>
      </c>
      <c r="S151">
        <f t="shared" ref="S151:S165" si="31">O151/A151</f>
        <v>1.0730337078651686</v>
      </c>
      <c r="T151">
        <v>190</v>
      </c>
      <c r="U151">
        <v>192</v>
      </c>
    </row>
    <row r="152" spans="1:21" x14ac:dyDescent="0.25">
      <c r="A152" s="13">
        <v>59</v>
      </c>
      <c r="B152" s="21">
        <v>45977</v>
      </c>
      <c r="C152">
        <v>65</v>
      </c>
      <c r="D152">
        <v>65</v>
      </c>
      <c r="E152">
        <v>56</v>
      </c>
      <c r="F152">
        <v>51</v>
      </c>
      <c r="G152">
        <v>42</v>
      </c>
      <c r="H152">
        <v>50</v>
      </c>
      <c r="I152">
        <v>54</v>
      </c>
      <c r="J152">
        <v>55</v>
      </c>
      <c r="K152">
        <v>73</v>
      </c>
      <c r="L152">
        <v>55</v>
      </c>
      <c r="M152">
        <v>65</v>
      </c>
      <c r="N152">
        <v>77</v>
      </c>
      <c r="O152" s="19">
        <f t="shared" si="26"/>
        <v>59</v>
      </c>
      <c r="P152" s="19">
        <f t="shared" si="27"/>
        <v>9.6999999999999993</v>
      </c>
      <c r="R152" s="25">
        <f t="shared" si="30"/>
        <v>0</v>
      </c>
      <c r="S152">
        <f t="shared" si="31"/>
        <v>1</v>
      </c>
      <c r="T152">
        <v>58</v>
      </c>
      <c r="U152">
        <v>63</v>
      </c>
    </row>
    <row r="153" spans="1:21" x14ac:dyDescent="0.25">
      <c r="A153" s="13">
        <v>55</v>
      </c>
      <c r="B153" s="21">
        <v>45978</v>
      </c>
      <c r="C153">
        <v>40</v>
      </c>
      <c r="D153">
        <v>44</v>
      </c>
      <c r="E153">
        <v>44</v>
      </c>
      <c r="F153">
        <v>41</v>
      </c>
      <c r="G153">
        <v>44</v>
      </c>
      <c r="H153">
        <v>42</v>
      </c>
      <c r="I153">
        <v>51</v>
      </c>
      <c r="J153">
        <v>45</v>
      </c>
      <c r="K153">
        <v>39</v>
      </c>
      <c r="L153">
        <v>42</v>
      </c>
      <c r="M153">
        <v>43</v>
      </c>
      <c r="N153">
        <v>43</v>
      </c>
      <c r="O153" s="19">
        <f t="shared" si="26"/>
        <v>43</v>
      </c>
      <c r="P153" s="19">
        <f t="shared" si="27"/>
        <v>2.91</v>
      </c>
      <c r="R153" s="25">
        <f t="shared" si="30"/>
        <v>-12</v>
      </c>
      <c r="S153">
        <f t="shared" si="31"/>
        <v>0.78181818181818186</v>
      </c>
      <c r="T153">
        <v>47</v>
      </c>
      <c r="U153">
        <v>43</v>
      </c>
    </row>
    <row r="154" spans="1:21" x14ac:dyDescent="0.25">
      <c r="A154" s="13">
        <v>62</v>
      </c>
      <c r="B154" s="21">
        <v>45979</v>
      </c>
      <c r="C154">
        <v>50</v>
      </c>
      <c r="D154">
        <v>53</v>
      </c>
      <c r="E154">
        <v>49</v>
      </c>
      <c r="F154">
        <v>50</v>
      </c>
      <c r="G154">
        <v>46</v>
      </c>
      <c r="H154">
        <v>45</v>
      </c>
      <c r="I154">
        <v>54</v>
      </c>
      <c r="J154">
        <v>52</v>
      </c>
      <c r="K154">
        <v>53</v>
      </c>
      <c r="L154">
        <v>54</v>
      </c>
      <c r="M154">
        <v>53</v>
      </c>
      <c r="N154">
        <v>53</v>
      </c>
      <c r="O154" s="19">
        <f t="shared" si="26"/>
        <v>51</v>
      </c>
      <c r="P154" s="19">
        <f t="shared" si="27"/>
        <v>2.92</v>
      </c>
      <c r="R154" s="25">
        <f t="shared" si="30"/>
        <v>-11</v>
      </c>
      <c r="S154">
        <f t="shared" si="31"/>
        <v>0.82258064516129037</v>
      </c>
      <c r="T154">
        <v>51</v>
      </c>
      <c r="U154">
        <v>52</v>
      </c>
    </row>
    <row r="155" spans="1:21" x14ac:dyDescent="0.25">
      <c r="A155" s="13">
        <v>49</v>
      </c>
      <c r="B155" s="21">
        <v>45980</v>
      </c>
      <c r="C155">
        <v>74</v>
      </c>
      <c r="D155">
        <v>74</v>
      </c>
      <c r="E155">
        <v>71</v>
      </c>
      <c r="F155">
        <v>75</v>
      </c>
      <c r="G155">
        <v>67</v>
      </c>
      <c r="H155">
        <v>66</v>
      </c>
      <c r="I155">
        <v>68</v>
      </c>
      <c r="J155">
        <v>74</v>
      </c>
      <c r="K155">
        <v>76</v>
      </c>
      <c r="L155">
        <v>89</v>
      </c>
      <c r="M155">
        <v>77</v>
      </c>
      <c r="N155">
        <v>84</v>
      </c>
      <c r="O155" s="19">
        <f t="shared" si="26"/>
        <v>75</v>
      </c>
      <c r="P155" s="19">
        <f t="shared" si="27"/>
        <v>6.41</v>
      </c>
      <c r="R155" s="25">
        <f t="shared" si="30"/>
        <v>26</v>
      </c>
      <c r="S155">
        <f t="shared" si="31"/>
        <v>1.5306122448979591</v>
      </c>
      <c r="T155">
        <v>77</v>
      </c>
      <c r="U155">
        <v>75</v>
      </c>
    </row>
    <row r="156" spans="1:21" x14ac:dyDescent="0.25">
      <c r="A156" s="13">
        <v>48</v>
      </c>
      <c r="B156" s="21">
        <v>45981</v>
      </c>
      <c r="C156">
        <v>99</v>
      </c>
      <c r="D156">
        <v>99</v>
      </c>
      <c r="E156">
        <v>98</v>
      </c>
      <c r="F156">
        <v>103</v>
      </c>
      <c r="G156">
        <v>96</v>
      </c>
      <c r="H156">
        <v>95</v>
      </c>
      <c r="I156">
        <v>91</v>
      </c>
      <c r="J156">
        <v>104</v>
      </c>
      <c r="K156">
        <v>100</v>
      </c>
      <c r="L156">
        <v>113</v>
      </c>
      <c r="M156">
        <v>100</v>
      </c>
      <c r="N156">
        <v>108</v>
      </c>
      <c r="O156" s="19">
        <f t="shared" si="26"/>
        <v>101</v>
      </c>
      <c r="P156" s="19">
        <f t="shared" si="27"/>
        <v>5.65</v>
      </c>
      <c r="R156" s="25">
        <f t="shared" si="30"/>
        <v>53</v>
      </c>
      <c r="S156">
        <f t="shared" si="31"/>
        <v>2.1041666666666665</v>
      </c>
      <c r="T156">
        <v>106</v>
      </c>
      <c r="U156">
        <v>100</v>
      </c>
    </row>
    <row r="157" spans="1:21" x14ac:dyDescent="0.25">
      <c r="A157" s="13">
        <v>115</v>
      </c>
      <c r="B157" s="21">
        <v>45982</v>
      </c>
      <c r="C157">
        <v>153</v>
      </c>
      <c r="D157">
        <v>156</v>
      </c>
      <c r="E157">
        <v>142</v>
      </c>
      <c r="F157">
        <v>147</v>
      </c>
      <c r="G157">
        <v>141</v>
      </c>
      <c r="H157">
        <v>128</v>
      </c>
      <c r="I157">
        <v>136</v>
      </c>
      <c r="J157">
        <v>151</v>
      </c>
      <c r="K157">
        <v>160</v>
      </c>
      <c r="L157">
        <v>153</v>
      </c>
      <c r="M157">
        <v>158</v>
      </c>
      <c r="N157">
        <v>160</v>
      </c>
      <c r="O157" s="19">
        <f t="shared" si="26"/>
        <v>149</v>
      </c>
      <c r="P157" s="19">
        <f t="shared" si="27"/>
        <v>9.7200000000000006</v>
      </c>
      <c r="R157" s="25">
        <f t="shared" si="30"/>
        <v>34</v>
      </c>
      <c r="S157">
        <f t="shared" si="31"/>
        <v>1.2956521739130435</v>
      </c>
      <c r="T157">
        <v>141</v>
      </c>
      <c r="U157">
        <v>148</v>
      </c>
    </row>
    <row r="158" spans="1:21" x14ac:dyDescent="0.25">
      <c r="A158" s="13">
        <v>155</v>
      </c>
      <c r="B158" s="21">
        <v>45983</v>
      </c>
      <c r="C158">
        <v>196</v>
      </c>
      <c r="D158">
        <v>196</v>
      </c>
      <c r="E158">
        <v>184</v>
      </c>
      <c r="F158">
        <v>187</v>
      </c>
      <c r="G158">
        <v>185</v>
      </c>
      <c r="H158">
        <v>180</v>
      </c>
      <c r="I158">
        <v>178</v>
      </c>
      <c r="J158">
        <v>198</v>
      </c>
      <c r="K158">
        <v>194</v>
      </c>
      <c r="L158">
        <v>195</v>
      </c>
      <c r="M158">
        <v>188</v>
      </c>
      <c r="N158">
        <v>194</v>
      </c>
      <c r="O158" s="19">
        <f t="shared" si="26"/>
        <v>190</v>
      </c>
      <c r="P158" s="19">
        <f t="shared" si="27"/>
        <v>6.51</v>
      </c>
      <c r="R158" s="25">
        <f t="shared" si="30"/>
        <v>35</v>
      </c>
      <c r="S158">
        <f t="shared" si="31"/>
        <v>1.2258064516129032</v>
      </c>
      <c r="T158">
        <v>192</v>
      </c>
      <c r="U158">
        <v>187</v>
      </c>
    </row>
    <row r="159" spans="1:21" x14ac:dyDescent="0.25">
      <c r="A159" s="13">
        <v>38</v>
      </c>
      <c r="B159" s="21">
        <v>45984</v>
      </c>
      <c r="C159">
        <v>55</v>
      </c>
      <c r="D159">
        <v>57</v>
      </c>
      <c r="E159">
        <v>55</v>
      </c>
      <c r="F159">
        <v>56</v>
      </c>
      <c r="G159">
        <v>55</v>
      </c>
      <c r="H159">
        <v>53</v>
      </c>
      <c r="I159">
        <v>61</v>
      </c>
      <c r="J159">
        <v>57</v>
      </c>
      <c r="K159">
        <v>56</v>
      </c>
      <c r="L159">
        <v>56</v>
      </c>
      <c r="M159">
        <v>57</v>
      </c>
      <c r="N159">
        <v>59</v>
      </c>
      <c r="O159" s="19">
        <f t="shared" si="26"/>
        <v>56</v>
      </c>
      <c r="P159" s="19">
        <f t="shared" si="27"/>
        <v>1.98</v>
      </c>
      <c r="R159" s="25">
        <f t="shared" si="30"/>
        <v>18</v>
      </c>
      <c r="S159">
        <f t="shared" si="31"/>
        <v>1.4736842105263157</v>
      </c>
      <c r="T159">
        <v>55</v>
      </c>
      <c r="U159">
        <v>61</v>
      </c>
    </row>
    <row r="160" spans="1:21" x14ac:dyDescent="0.25">
      <c r="A160" s="13">
        <v>39</v>
      </c>
      <c r="B160" s="21">
        <v>45985</v>
      </c>
      <c r="C160">
        <v>55</v>
      </c>
      <c r="D160">
        <v>52</v>
      </c>
      <c r="E160">
        <v>51</v>
      </c>
      <c r="F160">
        <v>51</v>
      </c>
      <c r="G160">
        <v>33</v>
      </c>
      <c r="H160">
        <v>34</v>
      </c>
      <c r="I160">
        <v>47</v>
      </c>
      <c r="J160">
        <v>51</v>
      </c>
      <c r="K160">
        <v>59</v>
      </c>
      <c r="L160">
        <v>67</v>
      </c>
      <c r="M160">
        <v>68</v>
      </c>
      <c r="N160">
        <v>65</v>
      </c>
      <c r="O160" s="19">
        <f t="shared" si="26"/>
        <v>53</v>
      </c>
      <c r="P160" s="19">
        <f t="shared" si="27"/>
        <v>10.86</v>
      </c>
      <c r="R160" s="25">
        <f t="shared" si="30"/>
        <v>14</v>
      </c>
      <c r="S160">
        <f t="shared" si="31"/>
        <v>1.358974358974359</v>
      </c>
      <c r="T160">
        <v>57</v>
      </c>
      <c r="U160">
        <v>53</v>
      </c>
    </row>
    <row r="161" spans="1:21" x14ac:dyDescent="0.25">
      <c r="A161" s="13">
        <v>41</v>
      </c>
      <c r="B161" s="21">
        <v>45986</v>
      </c>
      <c r="C161">
        <v>66</v>
      </c>
      <c r="D161">
        <v>60</v>
      </c>
      <c r="E161">
        <v>60</v>
      </c>
      <c r="F161">
        <v>61</v>
      </c>
      <c r="G161">
        <v>46</v>
      </c>
      <c r="H161">
        <v>41</v>
      </c>
      <c r="I161">
        <v>52</v>
      </c>
      <c r="J161">
        <v>59</v>
      </c>
      <c r="K161">
        <v>69</v>
      </c>
      <c r="L161">
        <v>68</v>
      </c>
      <c r="M161">
        <v>72</v>
      </c>
      <c r="N161">
        <v>71</v>
      </c>
      <c r="O161" s="19">
        <f t="shared" si="26"/>
        <v>60</v>
      </c>
      <c r="P161" s="19">
        <f t="shared" si="27"/>
        <v>9.43</v>
      </c>
      <c r="R161" s="25">
        <f t="shared" si="30"/>
        <v>19</v>
      </c>
      <c r="S161">
        <f t="shared" si="31"/>
        <v>1.4634146341463414</v>
      </c>
      <c r="T161">
        <v>65</v>
      </c>
      <c r="U161">
        <v>61</v>
      </c>
    </row>
    <row r="162" spans="1:21" x14ac:dyDescent="0.25">
      <c r="A162" s="13">
        <v>34</v>
      </c>
      <c r="B162" s="21">
        <v>45987</v>
      </c>
      <c r="C162">
        <v>77</v>
      </c>
      <c r="D162">
        <v>81</v>
      </c>
      <c r="E162">
        <v>71</v>
      </c>
      <c r="F162">
        <v>72</v>
      </c>
      <c r="G162">
        <v>54</v>
      </c>
      <c r="H162">
        <v>60</v>
      </c>
      <c r="I162">
        <v>68</v>
      </c>
      <c r="J162">
        <v>73</v>
      </c>
      <c r="K162">
        <v>84</v>
      </c>
      <c r="L162">
        <v>82</v>
      </c>
      <c r="M162">
        <v>82</v>
      </c>
      <c r="N162">
        <v>84</v>
      </c>
      <c r="O162" s="19">
        <f t="shared" si="26"/>
        <v>74</v>
      </c>
      <c r="P162" s="19">
        <f t="shared" si="27"/>
        <v>9.27</v>
      </c>
      <c r="R162" s="25">
        <f t="shared" si="30"/>
        <v>40</v>
      </c>
      <c r="S162">
        <f t="shared" si="31"/>
        <v>2.1764705882352939</v>
      </c>
      <c r="T162">
        <v>75</v>
      </c>
      <c r="U162">
        <v>76</v>
      </c>
    </row>
    <row r="163" spans="1:21" x14ac:dyDescent="0.25">
      <c r="A163" s="13">
        <v>0</v>
      </c>
      <c r="B163" s="21">
        <v>45988</v>
      </c>
      <c r="C163">
        <v>87</v>
      </c>
      <c r="D163">
        <v>95</v>
      </c>
      <c r="E163">
        <v>87</v>
      </c>
      <c r="F163">
        <v>93</v>
      </c>
      <c r="G163">
        <v>88</v>
      </c>
      <c r="H163">
        <v>88</v>
      </c>
      <c r="I163">
        <v>84</v>
      </c>
      <c r="J163">
        <v>98</v>
      </c>
      <c r="K163">
        <v>85</v>
      </c>
      <c r="L163">
        <v>95</v>
      </c>
      <c r="M163">
        <v>86</v>
      </c>
      <c r="N163">
        <v>87</v>
      </c>
      <c r="O163" s="19">
        <f t="shared" si="26"/>
        <v>89</v>
      </c>
      <c r="P163" s="19">
        <f t="shared" si="27"/>
        <v>4.3899999999999997</v>
      </c>
      <c r="R163" s="25">
        <f t="shared" si="30"/>
        <v>89</v>
      </c>
      <c r="S163" t="e">
        <f t="shared" si="31"/>
        <v>#DIV/0!</v>
      </c>
      <c r="T163">
        <v>92</v>
      </c>
      <c r="U163">
        <v>93</v>
      </c>
    </row>
    <row r="164" spans="1:21" x14ac:dyDescent="0.25">
      <c r="A164" s="13">
        <v>20</v>
      </c>
      <c r="B164" s="21">
        <v>45989</v>
      </c>
      <c r="C164">
        <v>136</v>
      </c>
      <c r="D164">
        <v>132</v>
      </c>
      <c r="E164">
        <v>131</v>
      </c>
      <c r="F164">
        <v>136</v>
      </c>
      <c r="G164">
        <v>134</v>
      </c>
      <c r="H164">
        <v>129</v>
      </c>
      <c r="I164">
        <v>106</v>
      </c>
      <c r="J164">
        <v>146</v>
      </c>
      <c r="K164">
        <v>138</v>
      </c>
      <c r="L164">
        <v>150</v>
      </c>
      <c r="M164">
        <v>132</v>
      </c>
      <c r="N164">
        <v>140</v>
      </c>
      <c r="O164" s="19">
        <f t="shared" si="26"/>
        <v>134</v>
      </c>
      <c r="P164" s="19">
        <f t="shared" si="27"/>
        <v>10.35</v>
      </c>
      <c r="R164" s="25">
        <f t="shared" si="30"/>
        <v>114</v>
      </c>
      <c r="S164">
        <f t="shared" si="31"/>
        <v>6.7</v>
      </c>
      <c r="T164">
        <v>147</v>
      </c>
      <c r="U164">
        <v>128</v>
      </c>
    </row>
    <row r="165" spans="1:21" x14ac:dyDescent="0.25">
      <c r="A165" s="13">
        <v>52</v>
      </c>
      <c r="B165" s="21">
        <v>45990</v>
      </c>
      <c r="C165">
        <v>171</v>
      </c>
      <c r="D165">
        <v>172</v>
      </c>
      <c r="E165">
        <v>174</v>
      </c>
      <c r="F165">
        <v>176</v>
      </c>
      <c r="G165">
        <v>177</v>
      </c>
      <c r="H165">
        <v>172</v>
      </c>
      <c r="I165">
        <v>177</v>
      </c>
      <c r="J165">
        <v>181</v>
      </c>
      <c r="K165">
        <v>170</v>
      </c>
      <c r="L165">
        <v>173</v>
      </c>
      <c r="M165">
        <v>174</v>
      </c>
      <c r="N165">
        <v>172</v>
      </c>
      <c r="O165" s="19">
        <f t="shared" si="26"/>
        <v>174</v>
      </c>
      <c r="P165" s="19">
        <f t="shared" si="27"/>
        <v>3.01</v>
      </c>
      <c r="R165" s="25">
        <f t="shared" si="30"/>
        <v>122</v>
      </c>
      <c r="S165">
        <f t="shared" si="31"/>
        <v>3.3461538461538463</v>
      </c>
      <c r="T165">
        <v>174</v>
      </c>
      <c r="U165">
        <v>172</v>
      </c>
    </row>
    <row r="166" spans="1:21" x14ac:dyDescent="0.25">
      <c r="A166" s="13">
        <v>53</v>
      </c>
      <c r="B166" s="21">
        <v>45991</v>
      </c>
      <c r="C166">
        <v>75</v>
      </c>
      <c r="D166">
        <v>97</v>
      </c>
      <c r="E166">
        <v>57</v>
      </c>
      <c r="F166">
        <v>56</v>
      </c>
      <c r="G166">
        <v>43</v>
      </c>
      <c r="H166">
        <v>49</v>
      </c>
      <c r="I166">
        <v>60</v>
      </c>
      <c r="J166">
        <v>69</v>
      </c>
      <c r="K166">
        <v>97</v>
      </c>
      <c r="L166">
        <v>78</v>
      </c>
      <c r="M166">
        <v>79</v>
      </c>
      <c r="N166">
        <v>82</v>
      </c>
      <c r="O166" s="19">
        <f>ROUND(AVERAGE(C166:N166,T166,U166),0)</f>
        <v>70</v>
      </c>
      <c r="P166" s="19">
        <f>ROUND(_xlfn.STDEV.P(C166:N166,T166,U166),2)</f>
        <v>15.64</v>
      </c>
      <c r="R166" s="25">
        <f t="shared" ref="R166:R184" si="32">O166-A166</f>
        <v>17</v>
      </c>
      <c r="S166">
        <f t="shared" ref="S166:S184" si="33">O166/A166</f>
        <v>1.320754716981132</v>
      </c>
      <c r="T166">
        <v>70</v>
      </c>
      <c r="U166">
        <v>66</v>
      </c>
    </row>
    <row r="167" spans="1:21" x14ac:dyDescent="0.25">
      <c r="A167" s="13">
        <v>20</v>
      </c>
      <c r="B167" s="21">
        <v>45992</v>
      </c>
      <c r="C167">
        <v>49</v>
      </c>
      <c r="D167">
        <v>46</v>
      </c>
      <c r="E167">
        <v>55</v>
      </c>
      <c r="F167">
        <v>69</v>
      </c>
      <c r="G167">
        <v>60</v>
      </c>
      <c r="H167">
        <v>74</v>
      </c>
      <c r="I167">
        <v>55</v>
      </c>
      <c r="J167">
        <v>63</v>
      </c>
      <c r="K167">
        <v>45</v>
      </c>
      <c r="L167">
        <v>43</v>
      </c>
      <c r="M167">
        <v>48</v>
      </c>
      <c r="N167">
        <v>48</v>
      </c>
      <c r="O167" s="19">
        <f>ROUND(AVERAGE(C167:N167,T167:U167),0)</f>
        <v>55</v>
      </c>
      <c r="P167" s="19">
        <f>ROUND(_xlfn.STDEV.P(C167:N167,T167:U167),2)</f>
        <v>8.9600000000000009</v>
      </c>
      <c r="R167" s="25">
        <f t="shared" si="32"/>
        <v>35</v>
      </c>
      <c r="S167">
        <f t="shared" si="33"/>
        <v>2.75</v>
      </c>
      <c r="T167">
        <v>57</v>
      </c>
      <c r="U167">
        <v>59</v>
      </c>
    </row>
    <row r="168" spans="1:21" x14ac:dyDescent="0.25">
      <c r="A168" s="13">
        <v>66</v>
      </c>
      <c r="B168" s="21">
        <v>45993</v>
      </c>
      <c r="C168">
        <v>61</v>
      </c>
      <c r="D168">
        <v>57</v>
      </c>
      <c r="E168">
        <v>61</v>
      </c>
      <c r="F168">
        <v>72</v>
      </c>
      <c r="G168">
        <v>63</v>
      </c>
      <c r="H168">
        <v>74</v>
      </c>
      <c r="I168">
        <v>62</v>
      </c>
      <c r="J168">
        <v>72</v>
      </c>
      <c r="K168">
        <v>65</v>
      </c>
      <c r="L168">
        <v>60</v>
      </c>
      <c r="M168">
        <v>60</v>
      </c>
      <c r="N168">
        <v>60</v>
      </c>
      <c r="O168" s="19">
        <f t="shared" ref="O168:O197" si="34">ROUND(AVERAGE(C168:N168,T168:U168),0)</f>
        <v>64</v>
      </c>
      <c r="P168" s="19">
        <f t="shared" ref="P168:P197" si="35">ROUND(_xlfn.STDEV.P(C168:N168,T168:U168),2)</f>
        <v>5</v>
      </c>
      <c r="R168" s="25">
        <f t="shared" si="32"/>
        <v>-2</v>
      </c>
      <c r="S168">
        <f t="shared" si="33"/>
        <v>0.96969696969696972</v>
      </c>
      <c r="T168">
        <v>63</v>
      </c>
      <c r="U168">
        <v>64</v>
      </c>
    </row>
    <row r="169" spans="1:21" x14ac:dyDescent="0.25">
      <c r="A169" s="13">
        <v>95</v>
      </c>
      <c r="B169" s="21">
        <v>45994</v>
      </c>
      <c r="C169">
        <v>95</v>
      </c>
      <c r="D169">
        <v>94</v>
      </c>
      <c r="E169">
        <v>76</v>
      </c>
      <c r="F169">
        <v>85</v>
      </c>
      <c r="G169">
        <v>69</v>
      </c>
      <c r="H169">
        <v>76</v>
      </c>
      <c r="I169">
        <v>86</v>
      </c>
      <c r="J169">
        <v>96</v>
      </c>
      <c r="K169">
        <v>105</v>
      </c>
      <c r="L169">
        <v>104</v>
      </c>
      <c r="M169">
        <v>94</v>
      </c>
      <c r="N169">
        <v>97</v>
      </c>
      <c r="O169" s="19">
        <f t="shared" si="34"/>
        <v>89</v>
      </c>
      <c r="P169" s="19">
        <f t="shared" si="35"/>
        <v>10.16</v>
      </c>
      <c r="R169" s="25">
        <f t="shared" si="32"/>
        <v>-6</v>
      </c>
      <c r="S169">
        <f t="shared" si="33"/>
        <v>0.93684210526315792</v>
      </c>
      <c r="T169">
        <v>88</v>
      </c>
      <c r="U169">
        <v>87</v>
      </c>
    </row>
    <row r="170" spans="1:21" x14ac:dyDescent="0.25">
      <c r="A170" s="13">
        <v>115</v>
      </c>
      <c r="B170" s="21">
        <v>45995</v>
      </c>
      <c r="C170">
        <v>97</v>
      </c>
      <c r="D170">
        <v>95</v>
      </c>
      <c r="E170">
        <v>82</v>
      </c>
      <c r="F170">
        <v>100</v>
      </c>
      <c r="G170">
        <v>82</v>
      </c>
      <c r="H170">
        <v>96</v>
      </c>
      <c r="I170">
        <v>97</v>
      </c>
      <c r="J170">
        <v>105</v>
      </c>
      <c r="K170">
        <v>100</v>
      </c>
      <c r="L170">
        <v>113</v>
      </c>
      <c r="M170">
        <v>95</v>
      </c>
      <c r="N170">
        <v>90</v>
      </c>
      <c r="O170" s="19">
        <f t="shared" si="34"/>
        <v>96</v>
      </c>
      <c r="P170" s="19">
        <f t="shared" si="35"/>
        <v>7.81</v>
      </c>
      <c r="R170" s="25">
        <f t="shared" si="32"/>
        <v>-19</v>
      </c>
      <c r="S170">
        <f t="shared" si="33"/>
        <v>0.83478260869565213</v>
      </c>
      <c r="T170">
        <v>100</v>
      </c>
      <c r="U170">
        <v>94</v>
      </c>
    </row>
    <row r="171" spans="1:21" x14ac:dyDescent="0.25">
      <c r="A171" s="13">
        <v>113</v>
      </c>
      <c r="B171" s="21">
        <v>45996</v>
      </c>
      <c r="C171">
        <v>134</v>
      </c>
      <c r="D171">
        <v>132</v>
      </c>
      <c r="E171">
        <v>116</v>
      </c>
      <c r="F171">
        <v>136</v>
      </c>
      <c r="G171">
        <v>117</v>
      </c>
      <c r="H171">
        <v>136</v>
      </c>
      <c r="I171">
        <v>130</v>
      </c>
      <c r="J171">
        <v>138</v>
      </c>
      <c r="K171">
        <v>128</v>
      </c>
      <c r="L171">
        <v>136</v>
      </c>
      <c r="M171">
        <v>132</v>
      </c>
      <c r="N171">
        <v>131</v>
      </c>
      <c r="O171" s="19">
        <f t="shared" si="34"/>
        <v>130</v>
      </c>
      <c r="P171" s="19">
        <f t="shared" si="35"/>
        <v>6.35</v>
      </c>
      <c r="R171" s="25">
        <f t="shared" si="32"/>
        <v>17</v>
      </c>
      <c r="S171">
        <f t="shared" si="33"/>
        <v>1.1504424778761062</v>
      </c>
      <c r="T171">
        <v>129</v>
      </c>
      <c r="U171">
        <v>130</v>
      </c>
    </row>
    <row r="172" spans="1:21" x14ac:dyDescent="0.25">
      <c r="A172" s="13">
        <v>161</v>
      </c>
      <c r="B172" s="21">
        <v>45997</v>
      </c>
      <c r="C172">
        <v>177</v>
      </c>
      <c r="D172">
        <v>174</v>
      </c>
      <c r="E172">
        <v>155</v>
      </c>
      <c r="F172">
        <v>175</v>
      </c>
      <c r="G172">
        <v>157</v>
      </c>
      <c r="H172">
        <v>177</v>
      </c>
      <c r="I172">
        <v>170</v>
      </c>
      <c r="J172">
        <v>184</v>
      </c>
      <c r="K172">
        <v>174</v>
      </c>
      <c r="L172">
        <v>177</v>
      </c>
      <c r="M172">
        <v>171</v>
      </c>
      <c r="N172">
        <v>173</v>
      </c>
      <c r="O172" s="19">
        <f t="shared" si="34"/>
        <v>172</v>
      </c>
      <c r="P172" s="19">
        <f t="shared" si="35"/>
        <v>7.4</v>
      </c>
      <c r="R172" s="25">
        <f t="shared" si="32"/>
        <v>11</v>
      </c>
      <c r="S172">
        <f t="shared" si="33"/>
        <v>1.0683229813664596</v>
      </c>
      <c r="T172">
        <v>169</v>
      </c>
      <c r="U172">
        <v>170</v>
      </c>
    </row>
    <row r="173" spans="1:21" x14ac:dyDescent="0.25">
      <c r="A173" s="13">
        <v>73</v>
      </c>
      <c r="B173" s="21">
        <v>45998</v>
      </c>
      <c r="C173">
        <v>91</v>
      </c>
      <c r="D173">
        <v>98</v>
      </c>
      <c r="E173">
        <v>67</v>
      </c>
      <c r="F173">
        <v>85</v>
      </c>
      <c r="G173">
        <v>59</v>
      </c>
      <c r="H173">
        <v>71</v>
      </c>
      <c r="I173">
        <v>75</v>
      </c>
      <c r="J173">
        <v>81</v>
      </c>
      <c r="K173">
        <v>94</v>
      </c>
      <c r="L173">
        <v>98</v>
      </c>
      <c r="M173">
        <v>94</v>
      </c>
      <c r="N173">
        <v>93</v>
      </c>
      <c r="O173" s="19">
        <f t="shared" si="34"/>
        <v>84</v>
      </c>
      <c r="P173" s="19">
        <f t="shared" si="35"/>
        <v>11.68</v>
      </c>
      <c r="R173" s="25">
        <f t="shared" si="32"/>
        <v>11</v>
      </c>
      <c r="S173">
        <f t="shared" si="33"/>
        <v>1.1506849315068493</v>
      </c>
      <c r="T173">
        <v>86</v>
      </c>
      <c r="U173">
        <v>87</v>
      </c>
    </row>
    <row r="174" spans="1:21" x14ac:dyDescent="0.25">
      <c r="A174" s="13">
        <v>47</v>
      </c>
      <c r="B174" s="21">
        <v>45999</v>
      </c>
      <c r="C174">
        <v>56</v>
      </c>
      <c r="D174">
        <v>60</v>
      </c>
      <c r="E174">
        <v>55</v>
      </c>
      <c r="F174">
        <v>64</v>
      </c>
      <c r="G174">
        <v>54</v>
      </c>
      <c r="H174">
        <v>65</v>
      </c>
      <c r="I174">
        <v>54</v>
      </c>
      <c r="J174">
        <v>62</v>
      </c>
      <c r="K174">
        <v>54</v>
      </c>
      <c r="L174">
        <v>50</v>
      </c>
      <c r="M174">
        <v>56</v>
      </c>
      <c r="N174">
        <v>57</v>
      </c>
      <c r="O174" s="19">
        <f t="shared" si="34"/>
        <v>57</v>
      </c>
      <c r="P174" s="19">
        <f t="shared" si="35"/>
        <v>4.07</v>
      </c>
      <c r="R174" s="25">
        <f t="shared" si="32"/>
        <v>10</v>
      </c>
      <c r="S174">
        <f t="shared" si="33"/>
        <v>1.2127659574468086</v>
      </c>
      <c r="T174">
        <v>59</v>
      </c>
      <c r="U174">
        <v>58</v>
      </c>
    </row>
    <row r="175" spans="1:21" x14ac:dyDescent="0.25">
      <c r="A175" s="13">
        <v>72</v>
      </c>
      <c r="B175" s="21">
        <v>46000</v>
      </c>
      <c r="C175">
        <v>55</v>
      </c>
      <c r="D175">
        <v>60</v>
      </c>
      <c r="E175">
        <v>45</v>
      </c>
      <c r="F175">
        <v>59</v>
      </c>
      <c r="G175">
        <v>43</v>
      </c>
      <c r="H175">
        <v>59</v>
      </c>
      <c r="I175">
        <v>62</v>
      </c>
      <c r="J175">
        <v>65</v>
      </c>
      <c r="K175">
        <v>54</v>
      </c>
      <c r="L175">
        <v>58</v>
      </c>
      <c r="M175">
        <v>60</v>
      </c>
      <c r="N175">
        <v>59</v>
      </c>
      <c r="O175" s="19">
        <f t="shared" si="34"/>
        <v>57</v>
      </c>
      <c r="P175" s="19">
        <f t="shared" si="35"/>
        <v>6.05</v>
      </c>
      <c r="R175" s="25">
        <f t="shared" si="32"/>
        <v>-15</v>
      </c>
      <c r="S175">
        <f t="shared" si="33"/>
        <v>0.79166666666666663</v>
      </c>
      <c r="T175">
        <v>62</v>
      </c>
      <c r="U175">
        <v>53</v>
      </c>
    </row>
    <row r="176" spans="1:21" x14ac:dyDescent="0.25">
      <c r="A176" s="13">
        <v>43</v>
      </c>
      <c r="B176" s="21">
        <v>46001</v>
      </c>
      <c r="C176">
        <v>115</v>
      </c>
      <c r="D176">
        <v>86</v>
      </c>
      <c r="E176">
        <v>60</v>
      </c>
      <c r="F176">
        <v>78</v>
      </c>
      <c r="G176">
        <v>55</v>
      </c>
      <c r="H176">
        <v>56</v>
      </c>
      <c r="I176">
        <v>71</v>
      </c>
      <c r="J176">
        <v>88</v>
      </c>
      <c r="K176">
        <v>103</v>
      </c>
      <c r="L176">
        <v>93</v>
      </c>
      <c r="M176">
        <v>90</v>
      </c>
      <c r="N176">
        <v>93</v>
      </c>
      <c r="O176" s="19">
        <f t="shared" si="34"/>
        <v>83</v>
      </c>
      <c r="P176" s="19">
        <f t="shared" si="35"/>
        <v>16.91</v>
      </c>
      <c r="R176" s="25">
        <f t="shared" si="32"/>
        <v>40</v>
      </c>
      <c r="S176">
        <f t="shared" si="33"/>
        <v>1.930232558139535</v>
      </c>
      <c r="T176">
        <v>92</v>
      </c>
      <c r="U176">
        <v>81</v>
      </c>
    </row>
    <row r="177" spans="1:21" x14ac:dyDescent="0.25">
      <c r="A177" s="13">
        <v>100</v>
      </c>
      <c r="B177" s="21">
        <v>46002</v>
      </c>
      <c r="C177">
        <v>116</v>
      </c>
      <c r="D177">
        <v>102</v>
      </c>
      <c r="E177">
        <v>70</v>
      </c>
      <c r="F177">
        <v>96</v>
      </c>
      <c r="G177">
        <v>65</v>
      </c>
      <c r="H177">
        <v>75</v>
      </c>
      <c r="I177">
        <v>99</v>
      </c>
      <c r="J177">
        <v>99</v>
      </c>
      <c r="K177">
        <v>127</v>
      </c>
      <c r="L177">
        <v>108</v>
      </c>
      <c r="M177">
        <v>103</v>
      </c>
      <c r="N177">
        <v>103</v>
      </c>
      <c r="O177" s="19">
        <f t="shared" si="34"/>
        <v>98</v>
      </c>
      <c r="P177" s="19">
        <f t="shared" si="35"/>
        <v>16.440000000000001</v>
      </c>
      <c r="R177" s="25">
        <f t="shared" si="32"/>
        <v>-2</v>
      </c>
      <c r="S177">
        <f t="shared" si="33"/>
        <v>0.98</v>
      </c>
      <c r="T177">
        <v>105</v>
      </c>
      <c r="U177">
        <v>98</v>
      </c>
    </row>
    <row r="178" spans="1:21" x14ac:dyDescent="0.25">
      <c r="A178" s="13">
        <v>176</v>
      </c>
      <c r="B178" s="21">
        <v>46003</v>
      </c>
      <c r="C178">
        <v>143</v>
      </c>
      <c r="D178">
        <v>133</v>
      </c>
      <c r="E178">
        <v>103</v>
      </c>
      <c r="F178">
        <v>140</v>
      </c>
      <c r="G178">
        <v>83</v>
      </c>
      <c r="H178">
        <v>126</v>
      </c>
      <c r="I178">
        <v>138</v>
      </c>
      <c r="J178">
        <v>142</v>
      </c>
      <c r="K178">
        <v>142</v>
      </c>
      <c r="L178">
        <v>138</v>
      </c>
      <c r="M178">
        <v>149</v>
      </c>
      <c r="N178">
        <v>136</v>
      </c>
      <c r="O178" s="19">
        <f t="shared" si="34"/>
        <v>131</v>
      </c>
      <c r="P178" s="19">
        <f t="shared" si="35"/>
        <v>17.25</v>
      </c>
      <c r="R178" s="25">
        <f t="shared" si="32"/>
        <v>-45</v>
      </c>
      <c r="S178">
        <f t="shared" si="33"/>
        <v>0.74431818181818177</v>
      </c>
      <c r="T178">
        <v>135</v>
      </c>
      <c r="U178">
        <v>120</v>
      </c>
    </row>
    <row r="179" spans="1:21" x14ac:dyDescent="0.25">
      <c r="A179" s="13">
        <v>152</v>
      </c>
      <c r="B179" s="21">
        <v>46004</v>
      </c>
      <c r="C179">
        <v>165</v>
      </c>
      <c r="D179">
        <v>180</v>
      </c>
      <c r="E179">
        <v>184</v>
      </c>
      <c r="F179">
        <v>177</v>
      </c>
      <c r="G179">
        <v>119</v>
      </c>
      <c r="H179">
        <v>168</v>
      </c>
      <c r="I179">
        <v>192</v>
      </c>
      <c r="J179">
        <v>182</v>
      </c>
      <c r="K179">
        <v>176</v>
      </c>
      <c r="L179">
        <v>189</v>
      </c>
      <c r="M179">
        <v>170</v>
      </c>
      <c r="N179">
        <v>181</v>
      </c>
      <c r="O179" s="19">
        <f t="shared" si="34"/>
        <v>175</v>
      </c>
      <c r="P179" s="19">
        <f t="shared" si="35"/>
        <v>17.2</v>
      </c>
      <c r="R179" s="25">
        <f t="shared" si="32"/>
        <v>23</v>
      </c>
      <c r="S179">
        <f t="shared" si="33"/>
        <v>1.1513157894736843</v>
      </c>
      <c r="T179">
        <v>187</v>
      </c>
      <c r="U179">
        <v>178</v>
      </c>
    </row>
    <row r="180" spans="1:21" x14ac:dyDescent="0.25">
      <c r="A180" s="13">
        <v>42</v>
      </c>
      <c r="B180" s="21">
        <v>46005</v>
      </c>
      <c r="C180">
        <v>84</v>
      </c>
      <c r="D180">
        <v>66</v>
      </c>
      <c r="E180">
        <v>52</v>
      </c>
      <c r="F180">
        <v>64</v>
      </c>
      <c r="G180">
        <v>42</v>
      </c>
      <c r="H180">
        <v>47</v>
      </c>
      <c r="I180">
        <v>62</v>
      </c>
      <c r="J180">
        <v>60</v>
      </c>
      <c r="K180">
        <v>94</v>
      </c>
      <c r="L180">
        <v>87</v>
      </c>
      <c r="M180">
        <v>72</v>
      </c>
      <c r="N180">
        <v>95</v>
      </c>
      <c r="O180" s="19">
        <f t="shared" si="34"/>
        <v>69</v>
      </c>
      <c r="P180" s="19">
        <f t="shared" si="35"/>
        <v>15.87</v>
      </c>
      <c r="R180" s="25">
        <f t="shared" si="32"/>
        <v>27</v>
      </c>
      <c r="S180">
        <f t="shared" si="33"/>
        <v>1.6428571428571428</v>
      </c>
      <c r="T180">
        <v>70</v>
      </c>
      <c r="U180">
        <v>68</v>
      </c>
    </row>
    <row r="181" spans="1:21" x14ac:dyDescent="0.25">
      <c r="A181" s="13">
        <v>26</v>
      </c>
      <c r="B181" s="21">
        <v>46006</v>
      </c>
      <c r="C181">
        <v>78</v>
      </c>
      <c r="D181">
        <v>62</v>
      </c>
      <c r="E181">
        <v>50</v>
      </c>
      <c r="F181">
        <v>54</v>
      </c>
      <c r="G181">
        <v>39</v>
      </c>
      <c r="H181">
        <v>43</v>
      </c>
      <c r="I181">
        <v>64</v>
      </c>
      <c r="J181">
        <v>54</v>
      </c>
      <c r="K181">
        <v>72</v>
      </c>
      <c r="L181">
        <v>68</v>
      </c>
      <c r="M181">
        <v>71</v>
      </c>
      <c r="N181">
        <v>74</v>
      </c>
      <c r="O181" s="19">
        <f t="shared" si="34"/>
        <v>60</v>
      </c>
      <c r="P181" s="19">
        <f t="shared" si="35"/>
        <v>11.4</v>
      </c>
      <c r="R181" s="25">
        <f t="shared" si="32"/>
        <v>34</v>
      </c>
      <c r="S181">
        <f t="shared" si="33"/>
        <v>2.3076923076923075</v>
      </c>
      <c r="T181">
        <v>60</v>
      </c>
      <c r="U181">
        <v>53</v>
      </c>
    </row>
    <row r="182" spans="1:21" x14ac:dyDescent="0.25">
      <c r="A182" s="13">
        <v>58</v>
      </c>
      <c r="B182" s="21">
        <v>46007</v>
      </c>
      <c r="C182">
        <v>77</v>
      </c>
      <c r="D182">
        <v>62</v>
      </c>
      <c r="E182">
        <v>54</v>
      </c>
      <c r="F182">
        <v>57</v>
      </c>
      <c r="G182">
        <v>38</v>
      </c>
      <c r="H182">
        <v>53</v>
      </c>
      <c r="I182">
        <v>70</v>
      </c>
      <c r="J182">
        <v>61</v>
      </c>
      <c r="K182">
        <v>67</v>
      </c>
      <c r="L182">
        <v>60</v>
      </c>
      <c r="M182">
        <v>65</v>
      </c>
      <c r="N182">
        <v>59</v>
      </c>
      <c r="O182" s="19">
        <f t="shared" si="34"/>
        <v>60</v>
      </c>
      <c r="P182" s="19">
        <f t="shared" si="35"/>
        <v>8.7100000000000009</v>
      </c>
      <c r="R182" s="25">
        <f t="shared" si="32"/>
        <v>2</v>
      </c>
      <c r="S182">
        <f t="shared" si="33"/>
        <v>1.0344827586206897</v>
      </c>
      <c r="T182">
        <v>60</v>
      </c>
      <c r="U182">
        <v>56</v>
      </c>
    </row>
    <row r="183" spans="1:21" x14ac:dyDescent="0.25">
      <c r="A183" s="13">
        <v>67</v>
      </c>
      <c r="B183" s="21">
        <v>46008</v>
      </c>
      <c r="C183">
        <v>82</v>
      </c>
      <c r="D183">
        <v>97</v>
      </c>
      <c r="E183">
        <v>74</v>
      </c>
      <c r="F183">
        <v>95</v>
      </c>
      <c r="G183">
        <v>58</v>
      </c>
      <c r="H183">
        <v>103</v>
      </c>
      <c r="I183">
        <v>107</v>
      </c>
      <c r="J183">
        <v>102</v>
      </c>
      <c r="K183">
        <v>102</v>
      </c>
      <c r="L183">
        <v>101</v>
      </c>
      <c r="M183">
        <v>105</v>
      </c>
      <c r="N183">
        <v>99</v>
      </c>
      <c r="O183" s="19">
        <f t="shared" si="34"/>
        <v>93</v>
      </c>
      <c r="P183" s="19">
        <f t="shared" si="35"/>
        <v>14.02</v>
      </c>
      <c r="R183" s="25">
        <f t="shared" si="32"/>
        <v>26</v>
      </c>
      <c r="S183">
        <f t="shared" si="33"/>
        <v>1.3880597014925373</v>
      </c>
      <c r="T183">
        <v>103</v>
      </c>
      <c r="U183">
        <v>78</v>
      </c>
    </row>
    <row r="184" spans="1:21" x14ac:dyDescent="0.25">
      <c r="A184" s="13">
        <v>81</v>
      </c>
      <c r="B184" s="21">
        <v>46009</v>
      </c>
      <c r="C184">
        <v>173</v>
      </c>
      <c r="D184">
        <v>126</v>
      </c>
      <c r="E184">
        <v>130</v>
      </c>
      <c r="F184">
        <v>131</v>
      </c>
      <c r="G184">
        <v>90</v>
      </c>
      <c r="H184">
        <v>131</v>
      </c>
      <c r="I184">
        <v>165</v>
      </c>
      <c r="J184">
        <v>124</v>
      </c>
      <c r="K184">
        <v>148</v>
      </c>
      <c r="L184">
        <v>143</v>
      </c>
      <c r="M184">
        <v>162</v>
      </c>
      <c r="N184">
        <v>142</v>
      </c>
      <c r="O184" s="19">
        <f t="shared" si="34"/>
        <v>138</v>
      </c>
      <c r="P184" s="19">
        <f t="shared" si="35"/>
        <v>19.899999999999999</v>
      </c>
      <c r="R184" s="25">
        <f t="shared" si="32"/>
        <v>57</v>
      </c>
      <c r="S184">
        <f t="shared" si="33"/>
        <v>1.7037037037037037</v>
      </c>
      <c r="T184">
        <v>130</v>
      </c>
      <c r="U184">
        <v>136</v>
      </c>
    </row>
    <row r="185" spans="1:21" x14ac:dyDescent="0.25">
      <c r="A185" s="13">
        <v>176</v>
      </c>
      <c r="B185" s="21">
        <v>46010</v>
      </c>
      <c r="C185">
        <v>215</v>
      </c>
      <c r="D185">
        <v>172</v>
      </c>
      <c r="E185">
        <v>168</v>
      </c>
      <c r="F185">
        <v>173</v>
      </c>
      <c r="G185">
        <v>122</v>
      </c>
      <c r="H185">
        <v>164</v>
      </c>
      <c r="I185">
        <v>189</v>
      </c>
      <c r="J185">
        <v>173</v>
      </c>
      <c r="K185">
        <v>191</v>
      </c>
      <c r="L185">
        <v>209</v>
      </c>
      <c r="M185">
        <v>197</v>
      </c>
      <c r="N185">
        <v>205</v>
      </c>
      <c r="O185" s="19">
        <f t="shared" si="34"/>
        <v>184</v>
      </c>
      <c r="P185" s="19">
        <f t="shared" si="35"/>
        <v>24.58</v>
      </c>
      <c r="R185" s="25">
        <f t="shared" ref="R185:R203" si="36">O185-A185</f>
        <v>8</v>
      </c>
      <c r="S185">
        <f t="shared" ref="S185:S203" si="37">O185/A185</f>
        <v>1.0454545454545454</v>
      </c>
      <c r="T185">
        <v>175</v>
      </c>
      <c r="U185">
        <v>219</v>
      </c>
    </row>
    <row r="186" spans="1:21" x14ac:dyDescent="0.25">
      <c r="A186" s="13">
        <v>152</v>
      </c>
      <c r="B186" s="21">
        <v>46011</v>
      </c>
      <c r="C186">
        <v>189</v>
      </c>
      <c r="D186">
        <v>180</v>
      </c>
      <c r="E186">
        <v>174</v>
      </c>
      <c r="F186">
        <v>182</v>
      </c>
      <c r="G186">
        <v>132</v>
      </c>
      <c r="H186">
        <v>174</v>
      </c>
      <c r="I186">
        <v>170</v>
      </c>
      <c r="J186">
        <v>181</v>
      </c>
      <c r="K186">
        <v>155</v>
      </c>
      <c r="L186">
        <v>187</v>
      </c>
      <c r="M186">
        <v>186</v>
      </c>
      <c r="N186">
        <v>183</v>
      </c>
      <c r="O186" s="19">
        <f t="shared" si="34"/>
        <v>177</v>
      </c>
      <c r="P186" s="19">
        <f t="shared" si="35"/>
        <v>15.36</v>
      </c>
      <c r="R186" s="25">
        <f t="shared" si="36"/>
        <v>25</v>
      </c>
      <c r="S186">
        <f t="shared" si="37"/>
        <v>1.1644736842105263</v>
      </c>
      <c r="T186">
        <v>188</v>
      </c>
      <c r="U186">
        <v>191</v>
      </c>
    </row>
    <row r="187" spans="1:21" x14ac:dyDescent="0.25">
      <c r="A187" s="13">
        <v>69</v>
      </c>
      <c r="B187" s="21">
        <v>46012</v>
      </c>
      <c r="C187">
        <v>108</v>
      </c>
      <c r="D187">
        <v>142</v>
      </c>
      <c r="E187">
        <v>95</v>
      </c>
      <c r="F187">
        <v>99</v>
      </c>
      <c r="G187">
        <v>84</v>
      </c>
      <c r="H187">
        <v>81</v>
      </c>
      <c r="I187">
        <v>97</v>
      </c>
      <c r="J187">
        <v>113</v>
      </c>
      <c r="K187">
        <v>136</v>
      </c>
      <c r="L187">
        <v>124</v>
      </c>
      <c r="M187">
        <v>121</v>
      </c>
      <c r="N187">
        <v>131</v>
      </c>
      <c r="O187" s="19">
        <f t="shared" si="34"/>
        <v>112</v>
      </c>
      <c r="P187" s="19">
        <f t="shared" si="35"/>
        <v>18.11</v>
      </c>
      <c r="R187" s="25">
        <f t="shared" si="36"/>
        <v>43</v>
      </c>
      <c r="S187">
        <f t="shared" si="37"/>
        <v>1.6231884057971016</v>
      </c>
      <c r="T187">
        <v>110</v>
      </c>
      <c r="U187">
        <v>121</v>
      </c>
    </row>
    <row r="188" spans="1:21" x14ac:dyDescent="0.25">
      <c r="A188" s="13">
        <v>94</v>
      </c>
      <c r="B188" s="21">
        <v>46013</v>
      </c>
      <c r="C188">
        <v>148</v>
      </c>
      <c r="D188">
        <v>99</v>
      </c>
      <c r="E188">
        <v>72</v>
      </c>
      <c r="F188">
        <v>91</v>
      </c>
      <c r="G188">
        <v>69</v>
      </c>
      <c r="H188">
        <v>79</v>
      </c>
      <c r="I188">
        <v>84</v>
      </c>
      <c r="J188">
        <v>91</v>
      </c>
      <c r="K188">
        <v>75</v>
      </c>
      <c r="L188">
        <v>96</v>
      </c>
      <c r="M188">
        <v>90</v>
      </c>
      <c r="N188">
        <v>84</v>
      </c>
      <c r="O188" s="19">
        <f t="shared" si="34"/>
        <v>90</v>
      </c>
      <c r="P188" s="19">
        <f t="shared" si="35"/>
        <v>18.28</v>
      </c>
      <c r="R188" s="25">
        <f t="shared" si="36"/>
        <v>-4</v>
      </c>
      <c r="S188">
        <f t="shared" si="37"/>
        <v>0.95744680851063835</v>
      </c>
      <c r="T188">
        <v>88</v>
      </c>
      <c r="U188">
        <v>93</v>
      </c>
    </row>
    <row r="189" spans="1:21" x14ac:dyDescent="0.25">
      <c r="A189" s="13">
        <v>76</v>
      </c>
      <c r="B189" s="21">
        <v>46014</v>
      </c>
      <c r="C189">
        <v>116</v>
      </c>
      <c r="D189">
        <v>93</v>
      </c>
      <c r="E189">
        <v>75</v>
      </c>
      <c r="F189">
        <v>75</v>
      </c>
      <c r="G189">
        <v>56</v>
      </c>
      <c r="H189">
        <v>69</v>
      </c>
      <c r="I189">
        <v>64</v>
      </c>
      <c r="J189">
        <v>96</v>
      </c>
      <c r="K189">
        <v>120</v>
      </c>
      <c r="L189">
        <v>89</v>
      </c>
      <c r="M189">
        <v>90</v>
      </c>
      <c r="N189">
        <v>100</v>
      </c>
      <c r="O189" s="19">
        <f t="shared" si="34"/>
        <v>87</v>
      </c>
      <c r="P189" s="19">
        <f t="shared" si="35"/>
        <v>17.850000000000001</v>
      </c>
      <c r="R189" s="25">
        <f t="shared" si="36"/>
        <v>11</v>
      </c>
      <c r="S189">
        <f t="shared" si="37"/>
        <v>1.1447368421052631</v>
      </c>
      <c r="T189">
        <v>94</v>
      </c>
      <c r="U189">
        <v>78</v>
      </c>
    </row>
    <row r="190" spans="1:21" x14ac:dyDescent="0.25">
      <c r="A190" s="13">
        <v>137</v>
      </c>
      <c r="B190" s="21">
        <v>46015</v>
      </c>
      <c r="C190">
        <v>111</v>
      </c>
      <c r="D190">
        <v>152</v>
      </c>
      <c r="E190">
        <v>74</v>
      </c>
      <c r="F190">
        <v>102</v>
      </c>
      <c r="G190">
        <v>52</v>
      </c>
      <c r="H190">
        <v>67</v>
      </c>
      <c r="I190">
        <v>93</v>
      </c>
      <c r="J190">
        <v>109</v>
      </c>
      <c r="K190">
        <v>112</v>
      </c>
      <c r="L190">
        <v>162</v>
      </c>
      <c r="M190">
        <v>135</v>
      </c>
      <c r="N190">
        <v>138</v>
      </c>
      <c r="O190" s="19">
        <f t="shared" si="34"/>
        <v>110</v>
      </c>
      <c r="P190" s="19">
        <f t="shared" si="35"/>
        <v>30.53</v>
      </c>
      <c r="R190" s="25">
        <f t="shared" si="36"/>
        <v>-27</v>
      </c>
      <c r="S190">
        <f t="shared" si="37"/>
        <v>0.8029197080291971</v>
      </c>
      <c r="T190">
        <v>125</v>
      </c>
      <c r="U190">
        <v>101</v>
      </c>
    </row>
    <row r="191" spans="1:21" x14ac:dyDescent="0.25">
      <c r="A191" s="13">
        <v>0</v>
      </c>
      <c r="B191" s="21">
        <v>46016</v>
      </c>
      <c r="C191">
        <v>35</v>
      </c>
      <c r="D191">
        <v>20</v>
      </c>
      <c r="E191">
        <v>43</v>
      </c>
      <c r="F191">
        <v>54</v>
      </c>
      <c r="G191">
        <v>43</v>
      </c>
      <c r="H191">
        <v>70</v>
      </c>
      <c r="I191">
        <v>54</v>
      </c>
      <c r="J191">
        <v>53</v>
      </c>
      <c r="K191">
        <v>56</v>
      </c>
      <c r="L191">
        <v>14</v>
      </c>
      <c r="M191">
        <v>23</v>
      </c>
      <c r="N191">
        <v>14</v>
      </c>
      <c r="O191" s="19">
        <f t="shared" si="34"/>
        <v>40</v>
      </c>
      <c r="P191" s="19">
        <f t="shared" si="35"/>
        <v>16.52</v>
      </c>
      <c r="R191" s="25">
        <f t="shared" si="36"/>
        <v>40</v>
      </c>
      <c r="S191">
        <f>O191/(A191+1)</f>
        <v>40</v>
      </c>
      <c r="T191">
        <v>44</v>
      </c>
      <c r="U191">
        <v>42</v>
      </c>
    </row>
    <row r="192" spans="1:21" x14ac:dyDescent="0.25">
      <c r="A192" s="13">
        <v>138</v>
      </c>
      <c r="B192" s="21">
        <v>46017</v>
      </c>
      <c r="C192">
        <v>89</v>
      </c>
      <c r="D192">
        <v>76</v>
      </c>
      <c r="E192">
        <v>131</v>
      </c>
      <c r="F192">
        <v>111</v>
      </c>
      <c r="G192">
        <v>84</v>
      </c>
      <c r="H192">
        <v>114</v>
      </c>
      <c r="I192">
        <v>141</v>
      </c>
      <c r="J192">
        <v>116</v>
      </c>
      <c r="K192">
        <v>97</v>
      </c>
      <c r="L192">
        <v>87</v>
      </c>
      <c r="M192">
        <v>100</v>
      </c>
      <c r="N192">
        <v>80</v>
      </c>
      <c r="O192" s="19">
        <f t="shared" si="34"/>
        <v>103</v>
      </c>
      <c r="P192" s="19">
        <f t="shared" si="35"/>
        <v>18.43</v>
      </c>
      <c r="R192" s="25">
        <f t="shared" si="36"/>
        <v>-35</v>
      </c>
      <c r="S192">
        <f t="shared" si="37"/>
        <v>0.74637681159420288</v>
      </c>
      <c r="T192">
        <v>106</v>
      </c>
      <c r="U192">
        <v>110</v>
      </c>
    </row>
    <row r="193" spans="1:21" x14ac:dyDescent="0.25">
      <c r="A193" s="13">
        <v>152</v>
      </c>
      <c r="B193" s="21">
        <v>46018</v>
      </c>
      <c r="C193">
        <v>199</v>
      </c>
      <c r="D193">
        <v>192</v>
      </c>
      <c r="E193">
        <v>203</v>
      </c>
      <c r="F193">
        <v>189</v>
      </c>
      <c r="G193">
        <v>120</v>
      </c>
      <c r="H193">
        <v>177</v>
      </c>
      <c r="I193">
        <v>217</v>
      </c>
      <c r="J193">
        <v>197</v>
      </c>
      <c r="K193">
        <v>235</v>
      </c>
      <c r="L193">
        <v>200</v>
      </c>
      <c r="M193">
        <v>212</v>
      </c>
      <c r="N193">
        <v>195</v>
      </c>
      <c r="O193" s="19">
        <f t="shared" si="34"/>
        <v>196</v>
      </c>
      <c r="P193" s="19">
        <f t="shared" si="35"/>
        <v>24.74</v>
      </c>
      <c r="R193" s="25">
        <f t="shared" si="36"/>
        <v>44</v>
      </c>
      <c r="S193">
        <f t="shared" si="37"/>
        <v>1.2894736842105263</v>
      </c>
      <c r="T193">
        <v>199</v>
      </c>
      <c r="U193">
        <v>204</v>
      </c>
    </row>
    <row r="194" spans="1:21" x14ac:dyDescent="0.25">
      <c r="A194" s="13">
        <v>78</v>
      </c>
      <c r="B194" s="21">
        <v>46019</v>
      </c>
      <c r="C194">
        <v>64</v>
      </c>
      <c r="D194">
        <v>75</v>
      </c>
      <c r="E194">
        <v>64</v>
      </c>
      <c r="F194">
        <v>72</v>
      </c>
      <c r="G194">
        <v>56</v>
      </c>
      <c r="H194">
        <v>77</v>
      </c>
      <c r="I194">
        <v>76</v>
      </c>
      <c r="J194">
        <v>76</v>
      </c>
      <c r="K194">
        <v>65</v>
      </c>
      <c r="L194">
        <v>66</v>
      </c>
      <c r="M194">
        <v>71</v>
      </c>
      <c r="N194">
        <v>70</v>
      </c>
      <c r="O194" s="19">
        <f t="shared" si="34"/>
        <v>69</v>
      </c>
      <c r="P194" s="19">
        <f t="shared" si="35"/>
        <v>5.77</v>
      </c>
      <c r="R194" s="25">
        <f t="shared" si="36"/>
        <v>-9</v>
      </c>
      <c r="S194">
        <f t="shared" si="37"/>
        <v>0.88461538461538458</v>
      </c>
      <c r="T194">
        <v>70</v>
      </c>
      <c r="U194">
        <v>66</v>
      </c>
    </row>
    <row r="195" spans="1:21" x14ac:dyDescent="0.25">
      <c r="A195" s="13">
        <v>49</v>
      </c>
      <c r="B195" s="21">
        <v>46020</v>
      </c>
      <c r="C195">
        <v>135</v>
      </c>
      <c r="D195">
        <v>113</v>
      </c>
      <c r="E195">
        <v>89</v>
      </c>
      <c r="F195">
        <v>84</v>
      </c>
      <c r="G195">
        <v>75</v>
      </c>
      <c r="H195">
        <v>78</v>
      </c>
      <c r="I195">
        <v>76</v>
      </c>
      <c r="J195">
        <v>95</v>
      </c>
      <c r="K195">
        <v>121</v>
      </c>
      <c r="L195">
        <v>103</v>
      </c>
      <c r="M195">
        <v>112</v>
      </c>
      <c r="N195">
        <v>105</v>
      </c>
      <c r="O195" s="19">
        <f t="shared" si="34"/>
        <v>99</v>
      </c>
      <c r="P195" s="19">
        <f t="shared" si="35"/>
        <v>17.3</v>
      </c>
      <c r="R195" s="25">
        <f t="shared" si="36"/>
        <v>50</v>
      </c>
      <c r="S195">
        <f t="shared" si="37"/>
        <v>2.0204081632653059</v>
      </c>
      <c r="T195">
        <v>94</v>
      </c>
      <c r="U195">
        <v>108</v>
      </c>
    </row>
    <row r="196" spans="1:21" x14ac:dyDescent="0.25">
      <c r="A196" s="13">
        <v>70</v>
      </c>
      <c r="B196" s="21">
        <v>46021</v>
      </c>
      <c r="C196">
        <v>76</v>
      </c>
      <c r="D196">
        <v>81</v>
      </c>
      <c r="E196">
        <v>60</v>
      </c>
      <c r="F196">
        <v>78</v>
      </c>
      <c r="G196">
        <v>54</v>
      </c>
      <c r="H196">
        <v>90</v>
      </c>
      <c r="I196">
        <v>85</v>
      </c>
      <c r="J196">
        <v>90</v>
      </c>
      <c r="K196">
        <v>83</v>
      </c>
      <c r="L196">
        <v>87</v>
      </c>
      <c r="M196">
        <v>77</v>
      </c>
      <c r="N196">
        <v>86</v>
      </c>
      <c r="O196" s="19">
        <f t="shared" si="34"/>
        <v>79</v>
      </c>
      <c r="P196" s="19">
        <f t="shared" si="35"/>
        <v>10.51</v>
      </c>
      <c r="R196" s="25">
        <f t="shared" si="36"/>
        <v>9</v>
      </c>
      <c r="S196">
        <f t="shared" si="37"/>
        <v>1.1285714285714286</v>
      </c>
      <c r="T196">
        <v>89</v>
      </c>
      <c r="U196">
        <v>73</v>
      </c>
    </row>
    <row r="197" spans="1:21" x14ac:dyDescent="0.25">
      <c r="A197" s="13">
        <v>199</v>
      </c>
      <c r="B197" s="21">
        <v>46022</v>
      </c>
      <c r="C197" s="44">
        <v>122</v>
      </c>
      <c r="D197" s="45">
        <v>190</v>
      </c>
      <c r="E197" s="45">
        <v>90</v>
      </c>
      <c r="F197" s="45">
        <v>128</v>
      </c>
      <c r="G197" s="45">
        <v>56</v>
      </c>
      <c r="H197" s="45">
        <v>66</v>
      </c>
      <c r="I197" s="45">
        <v>102</v>
      </c>
      <c r="J197" s="45">
        <v>134</v>
      </c>
      <c r="K197" s="44">
        <v>164</v>
      </c>
      <c r="L197" s="45">
        <v>208</v>
      </c>
      <c r="M197" s="45">
        <v>187</v>
      </c>
      <c r="N197" s="46">
        <v>181</v>
      </c>
      <c r="O197" s="19">
        <f t="shared" si="34"/>
        <v>135</v>
      </c>
      <c r="P197" s="19">
        <f t="shared" si="35"/>
        <v>46.08</v>
      </c>
      <c r="R197" s="25">
        <f>O197-A197</f>
        <v>-64</v>
      </c>
      <c r="S197">
        <f t="shared" si="37"/>
        <v>0.67839195979899503</v>
      </c>
      <c r="T197">
        <v>154</v>
      </c>
      <c r="U197">
        <v>103</v>
      </c>
    </row>
    <row r="198" spans="1:21" x14ac:dyDescent="0.25">
      <c r="A198" s="13">
        <v>0</v>
      </c>
      <c r="B198" s="21">
        <v>46023</v>
      </c>
      <c r="C198">
        <v>66</v>
      </c>
      <c r="D198">
        <v>56</v>
      </c>
      <c r="E198">
        <v>58</v>
      </c>
      <c r="F198">
        <v>52</v>
      </c>
      <c r="G198">
        <v>65</v>
      </c>
      <c r="H198">
        <v>57</v>
      </c>
      <c r="I198">
        <v>74</v>
      </c>
      <c r="J198">
        <v>60</v>
      </c>
      <c r="K198">
        <v>66</v>
      </c>
      <c r="L198">
        <v>68</v>
      </c>
      <c r="M198">
        <v>73</v>
      </c>
      <c r="N198">
        <v>66</v>
      </c>
      <c r="O198" s="19">
        <f t="shared" ref="O198:O261" si="38">ROUND(AVERAGE(C198:N198,T198:U198),0)</f>
        <v>62</v>
      </c>
      <c r="P198" s="19">
        <f t="shared" ref="P198:P261" si="39">ROUND(_xlfn.STDEV.P(C198:N198,T198:U198),2)</f>
        <v>6.66</v>
      </c>
      <c r="R198" s="25">
        <f t="shared" si="36"/>
        <v>62</v>
      </c>
      <c r="S198">
        <f>O198/(A198+1)</f>
        <v>62</v>
      </c>
      <c r="T198">
        <v>53</v>
      </c>
      <c r="U198">
        <v>60</v>
      </c>
    </row>
    <row r="199" spans="1:21" x14ac:dyDescent="0.25">
      <c r="A199" s="13">
        <v>113</v>
      </c>
      <c r="B199" s="21">
        <v>46024</v>
      </c>
      <c r="C199">
        <v>118</v>
      </c>
      <c r="D199">
        <v>126</v>
      </c>
      <c r="E199">
        <v>90</v>
      </c>
      <c r="F199">
        <v>97</v>
      </c>
      <c r="G199">
        <v>89</v>
      </c>
      <c r="H199">
        <v>86</v>
      </c>
      <c r="I199">
        <v>105</v>
      </c>
      <c r="J199">
        <v>102</v>
      </c>
      <c r="K199">
        <v>151</v>
      </c>
      <c r="L199">
        <v>116</v>
      </c>
      <c r="M199">
        <v>136</v>
      </c>
      <c r="N199">
        <v>111</v>
      </c>
      <c r="O199" s="19">
        <f t="shared" si="38"/>
        <v>110</v>
      </c>
      <c r="P199" s="19">
        <f t="shared" si="39"/>
        <v>17.760000000000002</v>
      </c>
      <c r="R199" s="25">
        <f t="shared" si="36"/>
        <v>-3</v>
      </c>
      <c r="S199">
        <f t="shared" si="37"/>
        <v>0.97345132743362828</v>
      </c>
      <c r="T199">
        <v>110</v>
      </c>
      <c r="U199">
        <v>105</v>
      </c>
    </row>
    <row r="200" spans="1:21" x14ac:dyDescent="0.25">
      <c r="A200" s="13">
        <v>110</v>
      </c>
      <c r="B200" s="21">
        <v>46025</v>
      </c>
      <c r="C200">
        <v>164</v>
      </c>
      <c r="D200">
        <v>163</v>
      </c>
      <c r="E200">
        <v>134</v>
      </c>
      <c r="F200">
        <v>135</v>
      </c>
      <c r="G200">
        <v>123</v>
      </c>
      <c r="H200">
        <v>118</v>
      </c>
      <c r="I200">
        <v>137</v>
      </c>
      <c r="J200">
        <v>140</v>
      </c>
      <c r="K200">
        <v>185</v>
      </c>
      <c r="L200">
        <v>157</v>
      </c>
      <c r="M200">
        <v>188</v>
      </c>
      <c r="N200">
        <v>159</v>
      </c>
      <c r="O200" s="19">
        <f t="shared" si="38"/>
        <v>149</v>
      </c>
      <c r="P200" s="19">
        <f t="shared" si="39"/>
        <v>20.39</v>
      </c>
      <c r="R200" s="25">
        <f t="shared" si="36"/>
        <v>39</v>
      </c>
      <c r="S200">
        <f t="shared" si="37"/>
        <v>1.3545454545454545</v>
      </c>
      <c r="T200">
        <v>143</v>
      </c>
      <c r="U200">
        <v>139</v>
      </c>
    </row>
    <row r="201" spans="1:21" x14ac:dyDescent="0.25">
      <c r="A201" s="13">
        <v>41</v>
      </c>
      <c r="B201" s="21">
        <v>46026</v>
      </c>
      <c r="C201">
        <v>36</v>
      </c>
      <c r="D201">
        <v>39</v>
      </c>
      <c r="E201">
        <v>53</v>
      </c>
      <c r="F201">
        <v>48</v>
      </c>
      <c r="G201">
        <v>48</v>
      </c>
      <c r="H201">
        <v>53</v>
      </c>
      <c r="I201">
        <v>48</v>
      </c>
      <c r="J201">
        <v>44</v>
      </c>
      <c r="K201">
        <v>35</v>
      </c>
      <c r="L201">
        <v>39</v>
      </c>
      <c r="M201">
        <v>38</v>
      </c>
      <c r="N201">
        <v>41</v>
      </c>
      <c r="O201" s="19">
        <f t="shared" si="38"/>
        <v>43</v>
      </c>
      <c r="P201" s="19">
        <f t="shared" si="39"/>
        <v>5.69</v>
      </c>
      <c r="R201" s="25">
        <f t="shared" si="36"/>
        <v>2</v>
      </c>
      <c r="S201">
        <f t="shared" si="37"/>
        <v>1.0487804878048781</v>
      </c>
      <c r="T201">
        <v>43</v>
      </c>
      <c r="U201">
        <v>41</v>
      </c>
    </row>
    <row r="202" spans="1:21" x14ac:dyDescent="0.25">
      <c r="A202" s="13">
        <v>13</v>
      </c>
      <c r="B202" s="21">
        <v>46027</v>
      </c>
      <c r="C202">
        <v>39</v>
      </c>
      <c r="D202">
        <v>39</v>
      </c>
      <c r="E202">
        <v>49</v>
      </c>
      <c r="F202">
        <v>43</v>
      </c>
      <c r="G202">
        <v>44</v>
      </c>
      <c r="H202">
        <v>50</v>
      </c>
      <c r="I202">
        <v>46</v>
      </c>
      <c r="J202">
        <v>41</v>
      </c>
      <c r="K202">
        <v>32</v>
      </c>
      <c r="L202">
        <v>38</v>
      </c>
      <c r="M202">
        <v>29</v>
      </c>
      <c r="N202">
        <v>34</v>
      </c>
      <c r="O202" s="19">
        <f t="shared" si="38"/>
        <v>40</v>
      </c>
      <c r="P202" s="19">
        <f t="shared" si="39"/>
        <v>5.9</v>
      </c>
      <c r="R202" s="25">
        <f t="shared" si="36"/>
        <v>27</v>
      </c>
      <c r="S202">
        <f t="shared" si="37"/>
        <v>3.0769230769230771</v>
      </c>
      <c r="T202">
        <v>43</v>
      </c>
      <c r="U202">
        <v>37</v>
      </c>
    </row>
    <row r="203" spans="1:21" x14ac:dyDescent="0.25">
      <c r="A203" s="13">
        <v>18</v>
      </c>
      <c r="B203" s="21">
        <v>46028</v>
      </c>
      <c r="C203">
        <v>40</v>
      </c>
      <c r="D203">
        <v>41</v>
      </c>
      <c r="E203">
        <v>55</v>
      </c>
      <c r="F203">
        <v>43</v>
      </c>
      <c r="G203">
        <v>44</v>
      </c>
      <c r="H203">
        <v>53</v>
      </c>
      <c r="I203">
        <v>52</v>
      </c>
      <c r="J203">
        <v>42</v>
      </c>
      <c r="K203">
        <v>33</v>
      </c>
      <c r="L203">
        <v>37</v>
      </c>
      <c r="M203">
        <v>27</v>
      </c>
      <c r="N203">
        <v>39</v>
      </c>
      <c r="O203" s="19">
        <f t="shared" si="38"/>
        <v>42</v>
      </c>
      <c r="P203" s="19">
        <f t="shared" si="39"/>
        <v>7.33</v>
      </c>
      <c r="R203" s="25">
        <f t="shared" si="36"/>
        <v>24</v>
      </c>
      <c r="S203">
        <f t="shared" si="37"/>
        <v>2.3333333333333335</v>
      </c>
      <c r="T203">
        <v>45</v>
      </c>
      <c r="U203">
        <v>40</v>
      </c>
    </row>
    <row r="204" spans="1:21" x14ac:dyDescent="0.25">
      <c r="A204" s="13">
        <v>28</v>
      </c>
      <c r="B204" s="21">
        <v>46029</v>
      </c>
      <c r="C204">
        <v>39</v>
      </c>
      <c r="D204">
        <v>31</v>
      </c>
      <c r="E204">
        <v>49</v>
      </c>
      <c r="F204">
        <v>42</v>
      </c>
      <c r="G204">
        <v>53</v>
      </c>
      <c r="H204">
        <v>53</v>
      </c>
      <c r="I204">
        <v>52</v>
      </c>
      <c r="J204">
        <v>41</v>
      </c>
      <c r="K204">
        <v>47</v>
      </c>
      <c r="L204">
        <v>36</v>
      </c>
      <c r="M204">
        <v>54</v>
      </c>
      <c r="N204">
        <v>38</v>
      </c>
      <c r="O204" s="19">
        <f t="shared" si="38"/>
        <v>45</v>
      </c>
      <c r="P204" s="19">
        <f t="shared" si="39"/>
        <v>7.01</v>
      </c>
      <c r="R204" s="25">
        <f t="shared" ref="R204:R213" si="40">O204-A204</f>
        <v>17</v>
      </c>
      <c r="S204">
        <f t="shared" ref="S204:S207" si="41">O204/A204</f>
        <v>1.6071428571428572</v>
      </c>
      <c r="T204">
        <v>49</v>
      </c>
      <c r="U204">
        <v>42</v>
      </c>
    </row>
    <row r="205" spans="1:21" x14ac:dyDescent="0.25">
      <c r="A205" s="13">
        <v>46</v>
      </c>
      <c r="B205" s="21">
        <v>46030</v>
      </c>
      <c r="C205">
        <v>98</v>
      </c>
      <c r="D205">
        <v>90</v>
      </c>
      <c r="E205">
        <v>98</v>
      </c>
      <c r="F205">
        <v>80</v>
      </c>
      <c r="G205">
        <v>80</v>
      </c>
      <c r="H205">
        <v>80</v>
      </c>
      <c r="I205">
        <v>85</v>
      </c>
      <c r="J205">
        <v>77</v>
      </c>
      <c r="K205">
        <v>131</v>
      </c>
      <c r="L205">
        <v>88</v>
      </c>
      <c r="M205">
        <v>129</v>
      </c>
      <c r="N205">
        <v>87</v>
      </c>
      <c r="O205" s="19">
        <f t="shared" si="38"/>
        <v>93</v>
      </c>
      <c r="P205" s="19">
        <f t="shared" si="39"/>
        <v>16.28</v>
      </c>
      <c r="R205" s="25">
        <f t="shared" si="40"/>
        <v>47</v>
      </c>
      <c r="S205">
        <f t="shared" si="41"/>
        <v>2.0217391304347827</v>
      </c>
      <c r="T205">
        <v>89</v>
      </c>
      <c r="U205">
        <v>90</v>
      </c>
    </row>
    <row r="206" spans="1:21" x14ac:dyDescent="0.25">
      <c r="A206" s="13">
        <v>113</v>
      </c>
      <c r="B206" s="21">
        <v>46031</v>
      </c>
      <c r="C206">
        <v>118</v>
      </c>
      <c r="D206">
        <v>137</v>
      </c>
      <c r="E206">
        <v>98</v>
      </c>
      <c r="F206">
        <v>98</v>
      </c>
      <c r="G206">
        <v>106</v>
      </c>
      <c r="H206">
        <v>91</v>
      </c>
      <c r="I206">
        <v>104</v>
      </c>
      <c r="J206">
        <v>104</v>
      </c>
      <c r="K206">
        <v>131</v>
      </c>
      <c r="L206">
        <v>110</v>
      </c>
      <c r="M206">
        <v>127</v>
      </c>
      <c r="N206">
        <v>112</v>
      </c>
      <c r="O206" s="19">
        <f t="shared" si="38"/>
        <v>111</v>
      </c>
      <c r="P206" s="19">
        <f t="shared" si="39"/>
        <v>12.74</v>
      </c>
      <c r="R206" s="25">
        <f t="shared" si="40"/>
        <v>-2</v>
      </c>
      <c r="S206">
        <f t="shared" si="41"/>
        <v>0.98230088495575218</v>
      </c>
      <c r="T206">
        <v>113</v>
      </c>
      <c r="U206">
        <v>106</v>
      </c>
    </row>
    <row r="207" spans="1:21" x14ac:dyDescent="0.25">
      <c r="A207" s="13">
        <v>66</v>
      </c>
      <c r="B207" s="21">
        <v>46032</v>
      </c>
      <c r="C207">
        <v>139</v>
      </c>
      <c r="D207">
        <v>132</v>
      </c>
      <c r="E207">
        <v>135</v>
      </c>
      <c r="F207">
        <v>117</v>
      </c>
      <c r="G207">
        <v>128</v>
      </c>
      <c r="H207">
        <v>111</v>
      </c>
      <c r="I207">
        <v>133</v>
      </c>
      <c r="J207">
        <v>119</v>
      </c>
      <c r="K207">
        <v>134</v>
      </c>
      <c r="L207">
        <v>141</v>
      </c>
      <c r="M207">
        <v>116</v>
      </c>
      <c r="N207">
        <v>139</v>
      </c>
      <c r="O207" s="19">
        <f t="shared" si="38"/>
        <v>128</v>
      </c>
      <c r="P207" s="19">
        <f t="shared" si="39"/>
        <v>9.32</v>
      </c>
      <c r="R207" s="25">
        <f t="shared" si="40"/>
        <v>62</v>
      </c>
      <c r="S207">
        <f t="shared" si="41"/>
        <v>1.9393939393939394</v>
      </c>
      <c r="T207">
        <v>125</v>
      </c>
      <c r="U207">
        <v>122</v>
      </c>
    </row>
    <row r="208" spans="1:21" x14ac:dyDescent="0.25">
      <c r="A208" s="13">
        <v>50</v>
      </c>
      <c r="B208" s="21">
        <v>46033</v>
      </c>
      <c r="C208">
        <v>42</v>
      </c>
      <c r="D208">
        <v>40</v>
      </c>
      <c r="E208">
        <v>53</v>
      </c>
      <c r="F208">
        <v>46</v>
      </c>
      <c r="G208">
        <v>51</v>
      </c>
      <c r="H208">
        <v>52</v>
      </c>
      <c r="I208">
        <v>52</v>
      </c>
      <c r="J208">
        <v>47</v>
      </c>
      <c r="K208">
        <v>58</v>
      </c>
      <c r="L208">
        <v>44</v>
      </c>
      <c r="M208">
        <v>68</v>
      </c>
      <c r="N208">
        <v>44</v>
      </c>
      <c r="O208" s="19">
        <f t="shared" si="38"/>
        <v>49</v>
      </c>
      <c r="P208" s="19">
        <f t="shared" si="39"/>
        <v>7.08</v>
      </c>
      <c r="R208" s="25">
        <f t="shared" si="40"/>
        <v>-1</v>
      </c>
      <c r="S208">
        <f t="shared" ref="S208:S213" si="42">O208/A208</f>
        <v>0.98</v>
      </c>
      <c r="T208">
        <v>47</v>
      </c>
      <c r="U208">
        <v>44</v>
      </c>
    </row>
    <row r="209" spans="1:21" x14ac:dyDescent="0.25">
      <c r="A209" s="13">
        <v>20</v>
      </c>
      <c r="B209" s="21">
        <v>46034</v>
      </c>
      <c r="C209">
        <v>38</v>
      </c>
      <c r="D209">
        <v>40</v>
      </c>
      <c r="E209">
        <v>48</v>
      </c>
      <c r="F209">
        <v>44</v>
      </c>
      <c r="G209">
        <v>46</v>
      </c>
      <c r="H209">
        <v>44</v>
      </c>
      <c r="I209">
        <v>50</v>
      </c>
      <c r="J209">
        <v>39</v>
      </c>
      <c r="K209">
        <v>34</v>
      </c>
      <c r="L209">
        <v>39</v>
      </c>
      <c r="M209">
        <v>24</v>
      </c>
      <c r="N209">
        <v>38</v>
      </c>
      <c r="O209" s="19">
        <f t="shared" si="38"/>
        <v>40</v>
      </c>
      <c r="P209" s="19">
        <f t="shared" si="39"/>
        <v>6.17</v>
      </c>
      <c r="R209" s="25">
        <f t="shared" si="40"/>
        <v>20</v>
      </c>
      <c r="S209">
        <f t="shared" si="42"/>
        <v>2</v>
      </c>
      <c r="T209">
        <v>41</v>
      </c>
      <c r="U209">
        <v>40</v>
      </c>
    </row>
    <row r="210" spans="1:21" x14ac:dyDescent="0.25">
      <c r="A210" s="13">
        <v>20</v>
      </c>
      <c r="B210" s="21">
        <v>46035</v>
      </c>
      <c r="C210">
        <v>43</v>
      </c>
      <c r="D210">
        <v>43</v>
      </c>
      <c r="E210">
        <v>51</v>
      </c>
      <c r="F210">
        <v>42</v>
      </c>
      <c r="G210">
        <v>43</v>
      </c>
      <c r="H210">
        <v>45</v>
      </c>
      <c r="I210">
        <v>53</v>
      </c>
      <c r="J210">
        <v>40</v>
      </c>
      <c r="K210">
        <v>41</v>
      </c>
      <c r="L210">
        <v>44</v>
      </c>
      <c r="M210">
        <v>37</v>
      </c>
      <c r="N210">
        <v>42</v>
      </c>
      <c r="O210" s="19">
        <f t="shared" si="38"/>
        <v>44</v>
      </c>
      <c r="P210" s="19">
        <f t="shared" si="39"/>
        <v>4.28</v>
      </c>
      <c r="R210" s="25">
        <f t="shared" si="40"/>
        <v>24</v>
      </c>
      <c r="S210">
        <f t="shared" si="42"/>
        <v>2.2000000000000002</v>
      </c>
      <c r="T210">
        <v>49</v>
      </c>
      <c r="U210">
        <v>40</v>
      </c>
    </row>
    <row r="211" spans="1:21" x14ac:dyDescent="0.25">
      <c r="A211">
        <v>35</v>
      </c>
      <c r="B211" s="21">
        <v>46036</v>
      </c>
      <c r="C211">
        <v>45</v>
      </c>
      <c r="D211">
        <v>36</v>
      </c>
      <c r="E211">
        <v>52</v>
      </c>
      <c r="F211">
        <v>44</v>
      </c>
      <c r="G211">
        <v>51</v>
      </c>
      <c r="H211">
        <v>52</v>
      </c>
      <c r="I211">
        <v>51</v>
      </c>
      <c r="J211">
        <v>42</v>
      </c>
      <c r="K211">
        <v>32</v>
      </c>
      <c r="L211">
        <v>41</v>
      </c>
      <c r="M211">
        <v>42</v>
      </c>
      <c r="N211">
        <v>39</v>
      </c>
      <c r="O211" s="19">
        <f t="shared" si="38"/>
        <v>45</v>
      </c>
      <c r="P211" s="19">
        <f t="shared" si="39"/>
        <v>6.51</v>
      </c>
      <c r="R211" s="25">
        <f t="shared" si="40"/>
        <v>10</v>
      </c>
      <c r="S211">
        <f t="shared" si="42"/>
        <v>1.2857142857142858</v>
      </c>
      <c r="T211">
        <v>55</v>
      </c>
      <c r="U211">
        <v>43</v>
      </c>
    </row>
    <row r="212" spans="1:21" x14ac:dyDescent="0.25">
      <c r="A212" s="13">
        <v>11</v>
      </c>
      <c r="B212" s="21">
        <v>46037</v>
      </c>
      <c r="C212">
        <v>74</v>
      </c>
      <c r="D212">
        <v>65</v>
      </c>
      <c r="E212">
        <v>61</v>
      </c>
      <c r="F212">
        <v>68</v>
      </c>
      <c r="G212">
        <v>86</v>
      </c>
      <c r="H212">
        <v>67</v>
      </c>
      <c r="I212">
        <v>80</v>
      </c>
      <c r="J212">
        <v>65</v>
      </c>
      <c r="K212">
        <v>44</v>
      </c>
      <c r="L212">
        <v>42</v>
      </c>
      <c r="M212">
        <v>58</v>
      </c>
      <c r="N212">
        <v>77</v>
      </c>
      <c r="O212" s="19">
        <f t="shared" si="38"/>
        <v>66</v>
      </c>
      <c r="P212" s="19">
        <f t="shared" si="39"/>
        <v>11.79</v>
      </c>
      <c r="R212" s="25">
        <f t="shared" si="40"/>
        <v>55</v>
      </c>
      <c r="S212">
        <f t="shared" si="42"/>
        <v>6</v>
      </c>
      <c r="T212">
        <v>63</v>
      </c>
      <c r="U212">
        <v>68</v>
      </c>
    </row>
    <row r="213" spans="1:21" x14ac:dyDescent="0.25">
      <c r="A213" s="13">
        <v>81</v>
      </c>
      <c r="B213" s="21">
        <v>46038</v>
      </c>
      <c r="C213">
        <v>149</v>
      </c>
      <c r="D213">
        <v>151</v>
      </c>
      <c r="E213">
        <v>171</v>
      </c>
      <c r="F213">
        <v>112</v>
      </c>
      <c r="G213">
        <v>142</v>
      </c>
      <c r="H213">
        <v>136</v>
      </c>
      <c r="I213">
        <v>171</v>
      </c>
      <c r="J213">
        <v>116</v>
      </c>
      <c r="K213">
        <v>103</v>
      </c>
      <c r="L213">
        <v>106</v>
      </c>
      <c r="M213">
        <v>150</v>
      </c>
      <c r="N213">
        <v>132</v>
      </c>
      <c r="O213" s="19">
        <f t="shared" si="38"/>
        <v>134</v>
      </c>
      <c r="P213" s="19">
        <f t="shared" si="39"/>
        <v>22.72</v>
      </c>
      <c r="R213" s="25">
        <f t="shared" si="40"/>
        <v>53</v>
      </c>
      <c r="S213">
        <f t="shared" si="42"/>
        <v>1.654320987654321</v>
      </c>
      <c r="T213">
        <v>101</v>
      </c>
      <c r="U213">
        <v>131</v>
      </c>
    </row>
    <row r="214" spans="1:21" x14ac:dyDescent="0.25">
      <c r="A214" s="13">
        <v>174</v>
      </c>
      <c r="B214" s="21">
        <v>46039</v>
      </c>
      <c r="C214">
        <v>153</v>
      </c>
      <c r="D214">
        <v>132</v>
      </c>
      <c r="E214">
        <v>131</v>
      </c>
      <c r="F214">
        <v>107</v>
      </c>
      <c r="G214">
        <v>121</v>
      </c>
      <c r="H214">
        <v>100</v>
      </c>
      <c r="I214">
        <v>143</v>
      </c>
      <c r="J214">
        <v>111</v>
      </c>
      <c r="K214">
        <v>161</v>
      </c>
      <c r="L214">
        <v>142</v>
      </c>
      <c r="M214">
        <v>152</v>
      </c>
      <c r="N214">
        <v>142</v>
      </c>
      <c r="O214" s="19">
        <f t="shared" si="38"/>
        <v>133</v>
      </c>
      <c r="P214" s="19">
        <f t="shared" si="39"/>
        <v>18.18</v>
      </c>
      <c r="R214" s="25">
        <f t="shared" ref="R214:R223" si="43">O214-A214</f>
        <v>-41</v>
      </c>
      <c r="S214">
        <f t="shared" ref="S214:S223" si="44">O214/A214</f>
        <v>0.76436781609195403</v>
      </c>
      <c r="T214">
        <v>147</v>
      </c>
      <c r="U214">
        <v>118</v>
      </c>
    </row>
    <row r="215" spans="1:21" x14ac:dyDescent="0.25">
      <c r="A215" s="13">
        <v>18</v>
      </c>
      <c r="B215" s="21">
        <v>46040</v>
      </c>
      <c r="C215">
        <v>49</v>
      </c>
      <c r="D215">
        <v>42</v>
      </c>
      <c r="E215">
        <v>74</v>
      </c>
      <c r="F215">
        <v>35</v>
      </c>
      <c r="G215">
        <v>52</v>
      </c>
      <c r="H215">
        <v>35</v>
      </c>
      <c r="I215">
        <v>58</v>
      </c>
      <c r="J215">
        <v>39</v>
      </c>
      <c r="K215">
        <v>48</v>
      </c>
      <c r="L215">
        <v>38</v>
      </c>
      <c r="M215">
        <v>57</v>
      </c>
      <c r="N215">
        <v>37</v>
      </c>
      <c r="O215" s="19">
        <f t="shared" si="38"/>
        <v>47</v>
      </c>
      <c r="P215" s="19">
        <f t="shared" si="39"/>
        <v>12.15</v>
      </c>
      <c r="R215" s="25">
        <f t="shared" si="43"/>
        <v>29</v>
      </c>
      <c r="S215">
        <f t="shared" si="44"/>
        <v>2.6111111111111112</v>
      </c>
      <c r="T215">
        <v>66</v>
      </c>
      <c r="U215">
        <v>34</v>
      </c>
    </row>
    <row r="216" spans="1:21" x14ac:dyDescent="0.25">
      <c r="A216" s="13">
        <v>16</v>
      </c>
      <c r="B216" s="21">
        <v>46041</v>
      </c>
      <c r="C216">
        <v>47</v>
      </c>
      <c r="D216">
        <v>31</v>
      </c>
      <c r="E216">
        <v>69</v>
      </c>
      <c r="F216">
        <v>26</v>
      </c>
      <c r="G216">
        <v>52</v>
      </c>
      <c r="H216">
        <v>23</v>
      </c>
      <c r="I216">
        <v>49</v>
      </c>
      <c r="J216">
        <v>25</v>
      </c>
      <c r="K216">
        <v>26</v>
      </c>
      <c r="L216">
        <v>27</v>
      </c>
      <c r="M216">
        <v>29</v>
      </c>
      <c r="N216">
        <v>24</v>
      </c>
      <c r="O216" s="19">
        <f t="shared" si="38"/>
        <v>35</v>
      </c>
      <c r="P216" s="19">
        <f t="shared" si="39"/>
        <v>13.93</v>
      </c>
      <c r="R216" s="25">
        <f t="shared" si="43"/>
        <v>19</v>
      </c>
      <c r="S216">
        <f t="shared" si="44"/>
        <v>2.1875</v>
      </c>
      <c r="T216">
        <v>46</v>
      </c>
      <c r="U216">
        <v>22</v>
      </c>
    </row>
    <row r="217" spans="1:21" x14ac:dyDescent="0.25">
      <c r="A217" s="13">
        <v>23</v>
      </c>
      <c r="B217" s="21">
        <v>46042</v>
      </c>
      <c r="C217">
        <v>49</v>
      </c>
      <c r="D217">
        <v>43</v>
      </c>
      <c r="E217">
        <v>68</v>
      </c>
      <c r="F217">
        <v>36</v>
      </c>
      <c r="G217">
        <v>55</v>
      </c>
      <c r="H217">
        <v>32</v>
      </c>
      <c r="I217">
        <v>52</v>
      </c>
      <c r="J217">
        <v>39</v>
      </c>
      <c r="K217">
        <v>52</v>
      </c>
      <c r="L217">
        <v>46</v>
      </c>
      <c r="M217">
        <v>51</v>
      </c>
      <c r="N217">
        <v>42</v>
      </c>
      <c r="O217" s="19">
        <f t="shared" si="38"/>
        <v>46</v>
      </c>
      <c r="P217" s="19">
        <f t="shared" si="39"/>
        <v>9.2100000000000009</v>
      </c>
      <c r="R217" s="25">
        <f t="shared" si="43"/>
        <v>23</v>
      </c>
      <c r="S217">
        <f t="shared" si="44"/>
        <v>2</v>
      </c>
      <c r="T217">
        <v>48</v>
      </c>
      <c r="U217">
        <v>34</v>
      </c>
    </row>
    <row r="218" spans="1:21" x14ac:dyDescent="0.25">
      <c r="A218" s="13">
        <v>103</v>
      </c>
      <c r="B218" s="21">
        <v>46043</v>
      </c>
      <c r="C218">
        <v>50</v>
      </c>
      <c r="D218">
        <v>43</v>
      </c>
      <c r="E218">
        <v>65</v>
      </c>
      <c r="F218">
        <v>35</v>
      </c>
      <c r="G218">
        <v>55</v>
      </c>
      <c r="H218">
        <v>34</v>
      </c>
      <c r="I218">
        <v>54</v>
      </c>
      <c r="J218">
        <v>41</v>
      </c>
      <c r="K218">
        <v>56</v>
      </c>
      <c r="L218">
        <v>42</v>
      </c>
      <c r="M218">
        <v>49</v>
      </c>
      <c r="N218">
        <v>44</v>
      </c>
      <c r="O218" s="19">
        <f t="shared" si="38"/>
        <v>47</v>
      </c>
      <c r="P218" s="19">
        <f t="shared" si="39"/>
        <v>8.76</v>
      </c>
      <c r="R218" s="25">
        <f t="shared" si="43"/>
        <v>-56</v>
      </c>
      <c r="S218">
        <f t="shared" si="44"/>
        <v>0.4563106796116505</v>
      </c>
      <c r="T218">
        <v>55</v>
      </c>
      <c r="U218">
        <v>38</v>
      </c>
    </row>
    <row r="219" spans="1:21" x14ac:dyDescent="0.25">
      <c r="A219" s="13">
        <v>43</v>
      </c>
      <c r="B219" s="21">
        <v>46044</v>
      </c>
      <c r="C219">
        <v>52</v>
      </c>
      <c r="D219">
        <v>47</v>
      </c>
      <c r="E219">
        <v>66</v>
      </c>
      <c r="F219">
        <v>46</v>
      </c>
      <c r="G219">
        <v>55</v>
      </c>
      <c r="H219">
        <v>46</v>
      </c>
      <c r="I219">
        <v>60</v>
      </c>
      <c r="J219">
        <v>46</v>
      </c>
      <c r="K219">
        <v>56</v>
      </c>
      <c r="L219">
        <v>48</v>
      </c>
      <c r="M219">
        <v>57</v>
      </c>
      <c r="N219">
        <v>49</v>
      </c>
      <c r="O219" s="19">
        <f t="shared" si="38"/>
        <v>53</v>
      </c>
      <c r="P219" s="19">
        <f t="shared" si="39"/>
        <v>6.82</v>
      </c>
      <c r="R219" s="25">
        <f t="shared" si="43"/>
        <v>10</v>
      </c>
      <c r="S219">
        <f t="shared" si="44"/>
        <v>1.2325581395348837</v>
      </c>
      <c r="T219">
        <v>65</v>
      </c>
      <c r="U219">
        <v>47</v>
      </c>
    </row>
    <row r="220" spans="1:21" x14ac:dyDescent="0.25">
      <c r="A220" s="13">
        <v>38</v>
      </c>
      <c r="B220" s="21">
        <v>46045</v>
      </c>
      <c r="C220">
        <v>134</v>
      </c>
      <c r="D220">
        <v>112</v>
      </c>
      <c r="E220">
        <v>122</v>
      </c>
      <c r="F220">
        <v>83</v>
      </c>
      <c r="G220">
        <v>95</v>
      </c>
      <c r="H220">
        <v>72</v>
      </c>
      <c r="I220">
        <v>123</v>
      </c>
      <c r="J220">
        <v>95</v>
      </c>
      <c r="K220">
        <v>129</v>
      </c>
      <c r="L220">
        <v>128</v>
      </c>
      <c r="M220">
        <v>122</v>
      </c>
      <c r="N220">
        <v>114</v>
      </c>
      <c r="O220" s="19">
        <f t="shared" si="38"/>
        <v>109</v>
      </c>
      <c r="P220" s="19">
        <f t="shared" si="39"/>
        <v>18.36</v>
      </c>
      <c r="R220" s="25">
        <f t="shared" si="43"/>
        <v>71</v>
      </c>
      <c r="S220">
        <f t="shared" si="44"/>
        <v>2.8684210526315788</v>
      </c>
      <c r="T220">
        <v>111</v>
      </c>
      <c r="U220">
        <v>91</v>
      </c>
    </row>
    <row r="221" spans="1:21" x14ac:dyDescent="0.25">
      <c r="A221" s="13">
        <v>156</v>
      </c>
      <c r="B221" s="21">
        <v>46046</v>
      </c>
      <c r="C221">
        <v>150</v>
      </c>
      <c r="D221">
        <v>131</v>
      </c>
      <c r="E221">
        <v>132</v>
      </c>
      <c r="F221">
        <v>111</v>
      </c>
      <c r="G221">
        <v>110</v>
      </c>
      <c r="H221">
        <v>102</v>
      </c>
      <c r="I221">
        <v>129</v>
      </c>
      <c r="J221">
        <v>116</v>
      </c>
      <c r="K221">
        <v>145</v>
      </c>
      <c r="L221">
        <v>147</v>
      </c>
      <c r="M221">
        <v>127</v>
      </c>
      <c r="N221">
        <v>142</v>
      </c>
      <c r="O221" s="19">
        <f t="shared" si="38"/>
        <v>127</v>
      </c>
      <c r="P221" s="19">
        <f t="shared" si="39"/>
        <v>14.94</v>
      </c>
      <c r="R221" s="25">
        <f t="shared" si="43"/>
        <v>-29</v>
      </c>
      <c r="S221">
        <f t="shared" si="44"/>
        <v>0.8141025641025641</v>
      </c>
      <c r="T221">
        <v>114</v>
      </c>
      <c r="U221">
        <v>115</v>
      </c>
    </row>
    <row r="222" spans="1:21" x14ac:dyDescent="0.25">
      <c r="A222" s="13">
        <v>40</v>
      </c>
      <c r="B222" s="21">
        <v>46047</v>
      </c>
      <c r="C222">
        <v>50</v>
      </c>
      <c r="D222">
        <v>42</v>
      </c>
      <c r="E222">
        <v>67</v>
      </c>
      <c r="F222">
        <v>42</v>
      </c>
      <c r="G222">
        <v>62</v>
      </c>
      <c r="H222">
        <v>46</v>
      </c>
      <c r="I222">
        <v>51</v>
      </c>
      <c r="J222">
        <v>42</v>
      </c>
      <c r="K222">
        <v>30</v>
      </c>
      <c r="L222">
        <v>29</v>
      </c>
      <c r="M222">
        <v>43</v>
      </c>
      <c r="N222">
        <v>35</v>
      </c>
      <c r="O222" s="19">
        <f t="shared" si="38"/>
        <v>45</v>
      </c>
      <c r="P222" s="19">
        <f t="shared" si="39"/>
        <v>10.63</v>
      </c>
      <c r="R222" s="25">
        <f t="shared" si="43"/>
        <v>5</v>
      </c>
      <c r="S222">
        <f t="shared" si="44"/>
        <v>1.125</v>
      </c>
      <c r="T222">
        <v>51</v>
      </c>
      <c r="U222">
        <v>35</v>
      </c>
    </row>
    <row r="223" spans="1:21" x14ac:dyDescent="0.25">
      <c r="A223" s="13">
        <v>22</v>
      </c>
      <c r="B223" s="21">
        <v>46048</v>
      </c>
      <c r="C223">
        <v>53</v>
      </c>
      <c r="D223">
        <v>46</v>
      </c>
      <c r="E223">
        <v>63</v>
      </c>
      <c r="F223">
        <v>44</v>
      </c>
      <c r="G223">
        <v>65</v>
      </c>
      <c r="H223">
        <v>43</v>
      </c>
      <c r="I223">
        <v>49</v>
      </c>
      <c r="J223">
        <v>41</v>
      </c>
      <c r="K223">
        <v>15</v>
      </c>
      <c r="L223">
        <v>40</v>
      </c>
      <c r="M223">
        <v>41</v>
      </c>
      <c r="N223">
        <v>41</v>
      </c>
      <c r="O223" s="19">
        <f t="shared" si="38"/>
        <v>45</v>
      </c>
      <c r="P223" s="19">
        <f t="shared" si="39"/>
        <v>11.64</v>
      </c>
      <c r="R223" s="25">
        <f t="shared" si="43"/>
        <v>23</v>
      </c>
      <c r="S223">
        <f t="shared" si="44"/>
        <v>2.0454545454545454</v>
      </c>
      <c r="T223">
        <v>52</v>
      </c>
      <c r="U223">
        <v>37</v>
      </c>
    </row>
    <row r="224" spans="1:21" x14ac:dyDescent="0.25">
      <c r="A224" s="13">
        <v>41</v>
      </c>
      <c r="B224" s="21">
        <v>46049</v>
      </c>
      <c r="C224">
        <v>54</v>
      </c>
      <c r="D224">
        <v>44</v>
      </c>
      <c r="E224">
        <v>70</v>
      </c>
      <c r="F224">
        <v>32</v>
      </c>
      <c r="G224">
        <v>63</v>
      </c>
      <c r="H224">
        <v>32</v>
      </c>
      <c r="I224">
        <v>47</v>
      </c>
      <c r="J224">
        <v>36</v>
      </c>
      <c r="K224">
        <v>69</v>
      </c>
      <c r="L224">
        <v>42</v>
      </c>
      <c r="M224">
        <v>44</v>
      </c>
      <c r="N224">
        <v>41</v>
      </c>
      <c r="O224" s="19">
        <f t="shared" si="38"/>
        <v>47</v>
      </c>
      <c r="P224" s="19">
        <f t="shared" si="39"/>
        <v>12.2</v>
      </c>
      <c r="R224" s="25">
        <f t="shared" ref="R224:R234" si="45">O224-A224</f>
        <v>6</v>
      </c>
      <c r="S224">
        <f t="shared" ref="S224:S234" si="46">O224/A224</f>
        <v>1.1463414634146341</v>
      </c>
      <c r="T224">
        <v>43</v>
      </c>
      <c r="U224">
        <v>37</v>
      </c>
    </row>
    <row r="225" spans="1:24" x14ac:dyDescent="0.25">
      <c r="A225" s="13">
        <v>32</v>
      </c>
      <c r="B225" s="21">
        <v>46050</v>
      </c>
      <c r="C225">
        <v>56</v>
      </c>
      <c r="D225">
        <v>45</v>
      </c>
      <c r="E225">
        <v>68</v>
      </c>
      <c r="F225">
        <v>36</v>
      </c>
      <c r="G225">
        <v>64</v>
      </c>
      <c r="H225">
        <v>33</v>
      </c>
      <c r="I225">
        <v>48</v>
      </c>
      <c r="J225">
        <v>41</v>
      </c>
      <c r="K225">
        <v>57</v>
      </c>
      <c r="L225">
        <v>43</v>
      </c>
      <c r="M225">
        <v>54</v>
      </c>
      <c r="N225">
        <v>45</v>
      </c>
      <c r="O225" s="19">
        <f t="shared" si="38"/>
        <v>49</v>
      </c>
      <c r="P225" s="19">
        <f t="shared" si="39"/>
        <v>10</v>
      </c>
      <c r="R225" s="25">
        <f t="shared" si="45"/>
        <v>17</v>
      </c>
      <c r="S225">
        <f t="shared" si="46"/>
        <v>1.53125</v>
      </c>
      <c r="T225">
        <v>55</v>
      </c>
      <c r="U225">
        <v>40</v>
      </c>
    </row>
    <row r="226" spans="1:24" x14ac:dyDescent="0.25">
      <c r="A226" s="13">
        <v>85</v>
      </c>
      <c r="B226" s="21">
        <v>46051</v>
      </c>
      <c r="C226">
        <v>54</v>
      </c>
      <c r="D226">
        <v>54</v>
      </c>
      <c r="E226">
        <v>69</v>
      </c>
      <c r="F226">
        <v>48</v>
      </c>
      <c r="G226">
        <v>70</v>
      </c>
      <c r="H226">
        <v>42</v>
      </c>
      <c r="I226">
        <v>72</v>
      </c>
      <c r="J226">
        <v>53</v>
      </c>
      <c r="K226">
        <v>68</v>
      </c>
      <c r="L226">
        <v>58</v>
      </c>
      <c r="M226">
        <v>76</v>
      </c>
      <c r="N226">
        <v>68</v>
      </c>
      <c r="O226" s="19">
        <f t="shared" si="38"/>
        <v>60</v>
      </c>
      <c r="P226" s="19">
        <f t="shared" si="39"/>
        <v>10.029999999999999</v>
      </c>
      <c r="R226" s="25">
        <f t="shared" si="45"/>
        <v>-25</v>
      </c>
      <c r="S226">
        <f t="shared" si="46"/>
        <v>0.70588235294117652</v>
      </c>
      <c r="T226">
        <v>55</v>
      </c>
      <c r="U226">
        <v>51</v>
      </c>
    </row>
    <row r="227" spans="1:24" x14ac:dyDescent="0.25">
      <c r="A227" s="13">
        <v>111</v>
      </c>
      <c r="B227" s="21">
        <v>46052</v>
      </c>
      <c r="C227">
        <v>118</v>
      </c>
      <c r="D227">
        <v>101</v>
      </c>
      <c r="E227">
        <v>115</v>
      </c>
      <c r="F227">
        <v>80</v>
      </c>
      <c r="G227">
        <v>92</v>
      </c>
      <c r="H227">
        <v>69</v>
      </c>
      <c r="I227">
        <v>83</v>
      </c>
      <c r="J227">
        <v>99</v>
      </c>
      <c r="K227">
        <v>130</v>
      </c>
      <c r="L227">
        <v>112</v>
      </c>
      <c r="M227">
        <v>130</v>
      </c>
      <c r="N227">
        <v>114</v>
      </c>
      <c r="O227" s="19">
        <f t="shared" si="38"/>
        <v>104</v>
      </c>
      <c r="P227" s="19">
        <f t="shared" si="39"/>
        <v>18.079999999999998</v>
      </c>
      <c r="R227" s="25">
        <f t="shared" si="45"/>
        <v>-7</v>
      </c>
      <c r="S227">
        <f t="shared" si="46"/>
        <v>0.93693693693693691</v>
      </c>
      <c r="T227">
        <v>119</v>
      </c>
      <c r="U227">
        <v>94</v>
      </c>
      <c r="W227" s="36"/>
      <c r="X227" s="36"/>
    </row>
    <row r="228" spans="1:24" x14ac:dyDescent="0.25">
      <c r="A228" s="13">
        <v>163</v>
      </c>
      <c r="B228" s="21">
        <v>46053</v>
      </c>
      <c r="C228">
        <v>136</v>
      </c>
      <c r="D228">
        <v>124</v>
      </c>
      <c r="E228">
        <v>128</v>
      </c>
      <c r="F228">
        <v>105</v>
      </c>
      <c r="G228">
        <v>97</v>
      </c>
      <c r="H228">
        <v>98</v>
      </c>
      <c r="I228">
        <v>136</v>
      </c>
      <c r="J228">
        <v>126</v>
      </c>
      <c r="K228">
        <v>156</v>
      </c>
      <c r="L228">
        <v>127</v>
      </c>
      <c r="M228">
        <v>134</v>
      </c>
      <c r="N228">
        <v>131</v>
      </c>
      <c r="O228" s="19">
        <f t="shared" si="38"/>
        <v>125</v>
      </c>
      <c r="P228" s="19">
        <f t="shared" si="39"/>
        <v>15.69</v>
      </c>
      <c r="R228" s="25">
        <f t="shared" si="45"/>
        <v>-38</v>
      </c>
      <c r="S228">
        <f t="shared" si="46"/>
        <v>0.76687116564417179</v>
      </c>
      <c r="T228">
        <v>135</v>
      </c>
      <c r="U228">
        <v>115</v>
      </c>
      <c r="W228" s="36"/>
      <c r="X228" s="36"/>
    </row>
    <row r="229" spans="1:24" x14ac:dyDescent="0.25">
      <c r="A229" s="13">
        <v>62</v>
      </c>
      <c r="B229" s="21">
        <v>46054</v>
      </c>
      <c r="C229">
        <v>59</v>
      </c>
      <c r="D229">
        <v>40</v>
      </c>
      <c r="E229">
        <v>67</v>
      </c>
      <c r="F229">
        <v>31</v>
      </c>
      <c r="G229">
        <v>60</v>
      </c>
      <c r="H229">
        <v>38</v>
      </c>
      <c r="I229">
        <v>48</v>
      </c>
      <c r="J229">
        <v>34</v>
      </c>
      <c r="K229">
        <v>56</v>
      </c>
      <c r="L229">
        <v>40</v>
      </c>
      <c r="M229">
        <v>65</v>
      </c>
      <c r="N229">
        <v>41</v>
      </c>
      <c r="O229" s="19">
        <f t="shared" si="38"/>
        <v>48</v>
      </c>
      <c r="P229" s="19">
        <f t="shared" si="39"/>
        <v>12.42</v>
      </c>
      <c r="R229" s="25">
        <f t="shared" si="45"/>
        <v>-14</v>
      </c>
      <c r="S229">
        <f t="shared" si="46"/>
        <v>0.77419354838709675</v>
      </c>
      <c r="T229">
        <v>63</v>
      </c>
      <c r="U229">
        <v>34</v>
      </c>
      <c r="W229" s="36"/>
      <c r="X229" s="36"/>
    </row>
    <row r="230" spans="1:24" x14ac:dyDescent="0.25">
      <c r="A230" s="13">
        <v>51</v>
      </c>
      <c r="B230" s="21">
        <v>46055</v>
      </c>
      <c r="C230">
        <v>60</v>
      </c>
      <c r="D230">
        <v>41</v>
      </c>
      <c r="E230">
        <v>65</v>
      </c>
      <c r="F230">
        <v>30</v>
      </c>
      <c r="G230">
        <v>61</v>
      </c>
      <c r="H230">
        <v>34</v>
      </c>
      <c r="I230">
        <v>48</v>
      </c>
      <c r="J230">
        <v>34</v>
      </c>
      <c r="K230">
        <v>48</v>
      </c>
      <c r="L230">
        <v>40</v>
      </c>
      <c r="M230">
        <v>54</v>
      </c>
      <c r="N230">
        <v>39</v>
      </c>
      <c r="O230" s="19">
        <f t="shared" si="38"/>
        <v>46</v>
      </c>
      <c r="P230" s="19">
        <f t="shared" si="39"/>
        <v>11.18</v>
      </c>
      <c r="R230" s="25">
        <f t="shared" si="45"/>
        <v>-5</v>
      </c>
      <c r="S230">
        <f t="shared" si="46"/>
        <v>0.90196078431372551</v>
      </c>
      <c r="T230">
        <v>57</v>
      </c>
      <c r="U230">
        <v>35</v>
      </c>
      <c r="W230" s="36"/>
      <c r="X230" s="36"/>
    </row>
    <row r="231" spans="1:24" x14ac:dyDescent="0.25">
      <c r="A231" s="13">
        <v>42</v>
      </c>
      <c r="B231" s="21">
        <v>46056</v>
      </c>
      <c r="C231">
        <v>46</v>
      </c>
      <c r="D231">
        <v>45</v>
      </c>
      <c r="E231">
        <v>56</v>
      </c>
      <c r="F231">
        <v>37</v>
      </c>
      <c r="G231">
        <v>50</v>
      </c>
      <c r="H231">
        <v>50</v>
      </c>
      <c r="I231">
        <v>49</v>
      </c>
      <c r="J231">
        <v>36</v>
      </c>
      <c r="K231">
        <v>48</v>
      </c>
      <c r="L231">
        <v>46</v>
      </c>
      <c r="M231">
        <v>53</v>
      </c>
      <c r="N231">
        <v>45</v>
      </c>
      <c r="O231" s="19">
        <f t="shared" si="38"/>
        <v>47</v>
      </c>
      <c r="P231" s="19">
        <f t="shared" si="39"/>
        <v>5.7</v>
      </c>
      <c r="R231" s="25">
        <f t="shared" si="45"/>
        <v>5</v>
      </c>
      <c r="S231">
        <f t="shared" si="46"/>
        <v>1.1190476190476191</v>
      </c>
      <c r="T231">
        <v>53</v>
      </c>
      <c r="U231">
        <v>40</v>
      </c>
      <c r="W231" s="36"/>
      <c r="X231" s="36"/>
    </row>
    <row r="232" spans="1:24" x14ac:dyDescent="0.25">
      <c r="A232" s="13">
        <v>38</v>
      </c>
      <c r="B232" s="21">
        <v>46057</v>
      </c>
      <c r="C232">
        <v>46</v>
      </c>
      <c r="D232">
        <v>46</v>
      </c>
      <c r="E232">
        <v>56</v>
      </c>
      <c r="F232">
        <v>39</v>
      </c>
      <c r="G232">
        <v>49</v>
      </c>
      <c r="H232">
        <v>53</v>
      </c>
      <c r="I232">
        <v>52</v>
      </c>
      <c r="J232">
        <v>37</v>
      </c>
      <c r="K232">
        <v>48</v>
      </c>
      <c r="L232">
        <v>46</v>
      </c>
      <c r="M232">
        <v>53</v>
      </c>
      <c r="N232">
        <v>46</v>
      </c>
      <c r="O232" s="19">
        <f t="shared" si="38"/>
        <v>48</v>
      </c>
      <c r="P232" s="19">
        <f t="shared" si="39"/>
        <v>5.89</v>
      </c>
      <c r="R232" s="25">
        <f t="shared" si="45"/>
        <v>10</v>
      </c>
      <c r="S232">
        <f t="shared" si="46"/>
        <v>1.263157894736842</v>
      </c>
      <c r="T232">
        <v>58</v>
      </c>
      <c r="U232">
        <v>42</v>
      </c>
      <c r="W232" s="36"/>
      <c r="X232" s="36"/>
    </row>
    <row r="233" spans="1:24" x14ac:dyDescent="0.25">
      <c r="A233" s="13">
        <v>29</v>
      </c>
      <c r="B233" s="21">
        <v>46058</v>
      </c>
      <c r="C233">
        <v>47</v>
      </c>
      <c r="D233">
        <v>50</v>
      </c>
      <c r="E233">
        <v>62</v>
      </c>
      <c r="F233">
        <v>43</v>
      </c>
      <c r="G233">
        <v>64</v>
      </c>
      <c r="H233">
        <v>60</v>
      </c>
      <c r="I233">
        <v>55</v>
      </c>
      <c r="J233">
        <v>46</v>
      </c>
      <c r="K233">
        <v>53</v>
      </c>
      <c r="L233">
        <v>51</v>
      </c>
      <c r="M233">
        <v>55</v>
      </c>
      <c r="N233">
        <v>50</v>
      </c>
      <c r="O233" s="19">
        <f t="shared" si="38"/>
        <v>53</v>
      </c>
      <c r="P233" s="19">
        <f t="shared" si="39"/>
        <v>6.45</v>
      </c>
      <c r="R233" s="25">
        <f t="shared" si="45"/>
        <v>24</v>
      </c>
      <c r="S233">
        <f t="shared" si="46"/>
        <v>1.8275862068965518</v>
      </c>
      <c r="T233">
        <v>62</v>
      </c>
      <c r="U233">
        <v>47</v>
      </c>
      <c r="W233" s="36"/>
      <c r="X233" s="36"/>
    </row>
    <row r="234" spans="1:24" x14ac:dyDescent="0.25">
      <c r="A234" s="13">
        <v>140</v>
      </c>
      <c r="B234" s="21">
        <v>46059</v>
      </c>
      <c r="C234">
        <v>119</v>
      </c>
      <c r="D234">
        <v>120</v>
      </c>
      <c r="E234">
        <v>124</v>
      </c>
      <c r="F234">
        <v>88</v>
      </c>
      <c r="G234">
        <v>103</v>
      </c>
      <c r="H234">
        <v>102</v>
      </c>
      <c r="I234">
        <v>120</v>
      </c>
      <c r="J234">
        <v>102</v>
      </c>
      <c r="K234">
        <v>165</v>
      </c>
      <c r="L234">
        <v>129</v>
      </c>
      <c r="M234">
        <v>125</v>
      </c>
      <c r="N234">
        <v>119</v>
      </c>
      <c r="O234" s="19">
        <f t="shared" si="38"/>
        <v>117</v>
      </c>
      <c r="P234" s="19">
        <f t="shared" si="39"/>
        <v>17.27</v>
      </c>
      <c r="R234" s="25">
        <f t="shared" si="45"/>
        <v>-23</v>
      </c>
      <c r="S234">
        <f t="shared" si="46"/>
        <v>0.83571428571428574</v>
      </c>
      <c r="T234">
        <v>117</v>
      </c>
      <c r="U234">
        <v>107</v>
      </c>
      <c r="W234" s="36"/>
      <c r="X234" s="36"/>
    </row>
    <row r="235" spans="1:24" x14ac:dyDescent="0.25">
      <c r="A235" s="13">
        <v>186</v>
      </c>
      <c r="B235" s="21">
        <v>46060</v>
      </c>
      <c r="C235">
        <v>121</v>
      </c>
      <c r="D235">
        <v>118</v>
      </c>
      <c r="E235">
        <v>117</v>
      </c>
      <c r="F235">
        <v>110</v>
      </c>
      <c r="G235">
        <v>114</v>
      </c>
      <c r="H235">
        <v>115</v>
      </c>
      <c r="I235">
        <v>129</v>
      </c>
      <c r="J235">
        <v>126</v>
      </c>
      <c r="K235">
        <v>141</v>
      </c>
      <c r="L235">
        <v>133</v>
      </c>
      <c r="M235">
        <v>148</v>
      </c>
      <c r="N235">
        <v>132</v>
      </c>
      <c r="O235" s="19">
        <f t="shared" si="38"/>
        <v>126</v>
      </c>
      <c r="P235" s="19">
        <f t="shared" si="39"/>
        <v>10.98</v>
      </c>
      <c r="R235" s="25">
        <f t="shared" ref="R235:R244" si="47">O235-A235</f>
        <v>-60</v>
      </c>
      <c r="S235">
        <f t="shared" ref="S235:S244" si="48">O235/A235</f>
        <v>0.67741935483870963</v>
      </c>
      <c r="T235">
        <v>140</v>
      </c>
      <c r="U235">
        <v>125</v>
      </c>
      <c r="W235" s="36"/>
      <c r="X235" s="36"/>
    </row>
    <row r="236" spans="1:24" x14ac:dyDescent="0.25">
      <c r="A236" s="13">
        <v>0</v>
      </c>
      <c r="B236" s="21">
        <v>46061</v>
      </c>
      <c r="C236">
        <v>44</v>
      </c>
      <c r="D236">
        <v>28</v>
      </c>
      <c r="E236">
        <v>45</v>
      </c>
      <c r="F236">
        <v>21</v>
      </c>
      <c r="G236">
        <v>47</v>
      </c>
      <c r="H236">
        <v>13</v>
      </c>
      <c r="I236">
        <v>43</v>
      </c>
      <c r="J236">
        <v>23</v>
      </c>
      <c r="K236">
        <v>44</v>
      </c>
      <c r="L236">
        <v>28</v>
      </c>
      <c r="M236">
        <v>46</v>
      </c>
      <c r="N236">
        <v>28</v>
      </c>
      <c r="O236" s="19">
        <f t="shared" si="38"/>
        <v>35</v>
      </c>
      <c r="P236" s="19">
        <f t="shared" si="39"/>
        <v>11.36</v>
      </c>
      <c r="R236" s="25">
        <f t="shared" si="47"/>
        <v>35</v>
      </c>
      <c r="S236">
        <f>O236/(A236+1)</f>
        <v>35</v>
      </c>
      <c r="T236">
        <v>49</v>
      </c>
      <c r="U236">
        <v>28</v>
      </c>
      <c r="W236" s="36"/>
      <c r="X236" s="36"/>
    </row>
    <row r="237" spans="1:24" x14ac:dyDescent="0.25">
      <c r="A237" s="13">
        <v>30</v>
      </c>
      <c r="B237" s="21">
        <v>46062</v>
      </c>
      <c r="C237">
        <v>46</v>
      </c>
      <c r="D237">
        <v>39</v>
      </c>
      <c r="E237">
        <v>45</v>
      </c>
      <c r="F237">
        <v>34</v>
      </c>
      <c r="G237">
        <v>49</v>
      </c>
      <c r="H237">
        <v>36</v>
      </c>
      <c r="I237">
        <v>47</v>
      </c>
      <c r="J237">
        <v>40</v>
      </c>
      <c r="K237">
        <v>46</v>
      </c>
      <c r="L237">
        <v>44</v>
      </c>
      <c r="M237">
        <v>46</v>
      </c>
      <c r="N237">
        <v>43</v>
      </c>
      <c r="O237" s="19">
        <f t="shared" si="38"/>
        <v>44</v>
      </c>
      <c r="P237" s="19">
        <f t="shared" si="39"/>
        <v>4.76</v>
      </c>
      <c r="R237" s="25">
        <f t="shared" si="47"/>
        <v>14</v>
      </c>
      <c r="S237">
        <f t="shared" si="48"/>
        <v>1.4666666666666666</v>
      </c>
      <c r="T237">
        <v>52</v>
      </c>
      <c r="U237">
        <v>42</v>
      </c>
      <c r="W237" s="36"/>
      <c r="X237" s="36"/>
    </row>
    <row r="238" spans="1:24" x14ac:dyDescent="0.25">
      <c r="A238" s="13">
        <v>26</v>
      </c>
      <c r="B238" s="21">
        <v>46063</v>
      </c>
      <c r="C238">
        <v>47</v>
      </c>
      <c r="D238">
        <v>38</v>
      </c>
      <c r="E238">
        <v>46</v>
      </c>
      <c r="F238">
        <v>36</v>
      </c>
      <c r="G238">
        <v>60</v>
      </c>
      <c r="H238">
        <v>38</v>
      </c>
      <c r="I238">
        <v>65</v>
      </c>
      <c r="J238">
        <v>41</v>
      </c>
      <c r="K238">
        <v>46</v>
      </c>
      <c r="L238">
        <v>43</v>
      </c>
      <c r="M238">
        <v>46</v>
      </c>
      <c r="N238">
        <v>43</v>
      </c>
      <c r="O238" s="19">
        <f t="shared" si="38"/>
        <v>46</v>
      </c>
      <c r="P238" s="19">
        <f t="shared" si="39"/>
        <v>8.02</v>
      </c>
      <c r="R238" s="25">
        <f t="shared" si="47"/>
        <v>20</v>
      </c>
      <c r="S238">
        <f t="shared" si="48"/>
        <v>1.7692307692307692</v>
      </c>
      <c r="T238">
        <v>52</v>
      </c>
      <c r="U238">
        <v>40</v>
      </c>
      <c r="W238" s="36"/>
      <c r="X238" s="36"/>
    </row>
    <row r="239" spans="1:24" x14ac:dyDescent="0.25">
      <c r="A239" s="13">
        <v>59</v>
      </c>
      <c r="B239" s="21">
        <v>46064</v>
      </c>
      <c r="C239">
        <v>46</v>
      </c>
      <c r="D239">
        <v>40</v>
      </c>
      <c r="E239">
        <v>47</v>
      </c>
      <c r="F239">
        <v>33</v>
      </c>
      <c r="G239">
        <v>51</v>
      </c>
      <c r="H239">
        <v>40</v>
      </c>
      <c r="I239">
        <v>51</v>
      </c>
      <c r="J239">
        <v>42</v>
      </c>
      <c r="K239">
        <v>46</v>
      </c>
      <c r="L239">
        <v>40</v>
      </c>
      <c r="M239">
        <v>46</v>
      </c>
      <c r="N239">
        <v>42</v>
      </c>
      <c r="O239" s="19">
        <f t="shared" si="38"/>
        <v>44</v>
      </c>
      <c r="P239" s="19">
        <f t="shared" si="39"/>
        <v>4.8499999999999996</v>
      </c>
      <c r="R239" s="25">
        <f t="shared" si="47"/>
        <v>-15</v>
      </c>
      <c r="S239">
        <f t="shared" si="48"/>
        <v>0.74576271186440679</v>
      </c>
      <c r="T239">
        <v>49</v>
      </c>
      <c r="U239">
        <v>41</v>
      </c>
      <c r="W239" s="36"/>
      <c r="X239" s="36"/>
    </row>
    <row r="240" spans="1:24" x14ac:dyDescent="0.25">
      <c r="A240" s="13">
        <v>37</v>
      </c>
      <c r="B240" s="21">
        <v>46065</v>
      </c>
      <c r="C240">
        <v>48</v>
      </c>
      <c r="D240">
        <v>44</v>
      </c>
      <c r="E240">
        <v>53</v>
      </c>
      <c r="F240">
        <v>38</v>
      </c>
      <c r="G240">
        <v>51</v>
      </c>
      <c r="H240">
        <v>48</v>
      </c>
      <c r="I240">
        <v>52</v>
      </c>
      <c r="J240">
        <v>48</v>
      </c>
      <c r="K240">
        <v>46</v>
      </c>
      <c r="L240">
        <v>43</v>
      </c>
      <c r="M240">
        <v>48</v>
      </c>
      <c r="N240">
        <v>42</v>
      </c>
      <c r="O240" s="19">
        <f t="shared" si="38"/>
        <v>47</v>
      </c>
      <c r="P240" s="19">
        <f t="shared" si="39"/>
        <v>4.08</v>
      </c>
      <c r="R240" s="25">
        <f t="shared" si="47"/>
        <v>10</v>
      </c>
      <c r="S240">
        <f t="shared" si="48"/>
        <v>1.2702702702702702</v>
      </c>
      <c r="T240">
        <v>51</v>
      </c>
      <c r="U240">
        <v>45</v>
      </c>
      <c r="W240" s="36"/>
      <c r="X240" s="36"/>
    </row>
    <row r="241" spans="1:24" x14ac:dyDescent="0.25">
      <c r="A241" s="13">
        <v>199</v>
      </c>
      <c r="B241" s="21">
        <v>46066</v>
      </c>
      <c r="C241">
        <v>93</v>
      </c>
      <c r="D241">
        <v>86</v>
      </c>
      <c r="E241">
        <v>80</v>
      </c>
      <c r="F241">
        <v>75</v>
      </c>
      <c r="G241">
        <v>80</v>
      </c>
      <c r="H241">
        <v>77</v>
      </c>
      <c r="I241">
        <v>111</v>
      </c>
      <c r="J241">
        <v>88</v>
      </c>
      <c r="K241">
        <v>100</v>
      </c>
      <c r="L241">
        <v>86</v>
      </c>
      <c r="M241">
        <v>97</v>
      </c>
      <c r="N241">
        <v>90</v>
      </c>
      <c r="O241" s="19">
        <f t="shared" si="38"/>
        <v>88</v>
      </c>
      <c r="P241" s="19">
        <f t="shared" si="39"/>
        <v>9.36</v>
      </c>
      <c r="R241" s="25">
        <f t="shared" si="47"/>
        <v>-111</v>
      </c>
      <c r="S241">
        <f t="shared" si="48"/>
        <v>0.44221105527638194</v>
      </c>
      <c r="T241">
        <v>85</v>
      </c>
      <c r="U241">
        <v>85</v>
      </c>
      <c r="W241" s="36"/>
      <c r="X241" s="36"/>
    </row>
    <row r="242" spans="1:24" x14ac:dyDescent="0.25">
      <c r="A242" s="13">
        <v>283</v>
      </c>
      <c r="B242" s="21">
        <v>46067</v>
      </c>
      <c r="C242">
        <v>239</v>
      </c>
      <c r="D242">
        <v>198</v>
      </c>
      <c r="E242">
        <v>173</v>
      </c>
      <c r="F242">
        <v>149</v>
      </c>
      <c r="G242">
        <v>145</v>
      </c>
      <c r="H242">
        <v>150</v>
      </c>
      <c r="I242">
        <v>208</v>
      </c>
      <c r="J242">
        <v>176</v>
      </c>
      <c r="K242">
        <v>235</v>
      </c>
      <c r="L242">
        <v>190</v>
      </c>
      <c r="M242">
        <v>241</v>
      </c>
      <c r="N242">
        <v>190</v>
      </c>
      <c r="O242" s="19">
        <f>ROUND(AVERAGE(C242:N242,T242:U242),0)</f>
        <v>190</v>
      </c>
      <c r="P242" s="19">
        <f t="shared" si="39"/>
        <v>30.86</v>
      </c>
      <c r="R242" s="25">
        <f t="shared" si="47"/>
        <v>-93</v>
      </c>
      <c r="S242">
        <f t="shared" si="48"/>
        <v>0.67137809187279152</v>
      </c>
      <c r="T242">
        <v>187</v>
      </c>
      <c r="U242">
        <v>179</v>
      </c>
      <c r="W242" s="36"/>
      <c r="X242" s="36"/>
    </row>
    <row r="243" spans="1:24" x14ac:dyDescent="0.25">
      <c r="A243" s="13">
        <v>91</v>
      </c>
      <c r="B243" s="21">
        <v>46068</v>
      </c>
      <c r="C243">
        <v>47</v>
      </c>
      <c r="D243">
        <v>38</v>
      </c>
      <c r="E243">
        <v>46</v>
      </c>
      <c r="F243">
        <v>35</v>
      </c>
      <c r="G243">
        <v>49</v>
      </c>
      <c r="H243">
        <v>38</v>
      </c>
      <c r="I243">
        <v>45</v>
      </c>
      <c r="J243">
        <v>42</v>
      </c>
      <c r="K243">
        <v>46</v>
      </c>
      <c r="L243">
        <v>46</v>
      </c>
      <c r="M243">
        <v>46</v>
      </c>
      <c r="N243">
        <v>44</v>
      </c>
      <c r="O243" s="19">
        <f t="shared" si="38"/>
        <v>44</v>
      </c>
      <c r="P243" s="19">
        <f t="shared" si="39"/>
        <v>4.17</v>
      </c>
      <c r="R243" s="25">
        <f t="shared" si="47"/>
        <v>-47</v>
      </c>
      <c r="S243">
        <f t="shared" si="48"/>
        <v>0.48351648351648352</v>
      </c>
      <c r="T243">
        <v>50</v>
      </c>
      <c r="U243">
        <v>44</v>
      </c>
      <c r="W243" s="36"/>
      <c r="X243" s="36"/>
    </row>
    <row r="244" spans="1:24" x14ac:dyDescent="0.25">
      <c r="A244" s="13">
        <v>35</v>
      </c>
      <c r="B244" s="21">
        <v>46069</v>
      </c>
      <c r="C244">
        <v>47</v>
      </c>
      <c r="D244">
        <v>42</v>
      </c>
      <c r="E244">
        <v>49</v>
      </c>
      <c r="F244">
        <v>32</v>
      </c>
      <c r="G244">
        <v>49</v>
      </c>
      <c r="H244">
        <v>28</v>
      </c>
      <c r="I244">
        <v>54</v>
      </c>
      <c r="J244">
        <v>39</v>
      </c>
      <c r="K244">
        <v>52</v>
      </c>
      <c r="L244">
        <v>50</v>
      </c>
      <c r="M244">
        <v>56</v>
      </c>
      <c r="N244">
        <v>45</v>
      </c>
      <c r="O244" s="19">
        <f t="shared" si="38"/>
        <v>46</v>
      </c>
      <c r="P244" s="19">
        <f t="shared" si="39"/>
        <v>8.1</v>
      </c>
      <c r="R244" s="25">
        <f t="shared" si="47"/>
        <v>11</v>
      </c>
      <c r="S244">
        <f t="shared" si="48"/>
        <v>1.3142857142857143</v>
      </c>
      <c r="T244">
        <v>54</v>
      </c>
      <c r="U244">
        <v>40</v>
      </c>
      <c r="W244" s="36"/>
      <c r="X244" s="36"/>
    </row>
    <row r="245" spans="1:24" x14ac:dyDescent="0.25">
      <c r="A245" s="13">
        <v>79</v>
      </c>
      <c r="B245" s="21">
        <v>46070</v>
      </c>
      <c r="C245">
        <v>74</v>
      </c>
      <c r="D245">
        <v>44</v>
      </c>
      <c r="E245">
        <v>59</v>
      </c>
      <c r="F245">
        <v>40</v>
      </c>
      <c r="G245">
        <v>44</v>
      </c>
      <c r="H245">
        <v>28</v>
      </c>
      <c r="I245">
        <v>65</v>
      </c>
      <c r="J245">
        <v>44</v>
      </c>
      <c r="K245">
        <v>60</v>
      </c>
      <c r="L245">
        <v>46</v>
      </c>
      <c r="M245">
        <v>61</v>
      </c>
      <c r="N245">
        <v>46</v>
      </c>
      <c r="O245" s="19">
        <f>ROUND(AVERAGE(C245:N245,T245:U245),0)</f>
        <v>50</v>
      </c>
      <c r="P245" s="19">
        <f t="shared" si="39"/>
        <v>11.68</v>
      </c>
      <c r="R245" s="25">
        <f t="shared" ref="R245:R258" si="49">O245-A245</f>
        <v>-29</v>
      </c>
      <c r="S245">
        <f t="shared" ref="S245:S258" si="50">O245/A245</f>
        <v>0.63291139240506333</v>
      </c>
      <c r="T245">
        <v>51</v>
      </c>
      <c r="U245">
        <v>41</v>
      </c>
      <c r="W245" s="36"/>
      <c r="X245" s="36"/>
    </row>
    <row r="246" spans="1:24" x14ac:dyDescent="0.25">
      <c r="A246" s="13">
        <v>29</v>
      </c>
      <c r="B246" s="21">
        <v>46071</v>
      </c>
      <c r="C246">
        <v>48</v>
      </c>
      <c r="D246">
        <v>54</v>
      </c>
      <c r="E246">
        <v>66</v>
      </c>
      <c r="F246">
        <v>49</v>
      </c>
      <c r="G246">
        <v>43</v>
      </c>
      <c r="H246">
        <v>35</v>
      </c>
      <c r="I246">
        <v>47</v>
      </c>
      <c r="J246">
        <v>51</v>
      </c>
      <c r="K246">
        <v>55</v>
      </c>
      <c r="L246">
        <v>51</v>
      </c>
      <c r="M246">
        <v>46</v>
      </c>
      <c r="N246">
        <v>49</v>
      </c>
      <c r="O246" s="19">
        <f t="shared" si="38"/>
        <v>50</v>
      </c>
      <c r="P246" s="19">
        <f t="shared" si="39"/>
        <v>6.69</v>
      </c>
      <c r="R246" s="25">
        <f t="shared" si="49"/>
        <v>21</v>
      </c>
      <c r="S246">
        <f t="shared" si="50"/>
        <v>1.7241379310344827</v>
      </c>
      <c r="T246">
        <v>54</v>
      </c>
      <c r="U246">
        <v>47</v>
      </c>
      <c r="W246" s="36"/>
    </row>
    <row r="247" spans="1:24" x14ac:dyDescent="0.25">
      <c r="A247" s="13">
        <v>38</v>
      </c>
      <c r="B247" s="21">
        <v>46072</v>
      </c>
      <c r="C247">
        <v>48</v>
      </c>
      <c r="D247">
        <v>52</v>
      </c>
      <c r="E247">
        <v>59</v>
      </c>
      <c r="F247">
        <v>54</v>
      </c>
      <c r="G247">
        <v>56</v>
      </c>
      <c r="H247">
        <v>44</v>
      </c>
      <c r="I247">
        <v>61</v>
      </c>
      <c r="J247">
        <v>54</v>
      </c>
      <c r="K247">
        <v>52</v>
      </c>
      <c r="L247">
        <v>49</v>
      </c>
      <c r="M247">
        <v>62</v>
      </c>
      <c r="N247">
        <v>49</v>
      </c>
      <c r="O247" s="19">
        <f t="shared" si="38"/>
        <v>54</v>
      </c>
      <c r="P247" s="19">
        <f t="shared" si="39"/>
        <v>5.56</v>
      </c>
      <c r="R247" s="25">
        <f t="shared" si="49"/>
        <v>16</v>
      </c>
      <c r="S247">
        <f t="shared" si="50"/>
        <v>1.4210526315789473</v>
      </c>
      <c r="T247">
        <v>63</v>
      </c>
      <c r="U247">
        <v>50</v>
      </c>
      <c r="W247" s="36"/>
    </row>
    <row r="248" spans="1:24" x14ac:dyDescent="0.25">
      <c r="A248" s="13">
        <v>101</v>
      </c>
      <c r="B248" s="21">
        <v>46073</v>
      </c>
      <c r="C248">
        <v>97</v>
      </c>
      <c r="D248">
        <v>84</v>
      </c>
      <c r="E248">
        <v>118</v>
      </c>
      <c r="F248">
        <v>78</v>
      </c>
      <c r="G248">
        <v>74</v>
      </c>
      <c r="H248">
        <v>59</v>
      </c>
      <c r="I248">
        <v>118</v>
      </c>
      <c r="J248">
        <v>84</v>
      </c>
      <c r="K248">
        <v>98</v>
      </c>
      <c r="L248">
        <v>96</v>
      </c>
      <c r="M248">
        <v>104</v>
      </c>
      <c r="N248">
        <v>84</v>
      </c>
      <c r="O248" s="19">
        <f t="shared" si="38"/>
        <v>91</v>
      </c>
      <c r="P248" s="19">
        <f t="shared" si="39"/>
        <v>16</v>
      </c>
      <c r="R248" s="25">
        <f t="shared" si="49"/>
        <v>-10</v>
      </c>
      <c r="S248">
        <f t="shared" si="50"/>
        <v>0.90099009900990101</v>
      </c>
      <c r="T248">
        <v>98</v>
      </c>
      <c r="U248">
        <v>78</v>
      </c>
      <c r="W248" s="36"/>
    </row>
    <row r="249" spans="1:24" x14ac:dyDescent="0.25">
      <c r="A249" s="13">
        <v>183</v>
      </c>
      <c r="B249" s="21">
        <v>46074</v>
      </c>
      <c r="C249">
        <v>90</v>
      </c>
      <c r="D249">
        <v>132</v>
      </c>
      <c r="E249">
        <v>103</v>
      </c>
      <c r="F249">
        <v>130</v>
      </c>
      <c r="G249">
        <v>109</v>
      </c>
      <c r="H249">
        <v>106</v>
      </c>
      <c r="I249">
        <v>120</v>
      </c>
      <c r="J249">
        <v>139</v>
      </c>
      <c r="K249">
        <v>117</v>
      </c>
      <c r="L249">
        <v>133</v>
      </c>
      <c r="M249">
        <v>85</v>
      </c>
      <c r="N249">
        <v>126</v>
      </c>
      <c r="O249" s="19">
        <f t="shared" si="38"/>
        <v>115</v>
      </c>
      <c r="P249" s="19">
        <f t="shared" si="39"/>
        <v>16.86</v>
      </c>
      <c r="R249" s="25">
        <f t="shared" si="49"/>
        <v>-68</v>
      </c>
      <c r="S249">
        <f t="shared" si="50"/>
        <v>0.62841530054644812</v>
      </c>
      <c r="T249">
        <v>93</v>
      </c>
      <c r="U249">
        <v>127</v>
      </c>
      <c r="W249" s="36"/>
    </row>
    <row r="250" spans="1:24" x14ac:dyDescent="0.25">
      <c r="A250" s="13">
        <v>66</v>
      </c>
      <c r="B250" s="21">
        <v>46075</v>
      </c>
      <c r="C250">
        <v>45</v>
      </c>
      <c r="D250">
        <v>40</v>
      </c>
      <c r="E250">
        <v>46</v>
      </c>
      <c r="F250">
        <v>37</v>
      </c>
      <c r="G250">
        <v>40</v>
      </c>
      <c r="H250">
        <v>27</v>
      </c>
      <c r="I250">
        <v>45</v>
      </c>
      <c r="J250">
        <v>45</v>
      </c>
      <c r="K250">
        <v>47</v>
      </c>
      <c r="L250">
        <v>42</v>
      </c>
      <c r="M250">
        <v>46</v>
      </c>
      <c r="N250">
        <v>43</v>
      </c>
      <c r="O250" s="19">
        <f t="shared" si="38"/>
        <v>42</v>
      </c>
      <c r="P250" s="19">
        <f t="shared" si="39"/>
        <v>5.19</v>
      </c>
      <c r="R250" s="25">
        <f t="shared" si="49"/>
        <v>-24</v>
      </c>
      <c r="S250">
        <f t="shared" si="50"/>
        <v>0.63636363636363635</v>
      </c>
      <c r="T250">
        <v>47</v>
      </c>
      <c r="U250">
        <v>39</v>
      </c>
      <c r="W250" s="36"/>
    </row>
    <row r="251" spans="1:24" x14ac:dyDescent="0.25">
      <c r="A251" s="13">
        <v>36</v>
      </c>
      <c r="B251" s="21">
        <v>46076</v>
      </c>
      <c r="C251">
        <v>45</v>
      </c>
      <c r="D251">
        <v>40</v>
      </c>
      <c r="E251">
        <v>59</v>
      </c>
      <c r="F251">
        <v>38</v>
      </c>
      <c r="G251">
        <v>39</v>
      </c>
      <c r="H251">
        <v>26</v>
      </c>
      <c r="I251">
        <v>54</v>
      </c>
      <c r="J251">
        <v>41</v>
      </c>
      <c r="K251">
        <v>47</v>
      </c>
      <c r="L251">
        <v>44</v>
      </c>
      <c r="M251">
        <v>46</v>
      </c>
      <c r="N251">
        <v>44</v>
      </c>
      <c r="O251" s="19">
        <f t="shared" si="38"/>
        <v>44</v>
      </c>
      <c r="P251" s="19">
        <f t="shared" si="39"/>
        <v>7.42</v>
      </c>
      <c r="R251" s="25">
        <f t="shared" si="49"/>
        <v>8</v>
      </c>
      <c r="S251">
        <f t="shared" si="50"/>
        <v>1.2222222222222223</v>
      </c>
      <c r="T251">
        <v>47</v>
      </c>
      <c r="U251">
        <v>40</v>
      </c>
      <c r="W251" s="36"/>
    </row>
    <row r="252" spans="1:24" x14ac:dyDescent="0.25">
      <c r="A252" s="13">
        <v>45</v>
      </c>
      <c r="B252" s="21">
        <v>46077</v>
      </c>
      <c r="C252">
        <v>59</v>
      </c>
      <c r="D252">
        <v>42</v>
      </c>
      <c r="E252">
        <v>48</v>
      </c>
      <c r="F252">
        <v>41</v>
      </c>
      <c r="G252">
        <v>39</v>
      </c>
      <c r="H252">
        <v>28</v>
      </c>
      <c r="I252">
        <v>63</v>
      </c>
      <c r="J252">
        <v>41</v>
      </c>
      <c r="K252">
        <v>45</v>
      </c>
      <c r="L252">
        <v>44</v>
      </c>
      <c r="M252">
        <v>52</v>
      </c>
      <c r="N252">
        <v>44</v>
      </c>
      <c r="O252" s="19">
        <f t="shared" si="38"/>
        <v>45</v>
      </c>
      <c r="P252" s="19">
        <f t="shared" si="39"/>
        <v>8.34</v>
      </c>
      <c r="R252" s="25">
        <f t="shared" si="49"/>
        <v>0</v>
      </c>
      <c r="S252">
        <f t="shared" si="50"/>
        <v>1</v>
      </c>
      <c r="T252">
        <v>47</v>
      </c>
      <c r="U252">
        <v>40</v>
      </c>
      <c r="W252" s="36"/>
    </row>
    <row r="253" spans="1:24" x14ac:dyDescent="0.25">
      <c r="A253" s="13">
        <v>64</v>
      </c>
      <c r="B253" s="21">
        <v>46078</v>
      </c>
      <c r="C253">
        <v>47</v>
      </c>
      <c r="D253">
        <v>41</v>
      </c>
      <c r="E253">
        <v>54</v>
      </c>
      <c r="F253">
        <v>43</v>
      </c>
      <c r="G253">
        <v>36</v>
      </c>
      <c r="H253">
        <v>31</v>
      </c>
      <c r="I253">
        <v>53</v>
      </c>
      <c r="J253">
        <v>41</v>
      </c>
      <c r="K253">
        <v>52</v>
      </c>
      <c r="L253">
        <v>43</v>
      </c>
      <c r="M253">
        <v>48</v>
      </c>
      <c r="N253">
        <v>44</v>
      </c>
      <c r="O253" s="19">
        <f t="shared" si="38"/>
        <v>45</v>
      </c>
      <c r="P253" s="19">
        <f t="shared" si="39"/>
        <v>6.39</v>
      </c>
      <c r="R253" s="25">
        <f t="shared" si="49"/>
        <v>-19</v>
      </c>
      <c r="S253">
        <f t="shared" si="50"/>
        <v>0.703125</v>
      </c>
      <c r="T253">
        <v>50</v>
      </c>
      <c r="U253">
        <v>40</v>
      </c>
      <c r="W253" s="36"/>
    </row>
    <row r="254" spans="1:24" x14ac:dyDescent="0.25">
      <c r="A254" s="13">
        <v>41</v>
      </c>
      <c r="B254" s="21">
        <v>46079</v>
      </c>
      <c r="C254">
        <v>66</v>
      </c>
      <c r="D254">
        <v>86</v>
      </c>
      <c r="E254">
        <v>70</v>
      </c>
      <c r="F254">
        <v>69</v>
      </c>
      <c r="G254">
        <v>63</v>
      </c>
      <c r="H254">
        <v>47</v>
      </c>
      <c r="I254">
        <v>61</v>
      </c>
      <c r="J254">
        <v>85</v>
      </c>
      <c r="K254">
        <v>85</v>
      </c>
      <c r="L254">
        <v>86</v>
      </c>
      <c r="M254">
        <v>79</v>
      </c>
      <c r="N254">
        <v>88</v>
      </c>
      <c r="O254" s="19">
        <f t="shared" si="38"/>
        <v>76</v>
      </c>
      <c r="P254" s="19">
        <f t="shared" si="39"/>
        <v>14.53</v>
      </c>
      <c r="R254" s="25">
        <f t="shared" si="49"/>
        <v>35</v>
      </c>
      <c r="S254">
        <f t="shared" si="50"/>
        <v>1.8536585365853659</v>
      </c>
      <c r="T254">
        <v>108</v>
      </c>
      <c r="U254">
        <v>76</v>
      </c>
      <c r="W254" s="36"/>
    </row>
    <row r="255" spans="1:24" x14ac:dyDescent="0.25">
      <c r="A255" s="13">
        <v>90</v>
      </c>
      <c r="B255" s="21">
        <v>46080</v>
      </c>
      <c r="C255">
        <v>99</v>
      </c>
      <c r="D255">
        <v>74</v>
      </c>
      <c r="E255">
        <v>113</v>
      </c>
      <c r="F255">
        <v>68</v>
      </c>
      <c r="G255">
        <v>70</v>
      </c>
      <c r="H255">
        <v>54</v>
      </c>
      <c r="I255">
        <v>121</v>
      </c>
      <c r="J255">
        <v>71</v>
      </c>
      <c r="K255">
        <v>82</v>
      </c>
      <c r="L255">
        <v>84</v>
      </c>
      <c r="M255">
        <v>102</v>
      </c>
      <c r="N255">
        <v>74</v>
      </c>
      <c r="O255" s="19">
        <f t="shared" si="38"/>
        <v>84</v>
      </c>
      <c r="P255" s="19">
        <f t="shared" si="39"/>
        <v>18.28</v>
      </c>
      <c r="R255" s="25">
        <f t="shared" si="49"/>
        <v>-6</v>
      </c>
      <c r="S255">
        <f t="shared" si="50"/>
        <v>0.93333333333333335</v>
      </c>
      <c r="T255">
        <v>91</v>
      </c>
      <c r="U255">
        <v>72</v>
      </c>
      <c r="W255" s="36"/>
    </row>
    <row r="256" spans="1:24" x14ac:dyDescent="0.25">
      <c r="A256" s="13">
        <v>137</v>
      </c>
      <c r="B256" s="21">
        <v>46081</v>
      </c>
      <c r="C256">
        <v>155</v>
      </c>
      <c r="D256">
        <v>115</v>
      </c>
      <c r="E256">
        <v>136</v>
      </c>
      <c r="F256">
        <v>119</v>
      </c>
      <c r="G256">
        <v>95</v>
      </c>
      <c r="H256">
        <v>98</v>
      </c>
      <c r="I256">
        <v>147</v>
      </c>
      <c r="J256">
        <v>127</v>
      </c>
      <c r="K256">
        <v>149</v>
      </c>
      <c r="L256">
        <v>116</v>
      </c>
      <c r="M256">
        <v>135</v>
      </c>
      <c r="N256">
        <v>112</v>
      </c>
      <c r="O256" s="19">
        <f t="shared" si="38"/>
        <v>127</v>
      </c>
      <c r="P256" s="19">
        <f t="shared" si="39"/>
        <v>20.21</v>
      </c>
      <c r="R256" s="25">
        <f t="shared" si="49"/>
        <v>-10</v>
      </c>
      <c r="S256">
        <f t="shared" si="50"/>
        <v>0.92700729927007297</v>
      </c>
      <c r="T256">
        <v>164</v>
      </c>
      <c r="U256">
        <v>116</v>
      </c>
      <c r="W256" s="36"/>
    </row>
    <row r="257" spans="1:23" x14ac:dyDescent="0.25">
      <c r="A257" s="13">
        <v>43</v>
      </c>
      <c r="B257" s="21">
        <v>46082</v>
      </c>
      <c r="C257">
        <v>51</v>
      </c>
      <c r="D257">
        <v>38</v>
      </c>
      <c r="E257">
        <v>40</v>
      </c>
      <c r="F257">
        <v>30</v>
      </c>
      <c r="G257">
        <v>44</v>
      </c>
      <c r="H257">
        <v>29</v>
      </c>
      <c r="I257">
        <v>52</v>
      </c>
      <c r="J257">
        <v>35</v>
      </c>
      <c r="K257">
        <v>54</v>
      </c>
      <c r="L257">
        <v>40</v>
      </c>
      <c r="M257">
        <v>46</v>
      </c>
      <c r="N257">
        <v>38</v>
      </c>
      <c r="O257" s="19">
        <f t="shared" si="38"/>
        <v>42</v>
      </c>
      <c r="P257" s="19">
        <f t="shared" si="39"/>
        <v>7.99</v>
      </c>
      <c r="R257" s="25">
        <f t="shared" si="49"/>
        <v>-1</v>
      </c>
      <c r="S257">
        <f t="shared" si="50"/>
        <v>0.97674418604651159</v>
      </c>
      <c r="T257">
        <v>52</v>
      </c>
      <c r="U257">
        <v>35</v>
      </c>
      <c r="W257" s="36"/>
    </row>
    <row r="258" spans="1:23" x14ac:dyDescent="0.25">
      <c r="A258" s="13">
        <v>39</v>
      </c>
      <c r="B258" s="21">
        <v>46083</v>
      </c>
      <c r="C258">
        <v>46</v>
      </c>
      <c r="D258">
        <v>42</v>
      </c>
      <c r="E258">
        <v>55</v>
      </c>
      <c r="F258">
        <v>35</v>
      </c>
      <c r="G258">
        <v>38</v>
      </c>
      <c r="H258">
        <v>27</v>
      </c>
      <c r="I258">
        <v>61</v>
      </c>
      <c r="J258">
        <v>40</v>
      </c>
      <c r="K258">
        <v>74</v>
      </c>
      <c r="L258">
        <v>43</v>
      </c>
      <c r="M258">
        <v>53</v>
      </c>
      <c r="N258">
        <v>44</v>
      </c>
      <c r="O258" s="19">
        <f t="shared" si="38"/>
        <v>47</v>
      </c>
      <c r="P258" s="19">
        <f t="shared" si="39"/>
        <v>11.64</v>
      </c>
      <c r="R258" s="25">
        <f t="shared" si="49"/>
        <v>8</v>
      </c>
      <c r="S258">
        <f t="shared" si="50"/>
        <v>1.2051282051282051</v>
      </c>
      <c r="T258">
        <v>57</v>
      </c>
      <c r="U258">
        <v>40</v>
      </c>
      <c r="W258" s="36"/>
    </row>
    <row r="259" spans="1:23" s="27" customFormat="1" x14ac:dyDescent="0.25">
      <c r="B259" s="26">
        <v>46084</v>
      </c>
      <c r="C259" s="27">
        <v>42</v>
      </c>
      <c r="D259" s="27">
        <v>46</v>
      </c>
      <c r="E259" s="27">
        <v>46</v>
      </c>
      <c r="F259" s="27">
        <v>49</v>
      </c>
      <c r="G259" s="27">
        <v>42</v>
      </c>
      <c r="H259" s="27">
        <v>30</v>
      </c>
      <c r="I259" s="27">
        <v>50</v>
      </c>
      <c r="J259" s="27">
        <v>43</v>
      </c>
      <c r="K259" s="27">
        <v>51</v>
      </c>
      <c r="L259" s="27">
        <v>43</v>
      </c>
      <c r="M259" s="27">
        <v>43</v>
      </c>
      <c r="N259" s="27">
        <v>43</v>
      </c>
      <c r="O259" s="64">
        <f t="shared" si="38"/>
        <v>45</v>
      </c>
      <c r="P259" s="64">
        <f t="shared" si="39"/>
        <v>5.62</v>
      </c>
      <c r="T259" s="27">
        <v>55</v>
      </c>
      <c r="U259" s="27">
        <v>47</v>
      </c>
      <c r="W259" s="65"/>
    </row>
    <row r="260" spans="1:23" x14ac:dyDescent="0.25">
      <c r="B260" s="21">
        <v>46085</v>
      </c>
      <c r="C260">
        <v>46</v>
      </c>
      <c r="D260">
        <v>38</v>
      </c>
      <c r="E260">
        <v>46</v>
      </c>
      <c r="F260">
        <v>42</v>
      </c>
      <c r="G260">
        <v>34</v>
      </c>
      <c r="H260">
        <v>34</v>
      </c>
      <c r="I260">
        <v>49</v>
      </c>
      <c r="J260">
        <v>39</v>
      </c>
      <c r="K260">
        <v>40</v>
      </c>
      <c r="L260">
        <v>42</v>
      </c>
      <c r="M260">
        <v>42</v>
      </c>
      <c r="N260">
        <v>39</v>
      </c>
      <c r="O260" s="19">
        <f t="shared" si="38"/>
        <v>42</v>
      </c>
      <c r="P260" s="19">
        <f t="shared" si="39"/>
        <v>4.47</v>
      </c>
      <c r="T260">
        <v>48</v>
      </c>
      <c r="U260">
        <v>42</v>
      </c>
      <c r="W260" s="36"/>
    </row>
    <row r="261" spans="1:23" x14ac:dyDescent="0.25">
      <c r="B261" s="21">
        <v>46086</v>
      </c>
      <c r="C261">
        <v>52</v>
      </c>
      <c r="D261">
        <v>41</v>
      </c>
      <c r="E261">
        <v>48</v>
      </c>
      <c r="F261">
        <v>49</v>
      </c>
      <c r="G261">
        <v>38</v>
      </c>
      <c r="H261">
        <v>53</v>
      </c>
      <c r="I261">
        <v>54</v>
      </c>
      <c r="J261">
        <v>43</v>
      </c>
      <c r="K261">
        <v>47</v>
      </c>
      <c r="L261">
        <v>44</v>
      </c>
      <c r="M261">
        <v>44</v>
      </c>
      <c r="N261">
        <v>40</v>
      </c>
      <c r="O261" s="19">
        <f t="shared" si="38"/>
        <v>47</v>
      </c>
      <c r="P261" s="19">
        <f t="shared" si="39"/>
        <v>4.79</v>
      </c>
      <c r="T261">
        <v>50</v>
      </c>
      <c r="U261">
        <v>48</v>
      </c>
      <c r="W261" s="36"/>
    </row>
    <row r="262" spans="1:23" x14ac:dyDescent="0.25">
      <c r="B262" s="21">
        <v>46087</v>
      </c>
      <c r="C262">
        <v>100</v>
      </c>
      <c r="D262">
        <v>88</v>
      </c>
      <c r="E262">
        <v>86</v>
      </c>
      <c r="F262">
        <v>84</v>
      </c>
      <c r="G262">
        <v>71</v>
      </c>
      <c r="H262">
        <v>69</v>
      </c>
      <c r="I262">
        <v>89</v>
      </c>
      <c r="J262">
        <v>75</v>
      </c>
      <c r="K262">
        <v>100</v>
      </c>
      <c r="L262">
        <v>94</v>
      </c>
      <c r="M262">
        <v>86</v>
      </c>
      <c r="N262">
        <v>90</v>
      </c>
      <c r="O262" s="19">
        <f t="shared" ref="O262:O263" si="51">ROUND(AVERAGE(C262:N262,T262:U262),0)</f>
        <v>88</v>
      </c>
      <c r="P262" s="19">
        <f t="shared" ref="P262:P263" si="52">ROUND(_xlfn.STDEV.P(C262:N262,T262:U262),2)</f>
        <v>11.19</v>
      </c>
      <c r="T262">
        <v>112</v>
      </c>
      <c r="U262">
        <v>86</v>
      </c>
      <c r="W262" s="36"/>
    </row>
    <row r="263" spans="1:23" x14ac:dyDescent="0.25">
      <c r="B263" s="21">
        <v>46088</v>
      </c>
      <c r="C263">
        <v>174</v>
      </c>
      <c r="D263">
        <v>160</v>
      </c>
      <c r="E263">
        <v>183</v>
      </c>
      <c r="F263">
        <v>135</v>
      </c>
      <c r="G263">
        <v>140</v>
      </c>
      <c r="H263">
        <v>145</v>
      </c>
      <c r="I263">
        <v>175</v>
      </c>
      <c r="J263">
        <v>128</v>
      </c>
      <c r="K263">
        <v>181</v>
      </c>
      <c r="L263">
        <v>153</v>
      </c>
      <c r="M263">
        <v>142</v>
      </c>
      <c r="N263">
        <v>147</v>
      </c>
      <c r="O263" s="19">
        <f t="shared" si="51"/>
        <v>156</v>
      </c>
      <c r="P263" s="19">
        <f t="shared" si="52"/>
        <v>17.190000000000001</v>
      </c>
      <c r="T263">
        <v>169</v>
      </c>
      <c r="U263">
        <v>151</v>
      </c>
      <c r="W263" s="36"/>
    </row>
    <row r="264" spans="1:23" x14ac:dyDescent="0.25">
      <c r="B264" s="21">
        <v>46089</v>
      </c>
      <c r="C264">
        <v>40</v>
      </c>
      <c r="D264">
        <v>41</v>
      </c>
      <c r="E264">
        <v>50</v>
      </c>
      <c r="F264">
        <v>38</v>
      </c>
      <c r="G264">
        <v>52</v>
      </c>
      <c r="H264">
        <v>26</v>
      </c>
      <c r="I264">
        <v>48</v>
      </c>
      <c r="J264">
        <v>39</v>
      </c>
      <c r="K264">
        <v>47</v>
      </c>
      <c r="L264">
        <v>41</v>
      </c>
      <c r="M264">
        <v>39</v>
      </c>
      <c r="N264">
        <v>37</v>
      </c>
      <c r="O264" s="19">
        <f t="shared" ref="O264" si="53">ROUND(AVERAGE(C264:N264,T264:U264),0)</f>
        <v>42</v>
      </c>
      <c r="P264" s="19">
        <f t="shared" ref="P264" si="54">ROUND(_xlfn.STDEV.P(C264:N264,T264:U264),2)</f>
        <v>6.41</v>
      </c>
      <c r="T264">
        <v>46</v>
      </c>
      <c r="U264">
        <v>38</v>
      </c>
    </row>
    <row r="265" spans="1:23" x14ac:dyDescent="0.25">
      <c r="B265" s="21">
        <v>46090</v>
      </c>
      <c r="C265">
        <v>61</v>
      </c>
      <c r="D265">
        <v>47</v>
      </c>
      <c r="E265">
        <v>55</v>
      </c>
      <c r="F265">
        <v>48</v>
      </c>
      <c r="G265">
        <v>52</v>
      </c>
      <c r="H265">
        <v>41</v>
      </c>
      <c r="I265">
        <v>58</v>
      </c>
      <c r="J265">
        <v>43</v>
      </c>
      <c r="K265">
        <v>60</v>
      </c>
      <c r="L265">
        <v>47</v>
      </c>
      <c r="M265">
        <v>47</v>
      </c>
      <c r="N265">
        <v>47</v>
      </c>
      <c r="O265" s="19">
        <f t="shared" ref="O265:O289" si="55">ROUND(AVERAGE(C265:N265,T265:U265),0)</f>
        <v>50</v>
      </c>
      <c r="P265" s="19">
        <f t="shared" ref="P265:P289" si="56">ROUND(_xlfn.STDEV.P(C265:N265,T265:U265),2)</f>
        <v>5.98</v>
      </c>
      <c r="T265">
        <v>49</v>
      </c>
      <c r="U265">
        <v>46</v>
      </c>
    </row>
    <row r="266" spans="1:23" x14ac:dyDescent="0.25">
      <c r="B266" s="21">
        <v>46091</v>
      </c>
      <c r="C266">
        <v>58</v>
      </c>
      <c r="D266">
        <v>52</v>
      </c>
      <c r="E266">
        <v>57</v>
      </c>
      <c r="F266">
        <v>58</v>
      </c>
      <c r="G266">
        <v>51</v>
      </c>
      <c r="H266">
        <v>49</v>
      </c>
      <c r="I266">
        <v>53</v>
      </c>
      <c r="J266">
        <v>48</v>
      </c>
      <c r="K266">
        <v>60</v>
      </c>
      <c r="L266">
        <v>54</v>
      </c>
      <c r="M266">
        <v>51</v>
      </c>
      <c r="N266">
        <v>45</v>
      </c>
      <c r="O266" s="19">
        <f t="shared" si="55"/>
        <v>53</v>
      </c>
      <c r="P266" s="19">
        <f t="shared" si="56"/>
        <v>4.07</v>
      </c>
      <c r="T266">
        <v>54</v>
      </c>
      <c r="U266">
        <v>52</v>
      </c>
    </row>
    <row r="267" spans="1:23" x14ac:dyDescent="0.25">
      <c r="B267" s="21">
        <v>46092</v>
      </c>
      <c r="C267">
        <v>50</v>
      </c>
      <c r="D267">
        <v>43</v>
      </c>
      <c r="E267">
        <v>51</v>
      </c>
      <c r="F267">
        <v>43</v>
      </c>
      <c r="G267">
        <v>44</v>
      </c>
      <c r="H267">
        <v>42</v>
      </c>
      <c r="I267">
        <v>46</v>
      </c>
      <c r="J267">
        <v>42</v>
      </c>
      <c r="K267">
        <v>49</v>
      </c>
      <c r="L267">
        <v>42</v>
      </c>
      <c r="M267">
        <v>45</v>
      </c>
      <c r="N267">
        <v>42</v>
      </c>
      <c r="O267" s="19">
        <f t="shared" si="55"/>
        <v>45</v>
      </c>
      <c r="P267" s="19">
        <f t="shared" si="56"/>
        <v>3.29</v>
      </c>
      <c r="T267">
        <v>50</v>
      </c>
      <c r="U267">
        <v>43</v>
      </c>
    </row>
    <row r="268" spans="1:23" x14ac:dyDescent="0.25">
      <c r="B268" s="21">
        <v>46093</v>
      </c>
      <c r="C268">
        <v>56</v>
      </c>
      <c r="D268">
        <v>36</v>
      </c>
      <c r="E268">
        <v>49</v>
      </c>
      <c r="F268">
        <v>49</v>
      </c>
      <c r="G268">
        <v>43</v>
      </c>
      <c r="H268">
        <v>53</v>
      </c>
      <c r="I268">
        <v>56</v>
      </c>
      <c r="J268">
        <v>44</v>
      </c>
      <c r="K268">
        <v>53</v>
      </c>
      <c r="L268">
        <v>36</v>
      </c>
      <c r="M268">
        <v>42</v>
      </c>
      <c r="N268">
        <v>40</v>
      </c>
      <c r="O268" s="19">
        <f t="shared" si="55"/>
        <v>47</v>
      </c>
      <c r="P268" s="19">
        <f t="shared" si="56"/>
        <v>7.2</v>
      </c>
      <c r="T268">
        <v>59</v>
      </c>
      <c r="U268">
        <v>47</v>
      </c>
    </row>
    <row r="269" spans="1:23" x14ac:dyDescent="0.25">
      <c r="B269" s="21">
        <v>46094</v>
      </c>
      <c r="C269">
        <v>79</v>
      </c>
      <c r="D269">
        <v>69</v>
      </c>
      <c r="E269">
        <v>87</v>
      </c>
      <c r="F269">
        <v>68</v>
      </c>
      <c r="G269">
        <v>72</v>
      </c>
      <c r="H269">
        <v>71</v>
      </c>
      <c r="I269">
        <v>85</v>
      </c>
      <c r="J269">
        <v>68</v>
      </c>
      <c r="K269">
        <v>77</v>
      </c>
      <c r="L269">
        <v>72</v>
      </c>
      <c r="M269">
        <v>65</v>
      </c>
      <c r="N269">
        <v>72</v>
      </c>
      <c r="O269" s="19">
        <f t="shared" si="55"/>
        <v>75</v>
      </c>
      <c r="P269" s="19">
        <f t="shared" si="56"/>
        <v>7.13</v>
      </c>
      <c r="T269">
        <v>88</v>
      </c>
      <c r="U269">
        <v>76</v>
      </c>
    </row>
    <row r="270" spans="1:23" x14ac:dyDescent="0.25">
      <c r="B270" s="21">
        <v>46095</v>
      </c>
      <c r="C270">
        <v>134</v>
      </c>
      <c r="D270">
        <v>154</v>
      </c>
      <c r="E270">
        <v>131</v>
      </c>
      <c r="F270">
        <v>124</v>
      </c>
      <c r="G270">
        <v>122</v>
      </c>
      <c r="H270">
        <v>140</v>
      </c>
      <c r="I270">
        <v>136</v>
      </c>
      <c r="J270">
        <v>120</v>
      </c>
      <c r="K270">
        <v>140</v>
      </c>
      <c r="L270">
        <v>149</v>
      </c>
      <c r="M270">
        <v>135</v>
      </c>
      <c r="N270">
        <v>145</v>
      </c>
      <c r="O270" s="19">
        <f t="shared" si="55"/>
        <v>137</v>
      </c>
      <c r="P270" s="19">
        <f t="shared" si="56"/>
        <v>10.34</v>
      </c>
      <c r="T270">
        <v>142</v>
      </c>
      <c r="U270">
        <v>152</v>
      </c>
    </row>
    <row r="271" spans="1:23" x14ac:dyDescent="0.25">
      <c r="B271" s="21">
        <v>46096</v>
      </c>
      <c r="C271">
        <v>62</v>
      </c>
      <c r="D271">
        <v>46</v>
      </c>
      <c r="E271">
        <v>58</v>
      </c>
      <c r="F271">
        <v>54</v>
      </c>
      <c r="G271">
        <v>48</v>
      </c>
      <c r="H271">
        <v>31</v>
      </c>
      <c r="I271">
        <v>63</v>
      </c>
      <c r="J271">
        <v>48</v>
      </c>
      <c r="K271">
        <v>38</v>
      </c>
      <c r="L271">
        <v>56</v>
      </c>
      <c r="M271">
        <v>42</v>
      </c>
      <c r="N271">
        <v>47</v>
      </c>
      <c r="O271" s="19">
        <f t="shared" si="55"/>
        <v>54</v>
      </c>
      <c r="P271" s="19">
        <f t="shared" si="56"/>
        <v>16.43</v>
      </c>
      <c r="T271">
        <v>104</v>
      </c>
      <c r="U271">
        <v>55</v>
      </c>
    </row>
    <row r="272" spans="1:23" x14ac:dyDescent="0.25">
      <c r="B272" s="21">
        <v>46097</v>
      </c>
      <c r="C272">
        <v>56</v>
      </c>
      <c r="D272">
        <v>48</v>
      </c>
      <c r="E272">
        <v>51</v>
      </c>
      <c r="F272">
        <v>48</v>
      </c>
      <c r="G272">
        <v>45</v>
      </c>
      <c r="H272">
        <v>35</v>
      </c>
      <c r="I272">
        <v>57</v>
      </c>
      <c r="J272">
        <v>44</v>
      </c>
      <c r="K272">
        <v>63</v>
      </c>
      <c r="L272">
        <v>48</v>
      </c>
      <c r="M272">
        <v>47</v>
      </c>
      <c r="N272">
        <v>45</v>
      </c>
      <c r="O272" s="19">
        <f t="shared" si="55"/>
        <v>49</v>
      </c>
      <c r="P272" s="19">
        <f t="shared" si="56"/>
        <v>6.96</v>
      </c>
      <c r="T272">
        <v>58</v>
      </c>
      <c r="U272">
        <v>44</v>
      </c>
    </row>
    <row r="273" spans="2:21" x14ac:dyDescent="0.25">
      <c r="B273" s="21">
        <v>46098</v>
      </c>
      <c r="C273">
        <v>42</v>
      </c>
      <c r="D273">
        <v>26</v>
      </c>
      <c r="E273">
        <v>46</v>
      </c>
      <c r="F273">
        <v>21</v>
      </c>
      <c r="G273">
        <v>36</v>
      </c>
      <c r="H273">
        <v>20</v>
      </c>
      <c r="I273">
        <v>46</v>
      </c>
      <c r="J273">
        <v>27</v>
      </c>
      <c r="K273">
        <v>44</v>
      </c>
      <c r="L273">
        <v>23</v>
      </c>
      <c r="M273">
        <v>31</v>
      </c>
      <c r="N273">
        <v>26</v>
      </c>
      <c r="O273" s="19">
        <f t="shared" si="55"/>
        <v>33</v>
      </c>
      <c r="P273" s="19">
        <f t="shared" si="56"/>
        <v>10.02</v>
      </c>
      <c r="T273">
        <v>48</v>
      </c>
      <c r="U273">
        <v>24</v>
      </c>
    </row>
    <row r="274" spans="2:21" x14ac:dyDescent="0.25">
      <c r="B274" s="21">
        <v>46099</v>
      </c>
      <c r="C274">
        <v>53</v>
      </c>
      <c r="D274">
        <v>39</v>
      </c>
      <c r="E274">
        <v>52</v>
      </c>
      <c r="F274">
        <v>47</v>
      </c>
      <c r="G274">
        <v>43</v>
      </c>
      <c r="H274">
        <v>38</v>
      </c>
      <c r="I274">
        <v>54</v>
      </c>
      <c r="J274">
        <v>39</v>
      </c>
      <c r="K274">
        <v>46</v>
      </c>
      <c r="L274">
        <v>37</v>
      </c>
      <c r="M274">
        <v>42</v>
      </c>
      <c r="N274">
        <v>40</v>
      </c>
      <c r="O274" s="19">
        <f t="shared" si="55"/>
        <v>46</v>
      </c>
      <c r="P274" s="19">
        <f t="shared" si="56"/>
        <v>7.84</v>
      </c>
      <c r="T274">
        <v>66</v>
      </c>
      <c r="U274">
        <v>43</v>
      </c>
    </row>
    <row r="275" spans="2:21" x14ac:dyDescent="0.25">
      <c r="B275" s="21">
        <v>46100</v>
      </c>
      <c r="C275">
        <v>61</v>
      </c>
      <c r="D275">
        <v>48</v>
      </c>
      <c r="E275">
        <v>71</v>
      </c>
      <c r="F275">
        <v>53</v>
      </c>
      <c r="G275">
        <v>57</v>
      </c>
      <c r="H275">
        <v>66</v>
      </c>
      <c r="I275">
        <v>60</v>
      </c>
      <c r="J275">
        <v>48</v>
      </c>
      <c r="K275">
        <v>55</v>
      </c>
      <c r="L275">
        <v>48</v>
      </c>
      <c r="M275">
        <v>46</v>
      </c>
      <c r="N275">
        <v>46</v>
      </c>
      <c r="O275" s="19">
        <f t="shared" si="55"/>
        <v>56</v>
      </c>
      <c r="P275" s="19">
        <f t="shared" si="56"/>
        <v>8.59</v>
      </c>
      <c r="T275">
        <v>72</v>
      </c>
      <c r="U275">
        <v>53</v>
      </c>
    </row>
    <row r="276" spans="2:21" x14ac:dyDescent="0.25">
      <c r="B276" s="21">
        <v>46101</v>
      </c>
      <c r="C276">
        <v>72</v>
      </c>
      <c r="D276">
        <v>82</v>
      </c>
      <c r="E276">
        <v>76</v>
      </c>
      <c r="F276">
        <v>85</v>
      </c>
      <c r="G276">
        <v>59</v>
      </c>
      <c r="H276">
        <v>85</v>
      </c>
      <c r="I276">
        <v>83</v>
      </c>
      <c r="J276">
        <v>71</v>
      </c>
      <c r="K276">
        <v>96</v>
      </c>
      <c r="L276">
        <v>92</v>
      </c>
      <c r="M276">
        <v>80</v>
      </c>
      <c r="N276">
        <v>83</v>
      </c>
      <c r="O276" s="19">
        <f t="shared" si="55"/>
        <v>80</v>
      </c>
      <c r="P276" s="19">
        <f t="shared" si="56"/>
        <v>9.51</v>
      </c>
      <c r="T276">
        <v>67</v>
      </c>
      <c r="U276">
        <v>85</v>
      </c>
    </row>
    <row r="277" spans="2:21" x14ac:dyDescent="0.25">
      <c r="B277" s="21">
        <v>46102</v>
      </c>
      <c r="C277">
        <v>81</v>
      </c>
      <c r="D277">
        <v>106</v>
      </c>
      <c r="E277">
        <v>96</v>
      </c>
      <c r="F277">
        <v>105</v>
      </c>
      <c r="G277">
        <v>95</v>
      </c>
      <c r="H277">
        <v>127</v>
      </c>
      <c r="I277">
        <v>114</v>
      </c>
      <c r="J277">
        <v>99</v>
      </c>
      <c r="K277">
        <v>86</v>
      </c>
      <c r="L277">
        <v>115</v>
      </c>
      <c r="M277">
        <v>95</v>
      </c>
      <c r="N277">
        <v>105</v>
      </c>
      <c r="O277" s="19">
        <f t="shared" si="55"/>
        <v>102</v>
      </c>
      <c r="P277" s="19">
        <f t="shared" si="56"/>
        <v>13</v>
      </c>
      <c r="T277">
        <v>83</v>
      </c>
      <c r="U277">
        <v>116</v>
      </c>
    </row>
    <row r="278" spans="2:21" x14ac:dyDescent="0.25">
      <c r="B278" s="21">
        <v>46103</v>
      </c>
      <c r="C278">
        <v>36</v>
      </c>
      <c r="D278">
        <v>47</v>
      </c>
      <c r="E278">
        <v>73</v>
      </c>
      <c r="F278">
        <v>45</v>
      </c>
      <c r="G278">
        <v>42</v>
      </c>
      <c r="H278">
        <v>28</v>
      </c>
      <c r="I278">
        <v>53</v>
      </c>
      <c r="J278">
        <v>45</v>
      </c>
      <c r="K278">
        <v>52</v>
      </c>
      <c r="L278">
        <v>48</v>
      </c>
      <c r="M278">
        <v>53</v>
      </c>
      <c r="N278">
        <v>49</v>
      </c>
      <c r="O278" s="19">
        <f t="shared" si="55"/>
        <v>48</v>
      </c>
      <c r="P278" s="19">
        <f t="shared" si="56"/>
        <v>9.69</v>
      </c>
      <c r="T278">
        <v>52</v>
      </c>
      <c r="U278">
        <v>45</v>
      </c>
    </row>
    <row r="279" spans="2:21" x14ac:dyDescent="0.25">
      <c r="B279" s="21">
        <v>46104</v>
      </c>
      <c r="C279">
        <v>58</v>
      </c>
      <c r="D279">
        <v>41</v>
      </c>
      <c r="E279">
        <v>50</v>
      </c>
      <c r="F279">
        <v>36</v>
      </c>
      <c r="G279">
        <v>52</v>
      </c>
      <c r="H279">
        <v>33</v>
      </c>
      <c r="I279">
        <v>46</v>
      </c>
      <c r="J279">
        <v>38</v>
      </c>
      <c r="K279">
        <v>52</v>
      </c>
      <c r="L279">
        <v>37</v>
      </c>
      <c r="M279">
        <v>40</v>
      </c>
      <c r="N279">
        <v>38</v>
      </c>
      <c r="O279" s="19">
        <f t="shared" si="55"/>
        <v>43</v>
      </c>
      <c r="P279" s="19">
        <f t="shared" si="56"/>
        <v>7.44</v>
      </c>
      <c r="T279">
        <v>50</v>
      </c>
      <c r="U279">
        <v>37</v>
      </c>
    </row>
    <row r="280" spans="2:21" x14ac:dyDescent="0.25">
      <c r="B280" s="21">
        <v>46105</v>
      </c>
      <c r="C280">
        <v>49</v>
      </c>
      <c r="D280">
        <v>40</v>
      </c>
      <c r="E280">
        <v>48</v>
      </c>
      <c r="F280">
        <v>37</v>
      </c>
      <c r="G280">
        <v>49</v>
      </c>
      <c r="H280">
        <v>36</v>
      </c>
      <c r="I280">
        <v>47</v>
      </c>
      <c r="J280">
        <v>39</v>
      </c>
      <c r="K280">
        <v>46</v>
      </c>
      <c r="L280">
        <v>40</v>
      </c>
      <c r="M280">
        <v>41</v>
      </c>
      <c r="N280">
        <v>40</v>
      </c>
      <c r="O280" s="19">
        <f t="shared" si="55"/>
        <v>43</v>
      </c>
      <c r="P280" s="19">
        <f t="shared" si="56"/>
        <v>4.95</v>
      </c>
      <c r="T280">
        <v>51</v>
      </c>
      <c r="U280">
        <v>38</v>
      </c>
    </row>
    <row r="281" spans="2:21" x14ac:dyDescent="0.25">
      <c r="B281" s="21">
        <v>46106</v>
      </c>
      <c r="C281">
        <v>71</v>
      </c>
      <c r="D281">
        <v>39</v>
      </c>
      <c r="E281">
        <v>54</v>
      </c>
      <c r="F281">
        <v>46</v>
      </c>
      <c r="G281">
        <v>44</v>
      </c>
      <c r="H281">
        <v>41</v>
      </c>
      <c r="I281">
        <v>57</v>
      </c>
      <c r="J281">
        <v>39</v>
      </c>
      <c r="K281">
        <v>49</v>
      </c>
      <c r="L281">
        <v>40</v>
      </c>
      <c r="M281">
        <v>41</v>
      </c>
      <c r="N281">
        <v>39</v>
      </c>
      <c r="O281" s="19">
        <f t="shared" si="55"/>
        <v>48</v>
      </c>
      <c r="P281" s="19">
        <f t="shared" si="56"/>
        <v>9.6</v>
      </c>
      <c r="T281">
        <v>62</v>
      </c>
      <c r="U281">
        <v>43</v>
      </c>
    </row>
    <row r="282" spans="2:21" x14ac:dyDescent="0.25">
      <c r="B282" s="21">
        <v>46107</v>
      </c>
      <c r="C282">
        <v>60</v>
      </c>
      <c r="D282">
        <v>48</v>
      </c>
      <c r="E282">
        <v>70</v>
      </c>
      <c r="F282">
        <v>53</v>
      </c>
      <c r="G282">
        <v>58</v>
      </c>
      <c r="H282">
        <v>67</v>
      </c>
      <c r="I282">
        <v>60</v>
      </c>
      <c r="J282">
        <v>49</v>
      </c>
      <c r="K282">
        <v>56</v>
      </c>
      <c r="L282">
        <v>49</v>
      </c>
      <c r="M282">
        <v>46</v>
      </c>
      <c r="N282">
        <v>46</v>
      </c>
      <c r="O282" s="19">
        <f t="shared" si="55"/>
        <v>56</v>
      </c>
      <c r="P282" s="19">
        <f t="shared" si="56"/>
        <v>8.27</v>
      </c>
      <c r="T282">
        <v>71</v>
      </c>
      <c r="U282">
        <v>53</v>
      </c>
    </row>
    <row r="283" spans="2:21" x14ac:dyDescent="0.25">
      <c r="B283" s="21">
        <v>46108</v>
      </c>
      <c r="C283">
        <v>77</v>
      </c>
      <c r="D283">
        <v>72</v>
      </c>
      <c r="E283">
        <v>85</v>
      </c>
      <c r="F283">
        <v>71</v>
      </c>
      <c r="G283">
        <v>72</v>
      </c>
      <c r="H283">
        <v>81</v>
      </c>
      <c r="I283">
        <v>83</v>
      </c>
      <c r="J283">
        <v>65</v>
      </c>
      <c r="K283">
        <v>79</v>
      </c>
      <c r="L283">
        <v>78</v>
      </c>
      <c r="M283">
        <v>72</v>
      </c>
      <c r="N283">
        <v>72</v>
      </c>
      <c r="O283" s="19">
        <f t="shared" si="55"/>
        <v>76</v>
      </c>
      <c r="P283" s="19">
        <f t="shared" si="56"/>
        <v>5.45</v>
      </c>
      <c r="T283">
        <v>82</v>
      </c>
      <c r="U283">
        <v>77</v>
      </c>
    </row>
    <row r="284" spans="2:21" x14ac:dyDescent="0.25">
      <c r="B284" s="21">
        <v>46109</v>
      </c>
      <c r="C284">
        <v>143</v>
      </c>
      <c r="D284">
        <v>135</v>
      </c>
      <c r="E284">
        <v>149</v>
      </c>
      <c r="F284">
        <v>124</v>
      </c>
      <c r="G284">
        <v>111</v>
      </c>
      <c r="H284">
        <v>134</v>
      </c>
      <c r="I284">
        <v>143</v>
      </c>
      <c r="J284">
        <v>108</v>
      </c>
      <c r="K284">
        <v>148</v>
      </c>
      <c r="L284">
        <v>126</v>
      </c>
      <c r="M284">
        <v>118</v>
      </c>
      <c r="N284">
        <v>121</v>
      </c>
      <c r="O284" s="19">
        <f t="shared" si="55"/>
        <v>132</v>
      </c>
      <c r="P284" s="19">
        <f t="shared" si="56"/>
        <v>13.52</v>
      </c>
      <c r="T284">
        <v>150</v>
      </c>
      <c r="U284">
        <v>133</v>
      </c>
    </row>
    <row r="285" spans="2:21" x14ac:dyDescent="0.25">
      <c r="B285" s="21">
        <v>46110</v>
      </c>
      <c r="C285">
        <v>51</v>
      </c>
      <c r="D285">
        <v>46</v>
      </c>
      <c r="E285">
        <v>51</v>
      </c>
      <c r="F285">
        <v>51</v>
      </c>
      <c r="G285">
        <v>43</v>
      </c>
      <c r="H285">
        <v>35</v>
      </c>
      <c r="I285">
        <v>56</v>
      </c>
      <c r="J285">
        <v>44</v>
      </c>
      <c r="K285">
        <v>57</v>
      </c>
      <c r="L285">
        <v>46</v>
      </c>
      <c r="M285">
        <v>50</v>
      </c>
      <c r="N285">
        <v>47</v>
      </c>
      <c r="O285" s="19">
        <f t="shared" si="55"/>
        <v>48</v>
      </c>
      <c r="P285" s="19">
        <f t="shared" si="56"/>
        <v>5.33</v>
      </c>
      <c r="T285">
        <v>50</v>
      </c>
      <c r="U285">
        <v>48</v>
      </c>
    </row>
    <row r="286" spans="2:21" x14ac:dyDescent="0.25">
      <c r="B286" s="21">
        <v>46111</v>
      </c>
      <c r="C286">
        <v>58</v>
      </c>
      <c r="D286">
        <v>48</v>
      </c>
      <c r="E286">
        <v>57</v>
      </c>
      <c r="F286">
        <v>49</v>
      </c>
      <c r="G286">
        <v>45</v>
      </c>
      <c r="H286">
        <v>36</v>
      </c>
      <c r="I286">
        <v>60</v>
      </c>
      <c r="J286">
        <v>45</v>
      </c>
      <c r="K286">
        <v>70</v>
      </c>
      <c r="L286">
        <v>49</v>
      </c>
      <c r="M286">
        <v>49</v>
      </c>
      <c r="N286">
        <v>46</v>
      </c>
      <c r="O286" s="19">
        <f t="shared" si="55"/>
        <v>51</v>
      </c>
      <c r="P286" s="19">
        <f t="shared" si="56"/>
        <v>8.15</v>
      </c>
      <c r="T286">
        <v>56</v>
      </c>
      <c r="U286">
        <v>45</v>
      </c>
    </row>
    <row r="287" spans="2:21" x14ac:dyDescent="0.25">
      <c r="B287" s="21">
        <v>46112</v>
      </c>
      <c r="C287">
        <v>67</v>
      </c>
      <c r="D287">
        <v>48</v>
      </c>
      <c r="E287">
        <v>62</v>
      </c>
      <c r="F287">
        <v>48</v>
      </c>
      <c r="G287">
        <v>45</v>
      </c>
      <c r="H287">
        <v>37</v>
      </c>
      <c r="I287">
        <v>68</v>
      </c>
      <c r="J287">
        <v>42</v>
      </c>
      <c r="K287">
        <v>70</v>
      </c>
      <c r="L287">
        <v>48</v>
      </c>
      <c r="M287">
        <v>47</v>
      </c>
      <c r="N287">
        <v>44</v>
      </c>
      <c r="O287" s="19">
        <f t="shared" si="55"/>
        <v>53</v>
      </c>
      <c r="P287" s="19">
        <f t="shared" si="56"/>
        <v>11.02</v>
      </c>
      <c r="T287">
        <v>67</v>
      </c>
      <c r="U287">
        <v>44</v>
      </c>
    </row>
    <row r="288" spans="2:21" x14ac:dyDescent="0.25">
      <c r="B288" s="21">
        <v>46113</v>
      </c>
      <c r="C288">
        <v>55</v>
      </c>
      <c r="D288">
        <v>42</v>
      </c>
      <c r="E288">
        <v>58</v>
      </c>
      <c r="F288">
        <v>45</v>
      </c>
      <c r="G288">
        <v>44</v>
      </c>
      <c r="H288">
        <v>43</v>
      </c>
      <c r="I288">
        <v>55</v>
      </c>
      <c r="J288">
        <v>41</v>
      </c>
      <c r="K288">
        <v>38</v>
      </c>
      <c r="L288">
        <v>43</v>
      </c>
      <c r="M288">
        <v>43</v>
      </c>
      <c r="N288">
        <v>40</v>
      </c>
      <c r="O288" s="19">
        <f t="shared" si="55"/>
        <v>46</v>
      </c>
      <c r="P288" s="19">
        <f t="shared" si="56"/>
        <v>6.37</v>
      </c>
      <c r="T288">
        <v>55</v>
      </c>
      <c r="U288">
        <v>43</v>
      </c>
    </row>
    <row r="289" spans="2:21" x14ac:dyDescent="0.25">
      <c r="B289" s="21">
        <v>46114</v>
      </c>
      <c r="C289">
        <v>77</v>
      </c>
      <c r="D289">
        <v>78</v>
      </c>
      <c r="E289">
        <v>93</v>
      </c>
      <c r="F289">
        <v>69</v>
      </c>
      <c r="G289">
        <v>84</v>
      </c>
      <c r="H289">
        <v>64</v>
      </c>
      <c r="I289">
        <v>90</v>
      </c>
      <c r="J289">
        <v>63</v>
      </c>
      <c r="K289">
        <v>78</v>
      </c>
      <c r="L289">
        <v>69</v>
      </c>
      <c r="M289">
        <v>67</v>
      </c>
      <c r="N289">
        <v>68</v>
      </c>
      <c r="O289" s="19">
        <f t="shared" si="55"/>
        <v>76</v>
      </c>
      <c r="P289" s="19">
        <f t="shared" si="56"/>
        <v>10.39</v>
      </c>
      <c r="T289">
        <v>95</v>
      </c>
      <c r="U289">
        <v>70</v>
      </c>
    </row>
    <row r="290" spans="2:21" x14ac:dyDescent="0.25">
      <c r="B290" s="30" t="s">
        <v>40</v>
      </c>
      <c r="C290">
        <v>24.12</v>
      </c>
      <c r="D290">
        <v>25</v>
      </c>
      <c r="E290">
        <v>25.76</v>
      </c>
      <c r="F290" s="14">
        <v>24.05</v>
      </c>
      <c r="G290" s="14">
        <v>26.18</v>
      </c>
      <c r="H290" s="14">
        <v>23.24</v>
      </c>
      <c r="I290" s="14">
        <v>25.65</v>
      </c>
      <c r="J290" s="14">
        <v>25.38</v>
      </c>
      <c r="K290" s="14">
        <v>24.64</v>
      </c>
      <c r="L290" s="14">
        <v>29.12</v>
      </c>
      <c r="M290" s="14">
        <v>25.44</v>
      </c>
      <c r="N290" s="15">
        <v>29.25</v>
      </c>
      <c r="O290" s="31">
        <f>ROUND(AVERAGE(C290:N290,T290:U290),2)</f>
        <v>25.61</v>
      </c>
      <c r="P290" s="31">
        <f>ROUND(_xlfn.STDEV.P(C290:N290,T290:U290),2)</f>
        <v>1.76</v>
      </c>
      <c r="T290">
        <v>23.66</v>
      </c>
      <c r="U290">
        <v>27.1</v>
      </c>
    </row>
    <row r="291" spans="2:21" x14ac:dyDescent="0.25">
      <c r="B291" s="18" t="s">
        <v>41</v>
      </c>
      <c r="C291">
        <v>27.05</v>
      </c>
      <c r="D291">
        <v>25.12</v>
      </c>
      <c r="E291">
        <v>28.76</v>
      </c>
      <c r="F291">
        <v>27.97</v>
      </c>
      <c r="G291">
        <v>28.62</v>
      </c>
      <c r="H291">
        <v>27.55</v>
      </c>
      <c r="I291">
        <v>27.53</v>
      </c>
      <c r="J291">
        <v>23.71</v>
      </c>
      <c r="K291">
        <v>28.02</v>
      </c>
      <c r="L291">
        <v>23.81</v>
      </c>
      <c r="M291" s="14">
        <v>27.97</v>
      </c>
      <c r="N291" s="14">
        <v>24.93</v>
      </c>
      <c r="O291" s="31">
        <f>ROUND(AVERAGE(C291:N291,T291:U291),2)</f>
        <v>26.88</v>
      </c>
      <c r="P291" s="31">
        <f>ROUND(_xlfn.STDEV.P(C291:N291,T291:U291),2)</f>
        <v>2.17</v>
      </c>
      <c r="T291">
        <v>31.31</v>
      </c>
      <c r="U291">
        <v>23.95</v>
      </c>
    </row>
    <row r="292" spans="2:21" x14ac:dyDescent="0.25">
      <c r="C292" s="53" t="s">
        <v>53</v>
      </c>
      <c r="D292" s="53"/>
      <c r="E292" s="53" t="s">
        <v>57</v>
      </c>
      <c r="F292" s="53"/>
      <c r="G292" s="53" t="s">
        <v>54</v>
      </c>
      <c r="H292" s="53"/>
      <c r="I292" s="53" t="s">
        <v>58</v>
      </c>
      <c r="J292" s="53"/>
      <c r="K292" s="58" t="s">
        <v>55</v>
      </c>
      <c r="L292" s="58"/>
      <c r="M292" s="58" t="s">
        <v>56</v>
      </c>
      <c r="N292" s="58"/>
      <c r="T292" s="53" t="s">
        <v>66</v>
      </c>
      <c r="U292" s="53"/>
    </row>
    <row r="293" spans="2:21" x14ac:dyDescent="0.25">
      <c r="C293" t="s">
        <v>63</v>
      </c>
      <c r="D293" t="s">
        <v>64</v>
      </c>
      <c r="E293" t="s">
        <v>63</v>
      </c>
      <c r="F293" t="s">
        <v>64</v>
      </c>
      <c r="G293" t="s">
        <v>63</v>
      </c>
      <c r="H293" t="s">
        <v>64</v>
      </c>
      <c r="I293" t="s">
        <v>63</v>
      </c>
      <c r="J293" t="s">
        <v>64</v>
      </c>
      <c r="K293" t="s">
        <v>63</v>
      </c>
      <c r="L293" t="s">
        <v>64</v>
      </c>
      <c r="M293" t="s">
        <v>63</v>
      </c>
      <c r="N293" t="s">
        <v>64</v>
      </c>
      <c r="T293" t="s">
        <v>63</v>
      </c>
      <c r="U293" t="s">
        <v>64</v>
      </c>
    </row>
    <row r="294" spans="2:21" x14ac:dyDescent="0.25">
      <c r="B294" t="s">
        <v>65</v>
      </c>
      <c r="C294">
        <v>82.424000000000007</v>
      </c>
      <c r="D294">
        <v>82.721000000000004</v>
      </c>
      <c r="E294">
        <v>98.254999999999995</v>
      </c>
      <c r="F294">
        <v>96.980999999999995</v>
      </c>
      <c r="G294">
        <v>25.186</v>
      </c>
      <c r="H294">
        <v>14.311</v>
      </c>
      <c r="I294">
        <v>158.57400000000001</v>
      </c>
      <c r="J294">
        <v>131.16200000000001</v>
      </c>
      <c r="K294">
        <v>97.951999999999998</v>
      </c>
      <c r="L294">
        <v>98.364000000000004</v>
      </c>
      <c r="M294">
        <v>191.887</v>
      </c>
      <c r="N294">
        <v>183.61500000000001</v>
      </c>
      <c r="T294">
        <v>226.39</v>
      </c>
      <c r="U294">
        <v>197.57900000000001</v>
      </c>
    </row>
    <row r="295" spans="2:21" x14ac:dyDescent="0.25">
      <c r="B295" t="s">
        <v>67</v>
      </c>
      <c r="C295" s="32"/>
      <c r="D295" s="32"/>
      <c r="E295" s="32"/>
      <c r="F295" s="32"/>
      <c r="G295" s="32"/>
      <c r="H295" s="32"/>
      <c r="I295" s="52">
        <v>0.7722</v>
      </c>
      <c r="J295" s="52">
        <v>0.8115</v>
      </c>
      <c r="K295" s="52">
        <v>0.70320000000000005</v>
      </c>
      <c r="L295" s="52">
        <v>0.7117</v>
      </c>
      <c r="M295" s="52">
        <v>0.83540000000000003</v>
      </c>
      <c r="N295" s="52">
        <v>0.70599999999999996</v>
      </c>
      <c r="T295" s="52">
        <v>0.85650000000000004</v>
      </c>
      <c r="U295" s="52">
        <v>0.73839999999999995</v>
      </c>
    </row>
  </sheetData>
  <mergeCells count="9">
    <mergeCell ref="T292:U292"/>
    <mergeCell ref="C1:N1"/>
    <mergeCell ref="C2:N2"/>
    <mergeCell ref="C292:D292"/>
    <mergeCell ref="I292:J292"/>
    <mergeCell ref="G292:H292"/>
    <mergeCell ref="E292:F292"/>
    <mergeCell ref="K292:L292"/>
    <mergeCell ref="M292:N292"/>
  </mergeCells>
  <conditionalFormatting sqref="C98:N258 T142:U258">
    <cfRule type="expression" dxfId="14" priority="3">
      <formula>ABS(C98-$A98)&lt;=5</formula>
    </cfRule>
    <cfRule type="expression" dxfId="13" priority="4">
      <formula>ABS(C98-$A98)&lt;=10</formula>
    </cfRule>
    <cfRule type="expression" dxfId="12" priority="11">
      <formula>ABS(C98-$A98)&lt;=15</formula>
    </cfRule>
  </conditionalFormatting>
  <conditionalFormatting sqref="C290:N290 T290:U290">
    <cfRule type="cellIs" dxfId="11" priority="1" operator="lessThan">
      <formula>$O$290-$P$290</formula>
    </cfRule>
    <cfRule type="cellIs" dxfId="10" priority="2" operator="greaterThan">
      <formula>$O$290+$P$290</formula>
    </cfRule>
    <cfRule type="cellIs" dxfId="9" priority="30" operator="between">
      <formula>$O$290-$P$290</formula>
      <formula>"$O$264+$P$264"</formula>
    </cfRule>
  </conditionalFormatting>
  <conditionalFormatting sqref="C291:N291 T291:U291">
    <cfRule type="cellIs" dxfId="8" priority="6" operator="lessThan">
      <formula>20</formula>
    </cfRule>
  </conditionalFormatting>
  <conditionalFormatting sqref="R3:R79 R81:R258">
    <cfRule type="colorScale" priority="29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E2AF-C5F8-4B32-A88A-8E9C9CBC1046}">
  <dimension ref="A1:W291"/>
  <sheetViews>
    <sheetView topLeftCell="A254" zoomScaleNormal="100" workbookViewId="0">
      <selection activeCell="O259" sqref="O259:P289"/>
    </sheetView>
  </sheetViews>
  <sheetFormatPr defaultRowHeight="15" x14ac:dyDescent="0.25"/>
  <cols>
    <col min="1" max="1" width="11" customWidth="1"/>
    <col min="2" max="2" width="13.140625" customWidth="1"/>
  </cols>
  <sheetData>
    <row r="1" spans="1:19" ht="15.75" thickBot="1" x14ac:dyDescent="0.3">
      <c r="B1" s="58" t="s">
        <v>59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9" ht="15.75" thickBot="1" x14ac:dyDescent="0.3">
      <c r="A2" s="18" t="s">
        <v>43</v>
      </c>
      <c r="B2" s="6"/>
      <c r="C2" s="55">
        <v>0.85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  <c r="O2" s="17" t="s">
        <v>39</v>
      </c>
      <c r="P2" s="17" t="s">
        <v>42</v>
      </c>
    </row>
    <row r="3" spans="1:19" x14ac:dyDescent="0.25">
      <c r="A3" s="24">
        <v>125</v>
      </c>
      <c r="B3" s="21">
        <v>45828</v>
      </c>
      <c r="C3" s="14">
        <v>155</v>
      </c>
      <c r="D3">
        <v>151</v>
      </c>
      <c r="E3">
        <v>150</v>
      </c>
      <c r="F3">
        <v>152</v>
      </c>
      <c r="O3" s="19">
        <f t="shared" ref="O3:O66" si="0">ROUND(AVERAGE(C3:N3),0)</f>
        <v>152</v>
      </c>
      <c r="P3" s="19">
        <f t="shared" ref="P3:P66" si="1">ROUND(_xlfn.STDEV.P(C3:N3),2)</f>
        <v>1.87</v>
      </c>
      <c r="R3" s="25">
        <f t="shared" ref="R3:R4" si="2">O3-A3</f>
        <v>27</v>
      </c>
      <c r="S3">
        <f>O3/A3</f>
        <v>1.216</v>
      </c>
    </row>
    <row r="4" spans="1:19" x14ac:dyDescent="0.25">
      <c r="A4" s="24">
        <v>159</v>
      </c>
      <c r="B4" s="21">
        <v>45829</v>
      </c>
      <c r="C4" s="14">
        <v>87</v>
      </c>
      <c r="D4">
        <v>128</v>
      </c>
      <c r="E4">
        <v>134</v>
      </c>
      <c r="F4">
        <v>107</v>
      </c>
      <c r="O4" s="19">
        <f t="shared" si="0"/>
        <v>114</v>
      </c>
      <c r="P4" s="19">
        <f t="shared" si="1"/>
        <v>18.53</v>
      </c>
      <c r="R4" s="25">
        <f t="shared" si="2"/>
        <v>-45</v>
      </c>
      <c r="S4">
        <f t="shared" ref="S4:S5" si="3">O4/A4</f>
        <v>0.71698113207547165</v>
      </c>
    </row>
    <row r="5" spans="1:19" x14ac:dyDescent="0.25">
      <c r="A5" s="24">
        <v>63</v>
      </c>
      <c r="B5" s="21">
        <v>45830</v>
      </c>
      <c r="C5" s="14">
        <v>49</v>
      </c>
      <c r="D5">
        <v>71</v>
      </c>
      <c r="E5">
        <v>68</v>
      </c>
      <c r="F5">
        <v>113</v>
      </c>
      <c r="O5" s="19">
        <f t="shared" si="0"/>
        <v>75</v>
      </c>
      <c r="P5" s="19">
        <f t="shared" si="1"/>
        <v>23.37</v>
      </c>
      <c r="R5" s="25">
        <f>O5-A5</f>
        <v>12</v>
      </c>
      <c r="S5">
        <f t="shared" si="3"/>
        <v>1.1904761904761905</v>
      </c>
    </row>
    <row r="6" spans="1:19" x14ac:dyDescent="0.25">
      <c r="A6" s="24">
        <v>56</v>
      </c>
      <c r="B6" s="21">
        <v>45831</v>
      </c>
      <c r="C6" s="14">
        <v>49</v>
      </c>
      <c r="D6">
        <v>63</v>
      </c>
      <c r="E6">
        <v>59</v>
      </c>
      <c r="F6">
        <v>90</v>
      </c>
      <c r="O6" s="19">
        <f t="shared" si="0"/>
        <v>65</v>
      </c>
      <c r="P6" s="19">
        <f t="shared" si="1"/>
        <v>15.17</v>
      </c>
      <c r="R6" s="25">
        <f t="shared" ref="R6:R69" si="4">O6-A6</f>
        <v>9</v>
      </c>
      <c r="S6">
        <f t="shared" ref="S6:S69" si="5">O6/A6</f>
        <v>1.1607142857142858</v>
      </c>
    </row>
    <row r="7" spans="1:19" x14ac:dyDescent="0.25">
      <c r="A7" s="24">
        <v>71</v>
      </c>
      <c r="B7" s="21">
        <v>45832</v>
      </c>
      <c r="C7" s="14">
        <v>58</v>
      </c>
      <c r="D7">
        <v>75</v>
      </c>
      <c r="E7">
        <v>62</v>
      </c>
      <c r="F7">
        <v>56</v>
      </c>
      <c r="O7" s="19">
        <f t="shared" si="0"/>
        <v>63</v>
      </c>
      <c r="P7" s="19">
        <f t="shared" si="1"/>
        <v>7.4</v>
      </c>
      <c r="R7" s="25">
        <f t="shared" si="4"/>
        <v>-8</v>
      </c>
      <c r="S7">
        <f t="shared" si="5"/>
        <v>0.88732394366197187</v>
      </c>
    </row>
    <row r="8" spans="1:19" x14ac:dyDescent="0.25">
      <c r="A8" s="24">
        <v>55</v>
      </c>
      <c r="B8" s="21">
        <v>45833</v>
      </c>
      <c r="C8" s="14">
        <v>48</v>
      </c>
      <c r="D8">
        <v>58</v>
      </c>
      <c r="E8">
        <v>65</v>
      </c>
      <c r="F8">
        <v>67</v>
      </c>
      <c r="O8" s="19">
        <f t="shared" si="0"/>
        <v>60</v>
      </c>
      <c r="P8" s="19">
        <f t="shared" si="1"/>
        <v>7.43</v>
      </c>
      <c r="R8" s="25">
        <f t="shared" si="4"/>
        <v>5</v>
      </c>
      <c r="S8">
        <f t="shared" si="5"/>
        <v>1.0909090909090908</v>
      </c>
    </row>
    <row r="9" spans="1:19" x14ac:dyDescent="0.25">
      <c r="A9" s="24">
        <v>100</v>
      </c>
      <c r="B9" s="21">
        <v>45834</v>
      </c>
      <c r="C9" s="14">
        <v>114</v>
      </c>
      <c r="D9">
        <v>114</v>
      </c>
      <c r="E9">
        <v>135</v>
      </c>
      <c r="F9">
        <v>109</v>
      </c>
      <c r="O9" s="19">
        <f t="shared" si="0"/>
        <v>118</v>
      </c>
      <c r="P9" s="19">
        <f t="shared" si="1"/>
        <v>10.02</v>
      </c>
      <c r="R9" s="25">
        <f t="shared" si="4"/>
        <v>18</v>
      </c>
      <c r="S9">
        <f t="shared" si="5"/>
        <v>1.18</v>
      </c>
    </row>
    <row r="10" spans="1:19" x14ac:dyDescent="0.25">
      <c r="A10" s="24">
        <v>144</v>
      </c>
      <c r="B10" s="21">
        <v>45835</v>
      </c>
      <c r="C10" s="14">
        <v>135</v>
      </c>
      <c r="D10">
        <v>113</v>
      </c>
      <c r="E10">
        <v>126</v>
      </c>
      <c r="F10">
        <v>146</v>
      </c>
      <c r="O10" s="19">
        <f t="shared" si="0"/>
        <v>130</v>
      </c>
      <c r="P10" s="19">
        <f t="shared" si="1"/>
        <v>12.1</v>
      </c>
      <c r="R10" s="25">
        <f t="shared" si="4"/>
        <v>-14</v>
      </c>
      <c r="S10">
        <f t="shared" si="5"/>
        <v>0.90277777777777779</v>
      </c>
    </row>
    <row r="11" spans="1:19" x14ac:dyDescent="0.25">
      <c r="A11" s="24">
        <v>197</v>
      </c>
      <c r="B11" s="21">
        <v>45836</v>
      </c>
      <c r="C11" s="14">
        <v>172</v>
      </c>
      <c r="D11">
        <v>174</v>
      </c>
      <c r="E11">
        <v>173</v>
      </c>
      <c r="F11">
        <v>155</v>
      </c>
      <c r="O11" s="19">
        <f t="shared" si="0"/>
        <v>169</v>
      </c>
      <c r="P11" s="19">
        <f t="shared" si="1"/>
        <v>7.83</v>
      </c>
      <c r="R11" s="25">
        <f t="shared" si="4"/>
        <v>-28</v>
      </c>
      <c r="S11">
        <f t="shared" si="5"/>
        <v>0.85786802030456855</v>
      </c>
    </row>
    <row r="12" spans="1:19" x14ac:dyDescent="0.25">
      <c r="A12" s="24">
        <v>52</v>
      </c>
      <c r="B12" s="21">
        <v>45837</v>
      </c>
      <c r="C12" s="14">
        <v>94</v>
      </c>
      <c r="D12">
        <v>72</v>
      </c>
      <c r="E12">
        <v>79</v>
      </c>
      <c r="F12">
        <v>100</v>
      </c>
      <c r="O12" s="19">
        <f t="shared" si="0"/>
        <v>86</v>
      </c>
      <c r="P12" s="19">
        <f t="shared" si="1"/>
        <v>11.23</v>
      </c>
      <c r="R12" s="25">
        <f t="shared" si="4"/>
        <v>34</v>
      </c>
      <c r="S12">
        <f t="shared" si="5"/>
        <v>1.6538461538461537</v>
      </c>
    </row>
    <row r="13" spans="1:19" x14ac:dyDescent="0.25">
      <c r="A13" s="18">
        <v>122</v>
      </c>
      <c r="B13" s="21">
        <v>45838</v>
      </c>
      <c r="C13" s="14">
        <v>86</v>
      </c>
      <c r="D13">
        <v>77</v>
      </c>
      <c r="E13">
        <v>82</v>
      </c>
      <c r="F13">
        <v>90</v>
      </c>
      <c r="K13">
        <v>66</v>
      </c>
      <c r="N13">
        <v>84</v>
      </c>
      <c r="O13" s="19">
        <f t="shared" si="0"/>
        <v>81</v>
      </c>
      <c r="P13" s="19">
        <f t="shared" si="1"/>
        <v>7.71</v>
      </c>
      <c r="R13" s="25">
        <f t="shared" si="4"/>
        <v>-41</v>
      </c>
      <c r="S13">
        <f t="shared" si="5"/>
        <v>0.66393442622950816</v>
      </c>
    </row>
    <row r="14" spans="1:19" x14ac:dyDescent="0.25">
      <c r="A14" s="13">
        <v>82</v>
      </c>
      <c r="B14" s="21">
        <v>45839</v>
      </c>
      <c r="C14" s="14">
        <v>70</v>
      </c>
      <c r="D14">
        <v>72</v>
      </c>
      <c r="E14">
        <v>67</v>
      </c>
      <c r="F14">
        <v>91</v>
      </c>
      <c r="K14">
        <v>69</v>
      </c>
      <c r="N14">
        <v>76</v>
      </c>
      <c r="O14" s="19">
        <f t="shared" si="0"/>
        <v>74</v>
      </c>
      <c r="P14" s="19">
        <f t="shared" si="1"/>
        <v>8.0299999999999994</v>
      </c>
      <c r="R14" s="25">
        <f t="shared" si="4"/>
        <v>-8</v>
      </c>
      <c r="S14">
        <f t="shared" si="5"/>
        <v>0.90243902439024393</v>
      </c>
    </row>
    <row r="15" spans="1:19" x14ac:dyDescent="0.25">
      <c r="A15" s="13">
        <v>69</v>
      </c>
      <c r="B15" s="21">
        <v>45840</v>
      </c>
      <c r="C15" s="14">
        <v>79</v>
      </c>
      <c r="D15">
        <v>81</v>
      </c>
      <c r="E15">
        <v>95</v>
      </c>
      <c r="F15">
        <v>79</v>
      </c>
      <c r="K15">
        <v>97</v>
      </c>
      <c r="N15">
        <v>90</v>
      </c>
      <c r="O15" s="19">
        <f t="shared" si="0"/>
        <v>87</v>
      </c>
      <c r="P15" s="19">
        <f t="shared" si="1"/>
        <v>7.49</v>
      </c>
      <c r="R15" s="25">
        <f t="shared" si="4"/>
        <v>18</v>
      </c>
      <c r="S15">
        <f t="shared" si="5"/>
        <v>1.2608695652173914</v>
      </c>
    </row>
    <row r="16" spans="1:19" x14ac:dyDescent="0.25">
      <c r="A16" s="13">
        <v>137</v>
      </c>
      <c r="B16" s="21">
        <v>45841</v>
      </c>
      <c r="C16" s="14">
        <v>97</v>
      </c>
      <c r="D16">
        <v>110</v>
      </c>
      <c r="E16">
        <v>99</v>
      </c>
      <c r="F16">
        <v>93</v>
      </c>
      <c r="K16">
        <v>110</v>
      </c>
      <c r="N16">
        <v>109</v>
      </c>
      <c r="O16" s="19">
        <f t="shared" si="0"/>
        <v>103</v>
      </c>
      <c r="P16" s="19">
        <f t="shared" si="1"/>
        <v>6.9</v>
      </c>
      <c r="R16" s="25">
        <f t="shared" si="4"/>
        <v>-34</v>
      </c>
      <c r="S16">
        <f t="shared" si="5"/>
        <v>0.75182481751824815</v>
      </c>
    </row>
    <row r="17" spans="1:19" x14ac:dyDescent="0.25">
      <c r="A17" s="13">
        <v>0</v>
      </c>
      <c r="B17" s="21">
        <v>45842</v>
      </c>
      <c r="C17" s="14">
        <v>139</v>
      </c>
      <c r="D17">
        <v>127</v>
      </c>
      <c r="E17">
        <v>132</v>
      </c>
      <c r="F17">
        <v>135</v>
      </c>
      <c r="K17">
        <v>99</v>
      </c>
      <c r="N17">
        <v>152</v>
      </c>
      <c r="O17" s="19">
        <f t="shared" si="0"/>
        <v>131</v>
      </c>
      <c r="P17" s="19">
        <f t="shared" si="1"/>
        <v>16.13</v>
      </c>
      <c r="R17" s="25">
        <f t="shared" si="4"/>
        <v>131</v>
      </c>
      <c r="S17">
        <f>O17/(A17+1)</f>
        <v>131</v>
      </c>
    </row>
    <row r="18" spans="1:19" x14ac:dyDescent="0.25">
      <c r="A18" s="13">
        <v>150</v>
      </c>
      <c r="B18" s="21">
        <v>45843</v>
      </c>
      <c r="C18" s="14">
        <v>184</v>
      </c>
      <c r="D18">
        <v>198</v>
      </c>
      <c r="E18">
        <v>199</v>
      </c>
      <c r="F18">
        <v>182</v>
      </c>
      <c r="K18">
        <v>179</v>
      </c>
      <c r="N18">
        <v>176</v>
      </c>
      <c r="O18" s="19">
        <f t="shared" si="0"/>
        <v>186</v>
      </c>
      <c r="P18" s="19">
        <f t="shared" si="1"/>
        <v>8.9600000000000009</v>
      </c>
      <c r="R18" s="25">
        <f t="shared" si="4"/>
        <v>36</v>
      </c>
      <c r="S18">
        <f t="shared" si="5"/>
        <v>1.24</v>
      </c>
    </row>
    <row r="19" spans="1:19" x14ac:dyDescent="0.25">
      <c r="A19" s="18">
        <v>44</v>
      </c>
      <c r="B19" s="21">
        <v>45844</v>
      </c>
      <c r="C19" s="14">
        <v>80</v>
      </c>
      <c r="D19">
        <v>83</v>
      </c>
      <c r="E19">
        <v>81</v>
      </c>
      <c r="F19">
        <v>80</v>
      </c>
      <c r="G19">
        <v>76</v>
      </c>
      <c r="H19">
        <v>92</v>
      </c>
      <c r="J19">
        <v>97</v>
      </c>
      <c r="K19">
        <v>106</v>
      </c>
      <c r="L19">
        <v>93</v>
      </c>
      <c r="M19">
        <v>79</v>
      </c>
      <c r="N19">
        <v>93</v>
      </c>
      <c r="O19" s="19">
        <f t="shared" si="0"/>
        <v>87</v>
      </c>
      <c r="P19" s="19">
        <f t="shared" si="1"/>
        <v>9.01</v>
      </c>
      <c r="R19" s="25">
        <f t="shared" si="4"/>
        <v>43</v>
      </c>
      <c r="S19">
        <f t="shared" si="5"/>
        <v>1.9772727272727273</v>
      </c>
    </row>
    <row r="20" spans="1:19" x14ac:dyDescent="0.25">
      <c r="A20" s="18">
        <v>52</v>
      </c>
      <c r="B20" s="21">
        <v>45845</v>
      </c>
      <c r="C20" s="14">
        <v>57</v>
      </c>
      <c r="D20">
        <v>28</v>
      </c>
      <c r="E20">
        <v>36</v>
      </c>
      <c r="F20">
        <v>73</v>
      </c>
      <c r="G20">
        <v>87</v>
      </c>
      <c r="H20">
        <v>72</v>
      </c>
      <c r="J20">
        <v>80</v>
      </c>
      <c r="K20">
        <v>57</v>
      </c>
      <c r="L20">
        <v>86</v>
      </c>
      <c r="M20">
        <v>82</v>
      </c>
      <c r="N20">
        <v>58</v>
      </c>
      <c r="O20" s="19">
        <f t="shared" si="0"/>
        <v>65</v>
      </c>
      <c r="P20" s="19">
        <f t="shared" si="1"/>
        <v>18.920000000000002</v>
      </c>
      <c r="R20" s="25">
        <f t="shared" si="4"/>
        <v>13</v>
      </c>
      <c r="S20">
        <f t="shared" si="5"/>
        <v>1.25</v>
      </c>
    </row>
    <row r="21" spans="1:19" x14ac:dyDescent="0.25">
      <c r="A21" s="18">
        <v>68</v>
      </c>
      <c r="B21" s="21">
        <v>45846</v>
      </c>
      <c r="C21" s="14">
        <v>75</v>
      </c>
      <c r="D21">
        <v>70</v>
      </c>
      <c r="E21">
        <v>63</v>
      </c>
      <c r="F21">
        <v>55</v>
      </c>
      <c r="G21">
        <v>50</v>
      </c>
      <c r="H21">
        <v>60</v>
      </c>
      <c r="J21">
        <v>68</v>
      </c>
      <c r="K21">
        <v>52</v>
      </c>
      <c r="L21">
        <v>68</v>
      </c>
      <c r="M21">
        <v>67</v>
      </c>
      <c r="N21">
        <v>58</v>
      </c>
      <c r="O21" s="19">
        <f t="shared" si="0"/>
        <v>62</v>
      </c>
      <c r="P21" s="19">
        <f t="shared" si="1"/>
        <v>7.64</v>
      </c>
      <c r="R21" s="25">
        <f t="shared" si="4"/>
        <v>-6</v>
      </c>
      <c r="S21">
        <f t="shared" si="5"/>
        <v>0.91176470588235292</v>
      </c>
    </row>
    <row r="22" spans="1:19" x14ac:dyDescent="0.25">
      <c r="A22" s="18">
        <v>64</v>
      </c>
      <c r="B22" s="21">
        <v>45847</v>
      </c>
      <c r="C22" s="14">
        <v>74</v>
      </c>
      <c r="D22">
        <v>72</v>
      </c>
      <c r="E22">
        <v>62</v>
      </c>
      <c r="F22">
        <v>75</v>
      </c>
      <c r="G22">
        <v>102</v>
      </c>
      <c r="H22">
        <v>95</v>
      </c>
      <c r="J22">
        <v>104</v>
      </c>
      <c r="K22">
        <v>55</v>
      </c>
      <c r="L22">
        <v>78</v>
      </c>
      <c r="M22">
        <v>117</v>
      </c>
      <c r="N22">
        <v>97</v>
      </c>
      <c r="O22" s="19">
        <f t="shared" si="0"/>
        <v>85</v>
      </c>
      <c r="P22" s="19">
        <f t="shared" si="1"/>
        <v>18.55</v>
      </c>
      <c r="R22" s="25">
        <f t="shared" si="4"/>
        <v>21</v>
      </c>
      <c r="S22">
        <f t="shared" si="5"/>
        <v>1.328125</v>
      </c>
    </row>
    <row r="23" spans="1:19" x14ac:dyDescent="0.25">
      <c r="A23" s="18">
        <v>85</v>
      </c>
      <c r="B23" s="21">
        <v>45848</v>
      </c>
      <c r="C23" s="14">
        <v>77</v>
      </c>
      <c r="D23">
        <v>118</v>
      </c>
      <c r="E23">
        <v>77</v>
      </c>
      <c r="F23">
        <v>95</v>
      </c>
      <c r="G23">
        <v>159</v>
      </c>
      <c r="H23">
        <v>110</v>
      </c>
      <c r="J23">
        <v>137</v>
      </c>
      <c r="K23">
        <v>110</v>
      </c>
      <c r="L23">
        <v>130</v>
      </c>
      <c r="M23">
        <v>133</v>
      </c>
      <c r="N23">
        <v>122</v>
      </c>
      <c r="O23" s="19">
        <f t="shared" si="0"/>
        <v>115</v>
      </c>
      <c r="P23" s="19">
        <f t="shared" si="1"/>
        <v>24.05</v>
      </c>
      <c r="R23" s="25">
        <f t="shared" si="4"/>
        <v>30</v>
      </c>
      <c r="S23">
        <f t="shared" si="5"/>
        <v>1.3529411764705883</v>
      </c>
    </row>
    <row r="24" spans="1:19" x14ac:dyDescent="0.25">
      <c r="A24" s="18">
        <v>146</v>
      </c>
      <c r="B24" s="21">
        <v>45849</v>
      </c>
      <c r="C24" s="14">
        <v>135</v>
      </c>
      <c r="D24">
        <v>195</v>
      </c>
      <c r="E24">
        <v>134</v>
      </c>
      <c r="F24">
        <v>193</v>
      </c>
      <c r="G24">
        <v>204</v>
      </c>
      <c r="H24">
        <v>176</v>
      </c>
      <c r="I24">
        <v>180</v>
      </c>
      <c r="J24">
        <v>219</v>
      </c>
      <c r="K24">
        <v>144</v>
      </c>
      <c r="L24">
        <v>192</v>
      </c>
      <c r="M24">
        <v>128</v>
      </c>
      <c r="N24">
        <v>214</v>
      </c>
      <c r="O24" s="19">
        <f t="shared" si="0"/>
        <v>176</v>
      </c>
      <c r="P24" s="19">
        <f t="shared" si="1"/>
        <v>31.32</v>
      </c>
      <c r="R24" s="25">
        <f t="shared" si="4"/>
        <v>30</v>
      </c>
      <c r="S24">
        <f t="shared" si="5"/>
        <v>1.2054794520547945</v>
      </c>
    </row>
    <row r="25" spans="1:19" x14ac:dyDescent="0.25">
      <c r="A25">
        <v>178</v>
      </c>
      <c r="B25" s="21">
        <v>45850</v>
      </c>
      <c r="C25" s="14">
        <v>164</v>
      </c>
      <c r="D25">
        <v>174</v>
      </c>
      <c r="E25">
        <v>175</v>
      </c>
      <c r="F25">
        <v>158</v>
      </c>
      <c r="G25">
        <v>172</v>
      </c>
      <c r="H25">
        <v>159</v>
      </c>
      <c r="I25">
        <v>169</v>
      </c>
      <c r="J25">
        <v>183</v>
      </c>
      <c r="K25">
        <v>173</v>
      </c>
      <c r="L25">
        <v>182</v>
      </c>
      <c r="M25">
        <v>151</v>
      </c>
      <c r="N25">
        <v>165</v>
      </c>
      <c r="O25" s="19">
        <f t="shared" si="0"/>
        <v>169</v>
      </c>
      <c r="P25" s="19">
        <f t="shared" si="1"/>
        <v>9.2899999999999991</v>
      </c>
      <c r="R25" s="25">
        <f t="shared" si="4"/>
        <v>-9</v>
      </c>
      <c r="S25">
        <f t="shared" si="5"/>
        <v>0.949438202247191</v>
      </c>
    </row>
    <row r="26" spans="1:19" x14ac:dyDescent="0.25">
      <c r="A26">
        <v>92</v>
      </c>
      <c r="B26" s="21">
        <v>45851</v>
      </c>
      <c r="C26" s="14">
        <v>83</v>
      </c>
      <c r="D26">
        <v>94</v>
      </c>
      <c r="E26">
        <v>85</v>
      </c>
      <c r="F26">
        <v>86</v>
      </c>
      <c r="G26">
        <v>85</v>
      </c>
      <c r="H26">
        <v>79</v>
      </c>
      <c r="I26">
        <v>86</v>
      </c>
      <c r="J26">
        <v>70</v>
      </c>
      <c r="K26">
        <v>79</v>
      </c>
      <c r="L26">
        <v>78</v>
      </c>
      <c r="M26">
        <v>84</v>
      </c>
      <c r="N26">
        <v>84</v>
      </c>
      <c r="O26" s="19">
        <f t="shared" si="0"/>
        <v>83</v>
      </c>
      <c r="P26" s="19">
        <f t="shared" si="1"/>
        <v>5.58</v>
      </c>
      <c r="R26" s="25">
        <f t="shared" si="4"/>
        <v>-9</v>
      </c>
      <c r="S26">
        <f t="shared" si="5"/>
        <v>0.90217391304347827</v>
      </c>
    </row>
    <row r="27" spans="1:19" x14ac:dyDescent="0.25">
      <c r="A27">
        <v>113</v>
      </c>
      <c r="B27" s="21">
        <v>45852</v>
      </c>
      <c r="C27" s="14">
        <v>78</v>
      </c>
      <c r="D27">
        <v>85</v>
      </c>
      <c r="E27">
        <v>83</v>
      </c>
      <c r="F27">
        <v>74</v>
      </c>
      <c r="G27">
        <v>78</v>
      </c>
      <c r="H27">
        <v>70</v>
      </c>
      <c r="I27">
        <v>76</v>
      </c>
      <c r="J27">
        <v>83</v>
      </c>
      <c r="K27">
        <v>79</v>
      </c>
      <c r="L27">
        <v>91</v>
      </c>
      <c r="M27">
        <v>76</v>
      </c>
      <c r="N27">
        <v>83</v>
      </c>
      <c r="O27" s="19">
        <f t="shared" si="0"/>
        <v>80</v>
      </c>
      <c r="P27" s="19">
        <f t="shared" si="1"/>
        <v>5.39</v>
      </c>
      <c r="R27" s="25">
        <f t="shared" si="4"/>
        <v>-33</v>
      </c>
      <c r="S27">
        <f t="shared" si="5"/>
        <v>0.70796460176991149</v>
      </c>
    </row>
    <row r="28" spans="1:19" x14ac:dyDescent="0.25">
      <c r="A28">
        <v>77</v>
      </c>
      <c r="B28" s="21">
        <v>45853</v>
      </c>
      <c r="C28" s="14">
        <v>84</v>
      </c>
      <c r="D28">
        <v>81</v>
      </c>
      <c r="E28">
        <v>87</v>
      </c>
      <c r="F28">
        <v>78</v>
      </c>
      <c r="G28">
        <v>86</v>
      </c>
      <c r="H28">
        <v>72</v>
      </c>
      <c r="I28">
        <v>79</v>
      </c>
      <c r="J28">
        <v>84</v>
      </c>
      <c r="K28">
        <v>85</v>
      </c>
      <c r="L28">
        <v>87</v>
      </c>
      <c r="M28">
        <v>79</v>
      </c>
      <c r="N28">
        <v>86</v>
      </c>
      <c r="O28" s="19">
        <f t="shared" si="0"/>
        <v>82</v>
      </c>
      <c r="P28" s="19">
        <f t="shared" si="1"/>
        <v>4.4000000000000004</v>
      </c>
      <c r="R28" s="25">
        <f t="shared" si="4"/>
        <v>5</v>
      </c>
      <c r="S28">
        <f t="shared" si="5"/>
        <v>1.0649350649350648</v>
      </c>
    </row>
    <row r="29" spans="1:19" x14ac:dyDescent="0.25">
      <c r="A29" s="18">
        <v>80</v>
      </c>
      <c r="B29" s="21">
        <v>45854</v>
      </c>
      <c r="C29" s="14">
        <v>58</v>
      </c>
      <c r="D29">
        <v>74</v>
      </c>
      <c r="E29">
        <v>76</v>
      </c>
      <c r="F29">
        <v>60</v>
      </c>
      <c r="G29">
        <v>66</v>
      </c>
      <c r="H29">
        <v>72</v>
      </c>
      <c r="I29">
        <v>63</v>
      </c>
      <c r="J29">
        <v>70</v>
      </c>
      <c r="K29">
        <v>92</v>
      </c>
      <c r="L29">
        <v>98</v>
      </c>
      <c r="M29">
        <v>93</v>
      </c>
      <c r="N29">
        <v>101</v>
      </c>
      <c r="O29" s="19">
        <f t="shared" si="0"/>
        <v>77</v>
      </c>
      <c r="P29" s="19">
        <f t="shared" si="1"/>
        <v>14.57</v>
      </c>
      <c r="R29" s="25">
        <f t="shared" si="4"/>
        <v>-3</v>
      </c>
      <c r="S29">
        <f t="shared" si="5"/>
        <v>0.96250000000000002</v>
      </c>
    </row>
    <row r="30" spans="1:19" x14ac:dyDescent="0.25">
      <c r="A30" s="18">
        <v>84</v>
      </c>
      <c r="B30" s="21">
        <v>45855</v>
      </c>
      <c r="C30" s="14">
        <v>114</v>
      </c>
      <c r="D30">
        <v>118</v>
      </c>
      <c r="E30">
        <v>114</v>
      </c>
      <c r="F30">
        <v>114</v>
      </c>
      <c r="G30">
        <v>110</v>
      </c>
      <c r="H30">
        <v>101</v>
      </c>
      <c r="I30">
        <v>117</v>
      </c>
      <c r="J30">
        <v>112</v>
      </c>
      <c r="K30">
        <v>100</v>
      </c>
      <c r="L30">
        <v>99</v>
      </c>
      <c r="M30">
        <v>107</v>
      </c>
      <c r="N30">
        <v>95</v>
      </c>
      <c r="O30" s="19">
        <f t="shared" si="0"/>
        <v>108</v>
      </c>
      <c r="P30" s="19">
        <f t="shared" si="1"/>
        <v>7.48</v>
      </c>
      <c r="R30" s="25">
        <f t="shared" si="4"/>
        <v>24</v>
      </c>
      <c r="S30">
        <f t="shared" si="5"/>
        <v>1.2857142857142858</v>
      </c>
    </row>
    <row r="31" spans="1:19" x14ac:dyDescent="0.25">
      <c r="A31" s="18">
        <v>127</v>
      </c>
      <c r="B31" s="21">
        <v>45856</v>
      </c>
      <c r="C31" s="14">
        <v>127</v>
      </c>
      <c r="D31">
        <v>137</v>
      </c>
      <c r="E31">
        <v>135</v>
      </c>
      <c r="F31">
        <v>137</v>
      </c>
      <c r="G31">
        <v>130</v>
      </c>
      <c r="H31">
        <v>133</v>
      </c>
      <c r="I31">
        <v>134</v>
      </c>
      <c r="J31">
        <v>133</v>
      </c>
      <c r="K31">
        <v>148</v>
      </c>
      <c r="L31">
        <v>136</v>
      </c>
      <c r="M31">
        <v>147</v>
      </c>
      <c r="N31">
        <v>143</v>
      </c>
      <c r="O31" s="19">
        <f t="shared" si="0"/>
        <v>137</v>
      </c>
      <c r="P31" s="19">
        <f t="shared" si="1"/>
        <v>6.13</v>
      </c>
      <c r="R31" s="25">
        <f t="shared" si="4"/>
        <v>10</v>
      </c>
      <c r="S31">
        <f t="shared" si="5"/>
        <v>1.078740157480315</v>
      </c>
    </row>
    <row r="32" spans="1:19" x14ac:dyDescent="0.25">
      <c r="A32" s="18">
        <v>210</v>
      </c>
      <c r="B32" s="21">
        <v>45857</v>
      </c>
      <c r="C32" s="14">
        <v>172</v>
      </c>
      <c r="D32">
        <v>176</v>
      </c>
      <c r="E32">
        <v>173</v>
      </c>
      <c r="F32">
        <v>175</v>
      </c>
      <c r="G32">
        <v>169</v>
      </c>
      <c r="H32">
        <v>170</v>
      </c>
      <c r="I32">
        <v>167</v>
      </c>
      <c r="J32">
        <v>171</v>
      </c>
      <c r="K32">
        <v>167</v>
      </c>
      <c r="L32">
        <v>164</v>
      </c>
      <c r="M32">
        <v>170</v>
      </c>
      <c r="N32">
        <v>163</v>
      </c>
      <c r="O32" s="19">
        <f t="shared" si="0"/>
        <v>170</v>
      </c>
      <c r="P32" s="19">
        <f t="shared" si="1"/>
        <v>3.85</v>
      </c>
      <c r="R32" s="25">
        <f t="shared" si="4"/>
        <v>-40</v>
      </c>
      <c r="S32">
        <f t="shared" si="5"/>
        <v>0.80952380952380953</v>
      </c>
    </row>
    <row r="33" spans="1:19" x14ac:dyDescent="0.25">
      <c r="A33">
        <v>53</v>
      </c>
      <c r="B33" s="21">
        <v>45858</v>
      </c>
      <c r="C33" s="14">
        <v>50</v>
      </c>
      <c r="D33">
        <v>49</v>
      </c>
      <c r="E33">
        <v>48</v>
      </c>
      <c r="F33">
        <v>54</v>
      </c>
      <c r="G33">
        <v>45</v>
      </c>
      <c r="H33">
        <v>44</v>
      </c>
      <c r="I33">
        <v>51</v>
      </c>
      <c r="J33">
        <v>52</v>
      </c>
      <c r="K33">
        <v>66</v>
      </c>
      <c r="L33">
        <v>61</v>
      </c>
      <c r="M33">
        <v>58</v>
      </c>
      <c r="N33">
        <v>58</v>
      </c>
      <c r="O33" s="19">
        <f t="shared" si="0"/>
        <v>53</v>
      </c>
      <c r="P33" s="19">
        <f t="shared" si="1"/>
        <v>6.35</v>
      </c>
      <c r="R33" s="25">
        <f t="shared" si="4"/>
        <v>0</v>
      </c>
      <c r="S33">
        <f t="shared" si="5"/>
        <v>1</v>
      </c>
    </row>
    <row r="34" spans="1:19" x14ac:dyDescent="0.25">
      <c r="A34">
        <v>66</v>
      </c>
      <c r="B34" s="21">
        <v>45859</v>
      </c>
      <c r="C34" s="14">
        <v>59</v>
      </c>
      <c r="D34">
        <v>59</v>
      </c>
      <c r="E34">
        <v>60</v>
      </c>
      <c r="F34">
        <v>68</v>
      </c>
      <c r="G34">
        <v>54</v>
      </c>
      <c r="H34">
        <v>62</v>
      </c>
      <c r="I34">
        <v>61</v>
      </c>
      <c r="J34">
        <v>61</v>
      </c>
      <c r="K34">
        <v>77</v>
      </c>
      <c r="L34">
        <v>81</v>
      </c>
      <c r="M34">
        <v>81</v>
      </c>
      <c r="N34">
        <v>81</v>
      </c>
      <c r="O34" s="19">
        <f t="shared" si="0"/>
        <v>67</v>
      </c>
      <c r="P34" s="19">
        <f t="shared" si="1"/>
        <v>9.7100000000000009</v>
      </c>
      <c r="R34" s="25">
        <f t="shared" si="4"/>
        <v>1</v>
      </c>
      <c r="S34">
        <f t="shared" si="5"/>
        <v>1.0151515151515151</v>
      </c>
    </row>
    <row r="35" spans="1:19" x14ac:dyDescent="0.25">
      <c r="A35">
        <v>73</v>
      </c>
      <c r="B35" s="21">
        <v>45860</v>
      </c>
      <c r="C35" s="14">
        <v>81</v>
      </c>
      <c r="D35">
        <v>96</v>
      </c>
      <c r="E35">
        <v>94</v>
      </c>
      <c r="F35">
        <v>84</v>
      </c>
      <c r="G35">
        <v>92</v>
      </c>
      <c r="H35">
        <v>96</v>
      </c>
      <c r="I35">
        <v>90</v>
      </c>
      <c r="J35">
        <v>86</v>
      </c>
      <c r="K35">
        <v>82</v>
      </c>
      <c r="L35">
        <v>89</v>
      </c>
      <c r="M35">
        <v>88</v>
      </c>
      <c r="N35">
        <v>98</v>
      </c>
      <c r="O35" s="19">
        <f t="shared" si="0"/>
        <v>90</v>
      </c>
      <c r="P35" s="19">
        <f t="shared" si="1"/>
        <v>5.45</v>
      </c>
      <c r="R35" s="25">
        <f t="shared" si="4"/>
        <v>17</v>
      </c>
      <c r="S35">
        <f t="shared" si="5"/>
        <v>1.2328767123287672</v>
      </c>
    </row>
    <row r="36" spans="1:19" x14ac:dyDescent="0.25">
      <c r="A36">
        <v>61</v>
      </c>
      <c r="B36" s="21">
        <v>45861</v>
      </c>
      <c r="C36" s="14">
        <v>79</v>
      </c>
      <c r="D36">
        <v>74</v>
      </c>
      <c r="E36">
        <v>85</v>
      </c>
      <c r="F36">
        <v>80</v>
      </c>
      <c r="G36">
        <v>71</v>
      </c>
      <c r="H36">
        <v>77</v>
      </c>
      <c r="I36">
        <v>79</v>
      </c>
      <c r="J36">
        <v>71</v>
      </c>
      <c r="K36">
        <v>76</v>
      </c>
      <c r="L36">
        <v>74</v>
      </c>
      <c r="O36" s="19">
        <f t="shared" si="0"/>
        <v>77</v>
      </c>
      <c r="P36" s="19">
        <f t="shared" si="1"/>
        <v>4.13</v>
      </c>
      <c r="R36" s="25">
        <f t="shared" si="4"/>
        <v>16</v>
      </c>
      <c r="S36">
        <f t="shared" si="5"/>
        <v>1.2622950819672132</v>
      </c>
    </row>
    <row r="37" spans="1:19" x14ac:dyDescent="0.25">
      <c r="A37">
        <v>93</v>
      </c>
      <c r="B37" s="21">
        <v>45862</v>
      </c>
      <c r="C37" s="14">
        <v>90</v>
      </c>
      <c r="D37">
        <v>98</v>
      </c>
      <c r="E37">
        <v>97</v>
      </c>
      <c r="F37">
        <v>96</v>
      </c>
      <c r="G37">
        <v>102</v>
      </c>
      <c r="H37">
        <v>76</v>
      </c>
      <c r="I37">
        <v>83</v>
      </c>
      <c r="J37">
        <v>81</v>
      </c>
      <c r="K37">
        <v>68</v>
      </c>
      <c r="L37">
        <v>85</v>
      </c>
      <c r="O37" s="19">
        <f t="shared" si="0"/>
        <v>88</v>
      </c>
      <c r="P37" s="19">
        <f t="shared" si="1"/>
        <v>10.35</v>
      </c>
      <c r="R37" s="25">
        <f t="shared" si="4"/>
        <v>-5</v>
      </c>
      <c r="S37">
        <f t="shared" si="5"/>
        <v>0.94623655913978499</v>
      </c>
    </row>
    <row r="38" spans="1:19" x14ac:dyDescent="0.25">
      <c r="A38">
        <v>122</v>
      </c>
      <c r="B38" s="21">
        <v>45863</v>
      </c>
      <c r="C38" s="14">
        <v>163</v>
      </c>
      <c r="D38" s="14">
        <v>148</v>
      </c>
      <c r="E38" s="14">
        <v>156</v>
      </c>
      <c r="F38" s="14">
        <v>142</v>
      </c>
      <c r="G38" s="14">
        <v>135</v>
      </c>
      <c r="H38" s="18">
        <v>175</v>
      </c>
      <c r="I38" s="14">
        <v>180</v>
      </c>
      <c r="J38" s="14">
        <v>162</v>
      </c>
      <c r="K38" s="14">
        <v>155</v>
      </c>
      <c r="L38" s="14">
        <v>164</v>
      </c>
      <c r="M38" s="14"/>
      <c r="N38" s="15"/>
      <c r="O38" s="19">
        <f t="shared" si="0"/>
        <v>158</v>
      </c>
      <c r="P38" s="19">
        <f t="shared" si="1"/>
        <v>13.22</v>
      </c>
      <c r="R38" s="25">
        <f t="shared" si="4"/>
        <v>36</v>
      </c>
      <c r="S38">
        <f t="shared" si="5"/>
        <v>1.2950819672131149</v>
      </c>
    </row>
    <row r="39" spans="1:19" x14ac:dyDescent="0.25">
      <c r="A39">
        <v>135</v>
      </c>
      <c r="B39" s="21">
        <v>45864</v>
      </c>
      <c r="C39" s="14">
        <v>172</v>
      </c>
      <c r="D39" s="14">
        <v>171</v>
      </c>
      <c r="E39" s="14">
        <v>169</v>
      </c>
      <c r="F39" s="14">
        <v>170</v>
      </c>
      <c r="G39" s="14">
        <v>173</v>
      </c>
      <c r="H39" s="18">
        <v>177</v>
      </c>
      <c r="I39" s="14">
        <v>172</v>
      </c>
      <c r="J39" s="14">
        <v>172</v>
      </c>
      <c r="K39" s="14">
        <v>172</v>
      </c>
      <c r="L39" s="14">
        <v>173</v>
      </c>
      <c r="M39" s="14"/>
      <c r="N39" s="15"/>
      <c r="O39" s="19">
        <f t="shared" si="0"/>
        <v>172</v>
      </c>
      <c r="P39" s="19">
        <f t="shared" si="1"/>
        <v>2.02</v>
      </c>
      <c r="R39" s="25">
        <f t="shared" si="4"/>
        <v>37</v>
      </c>
      <c r="S39">
        <f t="shared" si="5"/>
        <v>1.2740740740740741</v>
      </c>
    </row>
    <row r="40" spans="1:19" x14ac:dyDescent="0.25">
      <c r="A40">
        <v>31</v>
      </c>
      <c r="B40" s="21">
        <v>45865</v>
      </c>
      <c r="C40" s="14">
        <v>72</v>
      </c>
      <c r="D40" s="14">
        <v>69</v>
      </c>
      <c r="E40" s="14">
        <v>57</v>
      </c>
      <c r="F40" s="14">
        <v>64</v>
      </c>
      <c r="G40" s="14">
        <v>54</v>
      </c>
      <c r="H40" s="18">
        <v>68</v>
      </c>
      <c r="I40" s="14">
        <v>64</v>
      </c>
      <c r="J40" s="14">
        <v>65</v>
      </c>
      <c r="K40" s="14">
        <v>70</v>
      </c>
      <c r="L40" s="14">
        <v>59</v>
      </c>
      <c r="M40" s="14"/>
      <c r="N40" s="15"/>
      <c r="O40" s="19">
        <f t="shared" si="0"/>
        <v>64</v>
      </c>
      <c r="P40" s="19">
        <f t="shared" si="1"/>
        <v>5.62</v>
      </c>
      <c r="R40" s="25">
        <f t="shared" si="4"/>
        <v>33</v>
      </c>
      <c r="S40">
        <f t="shared" si="5"/>
        <v>2.064516129032258</v>
      </c>
    </row>
    <row r="41" spans="1:19" x14ac:dyDescent="0.25">
      <c r="A41">
        <v>70</v>
      </c>
      <c r="B41" s="21">
        <v>45866</v>
      </c>
      <c r="C41" s="14">
        <v>75</v>
      </c>
      <c r="D41" s="14">
        <v>66</v>
      </c>
      <c r="E41" s="14">
        <v>70</v>
      </c>
      <c r="F41" s="14">
        <v>72</v>
      </c>
      <c r="G41" s="14">
        <v>75</v>
      </c>
      <c r="H41" s="18">
        <v>63</v>
      </c>
      <c r="I41" s="14">
        <v>64</v>
      </c>
      <c r="J41" s="14">
        <v>70</v>
      </c>
      <c r="K41" s="14">
        <v>69</v>
      </c>
      <c r="L41" s="14">
        <v>69</v>
      </c>
      <c r="M41" s="14"/>
      <c r="N41" s="15"/>
      <c r="O41" s="19">
        <f t="shared" si="0"/>
        <v>69</v>
      </c>
      <c r="P41" s="19">
        <f t="shared" si="1"/>
        <v>3.9</v>
      </c>
      <c r="R41" s="25">
        <f t="shared" si="4"/>
        <v>-1</v>
      </c>
      <c r="S41">
        <f t="shared" si="5"/>
        <v>0.98571428571428577</v>
      </c>
    </row>
    <row r="42" spans="1:19" x14ac:dyDescent="0.25">
      <c r="A42">
        <v>69</v>
      </c>
      <c r="B42" s="21">
        <v>45867</v>
      </c>
      <c r="C42" s="14">
        <v>66</v>
      </c>
      <c r="D42" s="14">
        <v>74</v>
      </c>
      <c r="E42" s="14">
        <v>74</v>
      </c>
      <c r="F42" s="14">
        <v>78</v>
      </c>
      <c r="G42" s="14">
        <v>72</v>
      </c>
      <c r="H42" s="18">
        <v>70</v>
      </c>
      <c r="I42" s="14">
        <v>66</v>
      </c>
      <c r="J42" s="14">
        <v>72</v>
      </c>
      <c r="K42" s="14">
        <v>85</v>
      </c>
      <c r="L42" s="14">
        <v>75</v>
      </c>
      <c r="M42" s="14"/>
      <c r="N42" s="15"/>
      <c r="O42" s="19">
        <f t="shared" si="0"/>
        <v>73</v>
      </c>
      <c r="P42" s="19">
        <f t="shared" si="1"/>
        <v>5.33</v>
      </c>
      <c r="R42" s="25">
        <f t="shared" si="4"/>
        <v>4</v>
      </c>
      <c r="S42">
        <f t="shared" si="5"/>
        <v>1.0579710144927537</v>
      </c>
    </row>
    <row r="43" spans="1:19" x14ac:dyDescent="0.25">
      <c r="A43">
        <v>90</v>
      </c>
      <c r="B43" s="21">
        <v>45868</v>
      </c>
      <c r="C43" s="14">
        <v>68</v>
      </c>
      <c r="D43" s="14">
        <v>58</v>
      </c>
      <c r="E43" s="14">
        <v>69</v>
      </c>
      <c r="F43" s="14">
        <v>62</v>
      </c>
      <c r="G43" s="14">
        <v>70</v>
      </c>
      <c r="H43" s="18">
        <v>58</v>
      </c>
      <c r="I43" s="14">
        <v>60</v>
      </c>
      <c r="J43" s="14">
        <v>60</v>
      </c>
      <c r="K43" s="14">
        <v>64</v>
      </c>
      <c r="L43" s="14">
        <v>66</v>
      </c>
      <c r="M43" s="14"/>
      <c r="N43" s="15"/>
      <c r="O43" s="19">
        <f t="shared" si="0"/>
        <v>64</v>
      </c>
      <c r="P43" s="19">
        <f t="shared" si="1"/>
        <v>4.32</v>
      </c>
      <c r="R43" s="25">
        <f t="shared" si="4"/>
        <v>-26</v>
      </c>
      <c r="S43">
        <f t="shared" si="5"/>
        <v>0.71111111111111114</v>
      </c>
    </row>
    <row r="44" spans="1:19" x14ac:dyDescent="0.25">
      <c r="A44">
        <v>109</v>
      </c>
      <c r="B44" s="21">
        <v>45869</v>
      </c>
      <c r="C44" s="14">
        <v>81</v>
      </c>
      <c r="D44" s="14">
        <v>87</v>
      </c>
      <c r="E44" s="14">
        <v>77</v>
      </c>
      <c r="F44" s="14">
        <v>74</v>
      </c>
      <c r="G44" s="14">
        <v>84</v>
      </c>
      <c r="H44" s="18">
        <v>82</v>
      </c>
      <c r="I44" s="14">
        <v>105</v>
      </c>
      <c r="J44" s="14">
        <v>76</v>
      </c>
      <c r="K44" s="14">
        <v>83</v>
      </c>
      <c r="L44" s="14">
        <v>99</v>
      </c>
      <c r="M44" s="14"/>
      <c r="N44" s="15"/>
      <c r="O44" s="19">
        <f t="shared" si="0"/>
        <v>85</v>
      </c>
      <c r="P44" s="19">
        <f t="shared" si="1"/>
        <v>9.4600000000000009</v>
      </c>
      <c r="R44" s="25">
        <f t="shared" si="4"/>
        <v>-24</v>
      </c>
      <c r="S44">
        <f t="shared" si="5"/>
        <v>0.77981651376146788</v>
      </c>
    </row>
    <row r="45" spans="1:19" x14ac:dyDescent="0.25">
      <c r="A45">
        <v>191</v>
      </c>
      <c r="B45" s="21">
        <v>45870</v>
      </c>
      <c r="C45" s="14">
        <v>159</v>
      </c>
      <c r="D45" s="14">
        <v>157</v>
      </c>
      <c r="E45" s="14">
        <v>158</v>
      </c>
      <c r="F45" s="14">
        <v>161</v>
      </c>
      <c r="G45" s="14">
        <v>159</v>
      </c>
      <c r="H45" s="18">
        <v>158</v>
      </c>
      <c r="I45" s="14">
        <v>158</v>
      </c>
      <c r="J45" s="14">
        <v>157</v>
      </c>
      <c r="K45" s="14">
        <v>156</v>
      </c>
      <c r="L45" s="14">
        <v>164</v>
      </c>
      <c r="M45" s="14"/>
      <c r="N45" s="15"/>
      <c r="O45" s="19">
        <f t="shared" si="0"/>
        <v>159</v>
      </c>
      <c r="P45" s="19">
        <f t="shared" si="1"/>
        <v>2.19</v>
      </c>
      <c r="R45" s="25">
        <f t="shared" si="4"/>
        <v>-32</v>
      </c>
      <c r="S45">
        <f t="shared" si="5"/>
        <v>0.83246073298429324</v>
      </c>
    </row>
    <row r="46" spans="1:19" x14ac:dyDescent="0.25">
      <c r="A46">
        <v>161</v>
      </c>
      <c r="B46" s="21">
        <v>45871</v>
      </c>
      <c r="C46" s="14">
        <v>184</v>
      </c>
      <c r="D46" s="14">
        <v>187</v>
      </c>
      <c r="E46" s="14">
        <v>176</v>
      </c>
      <c r="F46" s="14">
        <v>178</v>
      </c>
      <c r="G46" s="14">
        <v>178</v>
      </c>
      <c r="H46" s="18">
        <v>178</v>
      </c>
      <c r="I46" s="14">
        <v>180</v>
      </c>
      <c r="J46" s="14">
        <v>178</v>
      </c>
      <c r="K46" s="14">
        <v>177</v>
      </c>
      <c r="L46" s="14">
        <v>182</v>
      </c>
      <c r="M46" s="14"/>
      <c r="N46" s="15"/>
      <c r="O46" s="19">
        <f t="shared" si="0"/>
        <v>180</v>
      </c>
      <c r="P46" s="19">
        <f t="shared" si="1"/>
        <v>3.31</v>
      </c>
      <c r="R46" s="25">
        <f t="shared" si="4"/>
        <v>19</v>
      </c>
      <c r="S46">
        <f t="shared" si="5"/>
        <v>1.1180124223602483</v>
      </c>
    </row>
    <row r="47" spans="1:19" x14ac:dyDescent="0.25">
      <c r="A47">
        <v>68</v>
      </c>
      <c r="B47" s="21">
        <v>45872</v>
      </c>
      <c r="C47" s="14">
        <v>60</v>
      </c>
      <c r="D47" s="14">
        <v>59</v>
      </c>
      <c r="E47" s="14">
        <v>62</v>
      </c>
      <c r="F47" s="14">
        <v>62</v>
      </c>
      <c r="G47" s="14">
        <v>62</v>
      </c>
      <c r="H47" s="18">
        <v>56</v>
      </c>
      <c r="I47" s="14">
        <v>52</v>
      </c>
      <c r="J47" s="14">
        <v>53</v>
      </c>
      <c r="K47" s="14">
        <v>63</v>
      </c>
      <c r="L47" s="14">
        <v>65</v>
      </c>
      <c r="M47" s="14"/>
      <c r="N47" s="15"/>
      <c r="O47" s="19">
        <f t="shared" si="0"/>
        <v>59</v>
      </c>
      <c r="P47" s="19">
        <f t="shared" si="1"/>
        <v>4.1500000000000004</v>
      </c>
      <c r="R47" s="25">
        <f t="shared" si="4"/>
        <v>-9</v>
      </c>
      <c r="S47">
        <f t="shared" si="5"/>
        <v>0.86764705882352944</v>
      </c>
    </row>
    <row r="48" spans="1:19" x14ac:dyDescent="0.25">
      <c r="A48">
        <v>75</v>
      </c>
      <c r="B48" s="21">
        <v>45873</v>
      </c>
      <c r="C48" s="14">
        <v>66</v>
      </c>
      <c r="D48" s="14">
        <v>75</v>
      </c>
      <c r="E48" s="14">
        <v>77</v>
      </c>
      <c r="F48" s="14">
        <v>74</v>
      </c>
      <c r="G48" s="14">
        <v>76</v>
      </c>
      <c r="H48" s="18">
        <v>75</v>
      </c>
      <c r="I48" s="14">
        <v>68</v>
      </c>
      <c r="J48" s="14">
        <v>71</v>
      </c>
      <c r="K48" s="14">
        <v>75</v>
      </c>
      <c r="L48" s="14">
        <v>75</v>
      </c>
      <c r="M48" s="14"/>
      <c r="N48" s="15"/>
      <c r="O48" s="19">
        <f t="shared" si="0"/>
        <v>73</v>
      </c>
      <c r="P48" s="19">
        <f t="shared" si="1"/>
        <v>3.46</v>
      </c>
      <c r="R48" s="25">
        <f t="shared" si="4"/>
        <v>-2</v>
      </c>
      <c r="S48">
        <f t="shared" si="5"/>
        <v>0.97333333333333338</v>
      </c>
    </row>
    <row r="49" spans="1:19" x14ac:dyDescent="0.25">
      <c r="A49">
        <v>49</v>
      </c>
      <c r="B49" s="21">
        <v>45874</v>
      </c>
      <c r="C49" s="14">
        <v>95</v>
      </c>
      <c r="D49" s="14">
        <v>92</v>
      </c>
      <c r="E49" s="14">
        <v>91</v>
      </c>
      <c r="F49" s="14">
        <v>91</v>
      </c>
      <c r="G49" s="14">
        <v>89</v>
      </c>
      <c r="H49" s="18">
        <v>89</v>
      </c>
      <c r="I49" s="14">
        <v>94</v>
      </c>
      <c r="J49" s="14">
        <v>92</v>
      </c>
      <c r="K49" s="14">
        <v>91</v>
      </c>
      <c r="L49" s="14">
        <v>81</v>
      </c>
      <c r="M49" s="14"/>
      <c r="N49" s="15"/>
      <c r="O49" s="19">
        <f t="shared" si="0"/>
        <v>91</v>
      </c>
      <c r="P49" s="19">
        <f t="shared" si="1"/>
        <v>3.64</v>
      </c>
      <c r="R49" s="25">
        <f t="shared" si="4"/>
        <v>42</v>
      </c>
      <c r="S49">
        <f t="shared" si="5"/>
        <v>1.8571428571428572</v>
      </c>
    </row>
    <row r="50" spans="1:19" x14ac:dyDescent="0.25">
      <c r="A50">
        <v>60</v>
      </c>
      <c r="B50" s="21">
        <v>45875</v>
      </c>
      <c r="C50" s="14">
        <v>69</v>
      </c>
      <c r="D50" s="14">
        <v>72</v>
      </c>
      <c r="E50" s="14">
        <v>70</v>
      </c>
      <c r="F50" s="14">
        <v>70</v>
      </c>
      <c r="G50" s="14">
        <v>68</v>
      </c>
      <c r="H50" s="18">
        <v>69</v>
      </c>
      <c r="I50" s="14">
        <v>69</v>
      </c>
      <c r="J50" s="14">
        <v>71</v>
      </c>
      <c r="K50" s="14">
        <v>70</v>
      </c>
      <c r="L50" s="14">
        <v>67</v>
      </c>
      <c r="M50" s="14">
        <v>70</v>
      </c>
      <c r="N50" s="15">
        <v>70</v>
      </c>
      <c r="O50" s="19">
        <f t="shared" si="0"/>
        <v>70</v>
      </c>
      <c r="P50" s="19">
        <f t="shared" si="1"/>
        <v>1.26</v>
      </c>
      <c r="R50" s="25">
        <f t="shared" si="4"/>
        <v>10</v>
      </c>
      <c r="S50">
        <f t="shared" si="5"/>
        <v>1.1666666666666667</v>
      </c>
    </row>
    <row r="51" spans="1:19" x14ac:dyDescent="0.25">
      <c r="A51">
        <v>91</v>
      </c>
      <c r="B51" s="21">
        <v>45876</v>
      </c>
      <c r="C51" s="14">
        <v>104</v>
      </c>
      <c r="D51" s="14">
        <v>125</v>
      </c>
      <c r="E51" s="14">
        <v>106</v>
      </c>
      <c r="F51" s="14">
        <v>114</v>
      </c>
      <c r="G51" s="14">
        <v>105</v>
      </c>
      <c r="H51" s="18">
        <v>104</v>
      </c>
      <c r="I51" s="14">
        <v>102</v>
      </c>
      <c r="J51" s="14">
        <v>103</v>
      </c>
      <c r="K51" s="14">
        <v>110</v>
      </c>
      <c r="L51" s="14">
        <v>101</v>
      </c>
      <c r="M51" s="14">
        <v>118</v>
      </c>
      <c r="N51" s="15">
        <v>107</v>
      </c>
      <c r="O51" s="19">
        <f t="shared" si="0"/>
        <v>108</v>
      </c>
      <c r="P51" s="19">
        <f t="shared" si="1"/>
        <v>6.98</v>
      </c>
      <c r="R51" s="25">
        <f t="shared" si="4"/>
        <v>17</v>
      </c>
      <c r="S51">
        <f t="shared" si="5"/>
        <v>1.1868131868131868</v>
      </c>
    </row>
    <row r="52" spans="1:19" x14ac:dyDescent="0.25">
      <c r="A52">
        <v>136</v>
      </c>
      <c r="B52" s="21">
        <v>45877</v>
      </c>
      <c r="C52" s="14">
        <v>175</v>
      </c>
      <c r="D52" s="14">
        <v>160</v>
      </c>
      <c r="E52" s="14">
        <v>167</v>
      </c>
      <c r="F52" s="14">
        <v>176</v>
      </c>
      <c r="G52" s="14">
        <v>176</v>
      </c>
      <c r="H52" s="18">
        <v>167</v>
      </c>
      <c r="I52" s="14">
        <v>171</v>
      </c>
      <c r="J52" s="14">
        <v>166</v>
      </c>
      <c r="K52" s="14">
        <v>169</v>
      </c>
      <c r="L52" s="14">
        <v>172</v>
      </c>
      <c r="M52" s="14">
        <v>174</v>
      </c>
      <c r="N52" s="15">
        <v>175</v>
      </c>
      <c r="O52" s="19">
        <f t="shared" si="0"/>
        <v>171</v>
      </c>
      <c r="P52" s="19">
        <f t="shared" si="1"/>
        <v>4.7699999999999996</v>
      </c>
      <c r="R52" s="25">
        <f t="shared" si="4"/>
        <v>35</v>
      </c>
      <c r="S52">
        <f t="shared" si="5"/>
        <v>1.2573529411764706</v>
      </c>
    </row>
    <row r="53" spans="1:19" x14ac:dyDescent="0.25">
      <c r="A53" s="18">
        <v>159</v>
      </c>
      <c r="B53" s="21">
        <v>45878</v>
      </c>
      <c r="C53" s="14">
        <v>189</v>
      </c>
      <c r="D53" s="14">
        <v>183</v>
      </c>
      <c r="E53" s="14">
        <v>198</v>
      </c>
      <c r="F53" s="14">
        <v>210</v>
      </c>
      <c r="G53" s="14">
        <v>214</v>
      </c>
      <c r="H53" s="18">
        <v>224</v>
      </c>
      <c r="I53" s="14">
        <v>197</v>
      </c>
      <c r="J53" s="14">
        <v>195</v>
      </c>
      <c r="K53" s="14">
        <v>195</v>
      </c>
      <c r="L53" s="14">
        <v>213</v>
      </c>
      <c r="M53" s="14">
        <v>209</v>
      </c>
      <c r="N53" s="15">
        <v>193</v>
      </c>
      <c r="O53" s="19">
        <f t="shared" si="0"/>
        <v>202</v>
      </c>
      <c r="P53" s="19">
        <f t="shared" si="1"/>
        <v>11.59</v>
      </c>
      <c r="R53" s="25">
        <f t="shared" si="4"/>
        <v>43</v>
      </c>
      <c r="S53">
        <f t="shared" si="5"/>
        <v>1.270440251572327</v>
      </c>
    </row>
    <row r="54" spans="1:19" x14ac:dyDescent="0.25">
      <c r="A54">
        <v>73</v>
      </c>
      <c r="B54" s="21">
        <v>45879</v>
      </c>
      <c r="C54" s="14">
        <v>72</v>
      </c>
      <c r="D54" s="14">
        <v>73</v>
      </c>
      <c r="E54" s="14">
        <v>69</v>
      </c>
      <c r="F54" s="14">
        <v>73</v>
      </c>
      <c r="G54" s="14">
        <v>75</v>
      </c>
      <c r="H54" s="18">
        <v>71</v>
      </c>
      <c r="I54" s="14">
        <v>72</v>
      </c>
      <c r="J54" s="14">
        <v>73</v>
      </c>
      <c r="K54" s="14">
        <v>77</v>
      </c>
      <c r="L54" s="14">
        <v>69</v>
      </c>
      <c r="M54" s="14">
        <v>69</v>
      </c>
      <c r="N54" s="15">
        <v>69</v>
      </c>
      <c r="O54" s="19">
        <f t="shared" si="0"/>
        <v>72</v>
      </c>
      <c r="P54" s="19">
        <f t="shared" si="1"/>
        <v>2.48</v>
      </c>
      <c r="R54" s="25">
        <f t="shared" si="4"/>
        <v>-1</v>
      </c>
      <c r="S54">
        <f t="shared" si="5"/>
        <v>0.98630136986301364</v>
      </c>
    </row>
    <row r="55" spans="1:19" x14ac:dyDescent="0.25">
      <c r="A55">
        <v>63</v>
      </c>
      <c r="B55" s="21">
        <v>45880</v>
      </c>
      <c r="C55" s="14">
        <v>85</v>
      </c>
      <c r="D55" s="14">
        <v>81</v>
      </c>
      <c r="E55" s="14">
        <v>83</v>
      </c>
      <c r="F55" s="14">
        <v>90</v>
      </c>
      <c r="G55" s="14">
        <v>88</v>
      </c>
      <c r="H55" s="18">
        <v>86</v>
      </c>
      <c r="I55" s="14">
        <v>84</v>
      </c>
      <c r="J55" s="14">
        <v>83</v>
      </c>
      <c r="K55" s="14">
        <v>91</v>
      </c>
      <c r="L55" s="14">
        <v>81</v>
      </c>
      <c r="M55" s="14">
        <v>88</v>
      </c>
      <c r="N55" s="15">
        <v>89</v>
      </c>
      <c r="O55" s="19">
        <f t="shared" si="0"/>
        <v>86</v>
      </c>
      <c r="P55" s="19">
        <f t="shared" si="1"/>
        <v>3.29</v>
      </c>
      <c r="R55" s="25">
        <f t="shared" si="4"/>
        <v>23</v>
      </c>
      <c r="S55">
        <f t="shared" si="5"/>
        <v>1.3650793650793651</v>
      </c>
    </row>
    <row r="56" spans="1:19" x14ac:dyDescent="0.25">
      <c r="A56">
        <v>55</v>
      </c>
      <c r="B56" s="21">
        <v>45881</v>
      </c>
      <c r="C56" s="14">
        <v>92</v>
      </c>
      <c r="D56" s="14">
        <v>87</v>
      </c>
      <c r="E56" s="14">
        <v>90</v>
      </c>
      <c r="F56" s="14">
        <v>78</v>
      </c>
      <c r="G56" s="14">
        <v>89</v>
      </c>
      <c r="H56" s="18">
        <v>86</v>
      </c>
      <c r="I56" s="14">
        <v>83</v>
      </c>
      <c r="J56" s="14">
        <v>89</v>
      </c>
      <c r="K56" s="14">
        <v>90</v>
      </c>
      <c r="L56" s="14">
        <v>88</v>
      </c>
      <c r="M56" s="14">
        <v>86</v>
      </c>
      <c r="N56" s="15">
        <v>88</v>
      </c>
      <c r="O56" s="19">
        <f t="shared" si="0"/>
        <v>87</v>
      </c>
      <c r="P56" s="19">
        <f t="shared" si="1"/>
        <v>3.56</v>
      </c>
      <c r="R56" s="25">
        <f t="shared" si="4"/>
        <v>32</v>
      </c>
      <c r="S56">
        <f t="shared" si="5"/>
        <v>1.5818181818181818</v>
      </c>
    </row>
    <row r="57" spans="1:19" ht="15.75" thickBot="1" x14ac:dyDescent="0.3">
      <c r="A57">
        <v>54</v>
      </c>
      <c r="B57" s="21">
        <v>45882</v>
      </c>
      <c r="C57" s="22">
        <v>107</v>
      </c>
      <c r="D57" s="16">
        <v>96</v>
      </c>
      <c r="E57" s="16">
        <v>112</v>
      </c>
      <c r="F57" s="16">
        <v>108</v>
      </c>
      <c r="G57" s="16">
        <v>109</v>
      </c>
      <c r="H57" s="20">
        <v>108</v>
      </c>
      <c r="I57" s="16">
        <v>105</v>
      </c>
      <c r="J57" s="16">
        <v>106</v>
      </c>
      <c r="K57" s="16">
        <v>108</v>
      </c>
      <c r="L57" s="16">
        <v>110</v>
      </c>
      <c r="M57" s="16">
        <v>100</v>
      </c>
      <c r="N57" s="23">
        <v>110</v>
      </c>
      <c r="O57" s="19">
        <f t="shared" si="0"/>
        <v>107</v>
      </c>
      <c r="P57" s="19">
        <f t="shared" si="1"/>
        <v>4.3099999999999996</v>
      </c>
      <c r="R57" s="25">
        <f t="shared" si="4"/>
        <v>53</v>
      </c>
      <c r="S57">
        <f t="shared" si="5"/>
        <v>1.9814814814814814</v>
      </c>
    </row>
    <row r="58" spans="1:19" x14ac:dyDescent="0.25">
      <c r="A58" s="13">
        <v>82</v>
      </c>
      <c r="B58" s="21">
        <v>45883</v>
      </c>
      <c r="C58">
        <v>150</v>
      </c>
      <c r="D58">
        <v>136</v>
      </c>
      <c r="E58">
        <v>152</v>
      </c>
      <c r="F58">
        <v>150</v>
      </c>
      <c r="G58">
        <v>149</v>
      </c>
      <c r="H58">
        <v>156</v>
      </c>
      <c r="I58">
        <v>148</v>
      </c>
      <c r="J58">
        <v>153</v>
      </c>
      <c r="K58">
        <v>147</v>
      </c>
      <c r="L58">
        <v>145</v>
      </c>
      <c r="M58">
        <v>146</v>
      </c>
      <c r="N58">
        <v>144</v>
      </c>
      <c r="O58" s="19">
        <f t="shared" si="0"/>
        <v>148</v>
      </c>
      <c r="P58" s="19">
        <f t="shared" si="1"/>
        <v>4.9000000000000004</v>
      </c>
      <c r="R58" s="25">
        <f t="shared" si="4"/>
        <v>66</v>
      </c>
      <c r="S58">
        <f t="shared" si="5"/>
        <v>1.8048780487804879</v>
      </c>
    </row>
    <row r="59" spans="1:19" x14ac:dyDescent="0.25">
      <c r="A59" s="13">
        <v>140</v>
      </c>
      <c r="B59" s="21">
        <v>45884</v>
      </c>
      <c r="C59">
        <v>164</v>
      </c>
      <c r="D59">
        <v>148</v>
      </c>
      <c r="O59" s="19">
        <f t="shared" si="0"/>
        <v>156</v>
      </c>
      <c r="P59" s="19">
        <f t="shared" si="1"/>
        <v>8</v>
      </c>
      <c r="R59" s="25">
        <f t="shared" si="4"/>
        <v>16</v>
      </c>
      <c r="S59">
        <f t="shared" si="5"/>
        <v>1.1142857142857143</v>
      </c>
    </row>
    <row r="60" spans="1:19" x14ac:dyDescent="0.25">
      <c r="A60" s="13">
        <v>162</v>
      </c>
      <c r="B60" s="21">
        <v>45885</v>
      </c>
      <c r="C60">
        <v>180</v>
      </c>
      <c r="D60">
        <v>150</v>
      </c>
      <c r="E60">
        <v>197</v>
      </c>
      <c r="F60">
        <v>163</v>
      </c>
      <c r="G60">
        <v>150</v>
      </c>
      <c r="H60">
        <v>148</v>
      </c>
      <c r="I60">
        <v>218</v>
      </c>
      <c r="J60">
        <v>202</v>
      </c>
      <c r="K60">
        <v>196</v>
      </c>
      <c r="L60">
        <v>163</v>
      </c>
      <c r="M60">
        <v>152</v>
      </c>
      <c r="O60" s="19">
        <f t="shared" si="0"/>
        <v>174</v>
      </c>
      <c r="P60" s="19">
        <f t="shared" si="1"/>
        <v>23.97</v>
      </c>
      <c r="R60" s="25">
        <f t="shared" si="4"/>
        <v>12</v>
      </c>
      <c r="S60">
        <f t="shared" si="5"/>
        <v>1.0740740740740742</v>
      </c>
    </row>
    <row r="61" spans="1:19" x14ac:dyDescent="0.25">
      <c r="A61" s="13">
        <v>92</v>
      </c>
      <c r="B61" s="21">
        <v>45886</v>
      </c>
      <c r="C61">
        <v>56</v>
      </c>
      <c r="D61">
        <v>72</v>
      </c>
      <c r="E61">
        <v>68</v>
      </c>
      <c r="F61">
        <v>78</v>
      </c>
      <c r="G61">
        <v>50</v>
      </c>
      <c r="H61">
        <v>64</v>
      </c>
      <c r="I61">
        <v>61</v>
      </c>
      <c r="J61">
        <v>59</v>
      </c>
      <c r="K61">
        <v>61</v>
      </c>
      <c r="L61">
        <v>63</v>
      </c>
      <c r="M61">
        <v>71</v>
      </c>
      <c r="O61" s="19">
        <f t="shared" si="0"/>
        <v>64</v>
      </c>
      <c r="P61" s="19">
        <f t="shared" si="1"/>
        <v>7.56</v>
      </c>
      <c r="R61" s="25">
        <f t="shared" si="4"/>
        <v>-28</v>
      </c>
      <c r="S61">
        <f t="shared" si="5"/>
        <v>0.69565217391304346</v>
      </c>
    </row>
    <row r="62" spans="1:19" x14ac:dyDescent="0.25">
      <c r="A62" s="13">
        <v>86</v>
      </c>
      <c r="B62" s="21">
        <v>45887</v>
      </c>
      <c r="C62">
        <v>55</v>
      </c>
      <c r="D62">
        <v>56</v>
      </c>
      <c r="E62">
        <v>60</v>
      </c>
      <c r="F62">
        <v>69</v>
      </c>
      <c r="G62">
        <v>55</v>
      </c>
      <c r="H62">
        <v>87</v>
      </c>
      <c r="I62">
        <v>67</v>
      </c>
      <c r="J62">
        <v>64</v>
      </c>
      <c r="K62">
        <v>72</v>
      </c>
      <c r="L62">
        <v>58</v>
      </c>
      <c r="M62">
        <v>61</v>
      </c>
      <c r="O62" s="19">
        <f t="shared" si="0"/>
        <v>64</v>
      </c>
      <c r="P62" s="19">
        <f t="shared" si="1"/>
        <v>9.1199999999999992</v>
      </c>
      <c r="R62" s="25">
        <f t="shared" si="4"/>
        <v>-22</v>
      </c>
      <c r="S62">
        <f t="shared" si="5"/>
        <v>0.7441860465116279</v>
      </c>
    </row>
    <row r="63" spans="1:19" x14ac:dyDescent="0.25">
      <c r="A63" s="13">
        <v>62</v>
      </c>
      <c r="B63" s="21">
        <v>45888</v>
      </c>
      <c r="C63">
        <v>62</v>
      </c>
      <c r="D63">
        <v>57</v>
      </c>
      <c r="E63">
        <v>66</v>
      </c>
      <c r="F63">
        <v>66</v>
      </c>
      <c r="G63">
        <v>63</v>
      </c>
      <c r="H63">
        <v>75</v>
      </c>
      <c r="I63">
        <v>66</v>
      </c>
      <c r="J63">
        <v>61</v>
      </c>
      <c r="K63">
        <v>81</v>
      </c>
      <c r="L63">
        <v>70</v>
      </c>
      <c r="M63">
        <v>74</v>
      </c>
      <c r="O63" s="19">
        <f t="shared" si="0"/>
        <v>67</v>
      </c>
      <c r="P63" s="19">
        <f t="shared" si="1"/>
        <v>6.72</v>
      </c>
      <c r="R63" s="25">
        <f t="shared" si="4"/>
        <v>5</v>
      </c>
      <c r="S63">
        <f t="shared" si="5"/>
        <v>1.0806451612903225</v>
      </c>
    </row>
    <row r="64" spans="1:19" x14ac:dyDescent="0.25">
      <c r="A64" s="13">
        <v>79</v>
      </c>
      <c r="B64" s="21">
        <v>45889</v>
      </c>
      <c r="C64">
        <v>69</v>
      </c>
      <c r="D64">
        <v>75</v>
      </c>
      <c r="E64">
        <v>77</v>
      </c>
      <c r="F64">
        <v>66</v>
      </c>
      <c r="G64">
        <v>55</v>
      </c>
      <c r="H64">
        <v>82</v>
      </c>
      <c r="I64">
        <v>67</v>
      </c>
      <c r="J64">
        <v>72</v>
      </c>
      <c r="K64">
        <v>82</v>
      </c>
      <c r="L64">
        <v>86</v>
      </c>
      <c r="M64">
        <v>83</v>
      </c>
      <c r="O64" s="19">
        <f t="shared" si="0"/>
        <v>74</v>
      </c>
      <c r="P64" s="19">
        <f t="shared" si="1"/>
        <v>8.8699999999999992</v>
      </c>
      <c r="R64" s="25">
        <f t="shared" si="4"/>
        <v>-5</v>
      </c>
      <c r="S64">
        <f t="shared" si="5"/>
        <v>0.93670886075949367</v>
      </c>
    </row>
    <row r="65" spans="1:19" x14ac:dyDescent="0.25">
      <c r="A65" s="13">
        <v>128</v>
      </c>
      <c r="B65" s="21">
        <v>45890</v>
      </c>
      <c r="C65">
        <v>114</v>
      </c>
      <c r="D65">
        <v>119</v>
      </c>
      <c r="E65">
        <v>105</v>
      </c>
      <c r="F65">
        <v>100</v>
      </c>
      <c r="G65">
        <v>103</v>
      </c>
      <c r="H65">
        <v>106</v>
      </c>
      <c r="I65">
        <v>98</v>
      </c>
      <c r="J65">
        <v>104</v>
      </c>
      <c r="K65">
        <v>110</v>
      </c>
      <c r="L65">
        <v>94</v>
      </c>
      <c r="M65">
        <v>116</v>
      </c>
      <c r="O65" s="19">
        <f t="shared" si="0"/>
        <v>106</v>
      </c>
      <c r="P65" s="19">
        <f t="shared" si="1"/>
        <v>7.42</v>
      </c>
      <c r="R65" s="25">
        <f t="shared" si="4"/>
        <v>-22</v>
      </c>
      <c r="S65">
        <f t="shared" si="5"/>
        <v>0.828125</v>
      </c>
    </row>
    <row r="66" spans="1:19" x14ac:dyDescent="0.25">
      <c r="A66" s="13">
        <v>157</v>
      </c>
      <c r="B66" s="21">
        <v>45891</v>
      </c>
      <c r="C66">
        <v>127</v>
      </c>
      <c r="D66">
        <v>128</v>
      </c>
      <c r="E66">
        <v>130</v>
      </c>
      <c r="F66">
        <v>138</v>
      </c>
      <c r="G66">
        <v>158</v>
      </c>
      <c r="H66">
        <v>144</v>
      </c>
      <c r="I66">
        <v>174</v>
      </c>
      <c r="J66">
        <v>122</v>
      </c>
      <c r="K66">
        <v>141</v>
      </c>
      <c r="L66">
        <v>142</v>
      </c>
      <c r="M66">
        <v>138</v>
      </c>
      <c r="O66" s="19">
        <f t="shared" si="0"/>
        <v>140</v>
      </c>
      <c r="P66" s="19">
        <f t="shared" si="1"/>
        <v>14.29</v>
      </c>
      <c r="R66" s="25">
        <f t="shared" si="4"/>
        <v>-17</v>
      </c>
      <c r="S66">
        <f t="shared" si="5"/>
        <v>0.89171974522292996</v>
      </c>
    </row>
    <row r="67" spans="1:19" x14ac:dyDescent="0.25">
      <c r="A67" s="13">
        <v>216</v>
      </c>
      <c r="B67" s="21">
        <v>45892</v>
      </c>
      <c r="C67">
        <v>213</v>
      </c>
      <c r="D67">
        <v>201</v>
      </c>
      <c r="E67">
        <v>191</v>
      </c>
      <c r="F67">
        <v>197</v>
      </c>
      <c r="G67">
        <v>190</v>
      </c>
      <c r="H67">
        <v>161</v>
      </c>
      <c r="I67">
        <v>182</v>
      </c>
      <c r="J67">
        <v>213</v>
      </c>
      <c r="K67">
        <v>190</v>
      </c>
      <c r="L67">
        <v>167</v>
      </c>
      <c r="M67">
        <v>175</v>
      </c>
      <c r="O67" s="19">
        <f t="shared" ref="O67:O130" si="6">ROUND(AVERAGE(C67:N67),0)</f>
        <v>189</v>
      </c>
      <c r="P67" s="19">
        <f t="shared" ref="P67:P130" si="7">ROUND(_xlfn.STDEV.P(C67:N67),2)</f>
        <v>16.18</v>
      </c>
      <c r="R67" s="25">
        <f t="shared" si="4"/>
        <v>-27</v>
      </c>
      <c r="S67">
        <f t="shared" si="5"/>
        <v>0.875</v>
      </c>
    </row>
    <row r="68" spans="1:19" x14ac:dyDescent="0.25">
      <c r="A68" s="13">
        <v>71</v>
      </c>
      <c r="B68" s="21">
        <v>45893</v>
      </c>
      <c r="C68">
        <v>65</v>
      </c>
      <c r="D68">
        <v>72</v>
      </c>
      <c r="E68">
        <v>79</v>
      </c>
      <c r="F68">
        <v>74</v>
      </c>
      <c r="G68">
        <v>58</v>
      </c>
      <c r="H68">
        <v>77</v>
      </c>
      <c r="I68">
        <v>78</v>
      </c>
      <c r="J68">
        <v>61</v>
      </c>
      <c r="K68">
        <v>80</v>
      </c>
      <c r="L68">
        <v>69</v>
      </c>
      <c r="M68">
        <v>65</v>
      </c>
      <c r="O68" s="19">
        <f t="shared" si="6"/>
        <v>71</v>
      </c>
      <c r="P68" s="19">
        <f t="shared" si="7"/>
        <v>7.29</v>
      </c>
      <c r="R68" s="25">
        <f t="shared" si="4"/>
        <v>0</v>
      </c>
      <c r="S68">
        <f t="shared" si="5"/>
        <v>1</v>
      </c>
    </row>
    <row r="69" spans="1:19" x14ac:dyDescent="0.25">
      <c r="A69" s="13">
        <v>34</v>
      </c>
      <c r="B69" s="21">
        <v>45894</v>
      </c>
      <c r="O69" s="19" t="e">
        <f t="shared" si="6"/>
        <v>#DIV/0!</v>
      </c>
      <c r="P69" s="19" t="e">
        <f t="shared" si="7"/>
        <v>#DIV/0!</v>
      </c>
      <c r="R69" s="25" t="e">
        <f t="shared" si="4"/>
        <v>#DIV/0!</v>
      </c>
      <c r="S69" t="e">
        <f t="shared" si="5"/>
        <v>#DIV/0!</v>
      </c>
    </row>
    <row r="70" spans="1:19" x14ac:dyDescent="0.25">
      <c r="A70" s="13">
        <v>77</v>
      </c>
      <c r="B70" s="21">
        <v>45895</v>
      </c>
      <c r="O70" s="19" t="e">
        <f t="shared" si="6"/>
        <v>#DIV/0!</v>
      </c>
      <c r="P70" s="19" t="e">
        <f t="shared" si="7"/>
        <v>#DIV/0!</v>
      </c>
      <c r="R70" s="25" t="e">
        <f t="shared" ref="R70:R104" si="8">O70-A70</f>
        <v>#DIV/0!</v>
      </c>
      <c r="S70" t="e">
        <f t="shared" ref="S70:S104" si="9">O70/A70</f>
        <v>#DIV/0!</v>
      </c>
    </row>
    <row r="71" spans="1:19" x14ac:dyDescent="0.25">
      <c r="A71" s="13">
        <v>102</v>
      </c>
      <c r="B71" s="21">
        <v>45896</v>
      </c>
      <c r="O71" s="19" t="e">
        <f t="shared" si="6"/>
        <v>#DIV/0!</v>
      </c>
      <c r="P71" s="19" t="e">
        <f t="shared" si="7"/>
        <v>#DIV/0!</v>
      </c>
      <c r="R71" s="25" t="e">
        <f t="shared" si="8"/>
        <v>#DIV/0!</v>
      </c>
      <c r="S71" t="e">
        <f t="shared" si="9"/>
        <v>#DIV/0!</v>
      </c>
    </row>
    <row r="72" spans="1:19" x14ac:dyDescent="0.25">
      <c r="A72" s="13">
        <v>86</v>
      </c>
      <c r="B72" s="21">
        <v>45897</v>
      </c>
      <c r="O72" s="19" t="e">
        <f t="shared" si="6"/>
        <v>#DIV/0!</v>
      </c>
      <c r="P72" s="19" t="e">
        <f t="shared" si="7"/>
        <v>#DIV/0!</v>
      </c>
      <c r="R72" s="25" t="e">
        <f t="shared" si="8"/>
        <v>#DIV/0!</v>
      </c>
      <c r="S72" t="e">
        <f t="shared" si="9"/>
        <v>#DIV/0!</v>
      </c>
    </row>
    <row r="73" spans="1:19" x14ac:dyDescent="0.25">
      <c r="A73" s="13">
        <v>140</v>
      </c>
      <c r="B73" s="21">
        <v>45898</v>
      </c>
      <c r="O73" s="19" t="e">
        <f t="shared" si="6"/>
        <v>#DIV/0!</v>
      </c>
      <c r="P73" s="19" t="e">
        <f t="shared" si="7"/>
        <v>#DIV/0!</v>
      </c>
      <c r="R73" s="25" t="e">
        <f t="shared" si="8"/>
        <v>#DIV/0!</v>
      </c>
      <c r="S73" t="e">
        <f t="shared" si="9"/>
        <v>#DIV/0!</v>
      </c>
    </row>
    <row r="74" spans="1:19" x14ac:dyDescent="0.25">
      <c r="A74" s="13">
        <v>164</v>
      </c>
      <c r="B74" s="21">
        <v>45899</v>
      </c>
      <c r="O74" s="19" t="e">
        <f t="shared" si="6"/>
        <v>#DIV/0!</v>
      </c>
      <c r="P74" s="19" t="e">
        <f t="shared" si="7"/>
        <v>#DIV/0!</v>
      </c>
      <c r="R74" s="25" t="e">
        <f t="shared" si="8"/>
        <v>#DIV/0!</v>
      </c>
      <c r="S74" t="e">
        <f t="shared" si="9"/>
        <v>#DIV/0!</v>
      </c>
    </row>
    <row r="75" spans="1:19" x14ac:dyDescent="0.25">
      <c r="A75" s="13">
        <v>68</v>
      </c>
      <c r="B75" s="21">
        <v>45900</v>
      </c>
      <c r="C75">
        <v>40</v>
      </c>
      <c r="D75">
        <v>77</v>
      </c>
      <c r="E75">
        <v>78</v>
      </c>
      <c r="F75">
        <v>68</v>
      </c>
      <c r="G75">
        <v>68</v>
      </c>
      <c r="H75">
        <v>62</v>
      </c>
      <c r="I75">
        <v>74</v>
      </c>
      <c r="J75">
        <v>74</v>
      </c>
      <c r="K75">
        <v>64</v>
      </c>
      <c r="L75">
        <v>66</v>
      </c>
      <c r="O75" s="19">
        <f t="shared" si="6"/>
        <v>67</v>
      </c>
      <c r="P75" s="19">
        <f t="shared" si="7"/>
        <v>10.42</v>
      </c>
      <c r="R75" s="25">
        <f t="shared" si="8"/>
        <v>-1</v>
      </c>
      <c r="S75">
        <f t="shared" si="9"/>
        <v>0.98529411764705888</v>
      </c>
    </row>
    <row r="76" spans="1:19" x14ac:dyDescent="0.25">
      <c r="A76" s="13">
        <v>0</v>
      </c>
      <c r="B76" s="21">
        <v>45901</v>
      </c>
      <c r="C76">
        <v>41</v>
      </c>
      <c r="D76">
        <v>78</v>
      </c>
      <c r="E76">
        <v>74</v>
      </c>
      <c r="F76">
        <v>65</v>
      </c>
      <c r="G76">
        <v>71</v>
      </c>
      <c r="H76">
        <v>64</v>
      </c>
      <c r="I76">
        <v>70</v>
      </c>
      <c r="J76">
        <v>75</v>
      </c>
      <c r="K76">
        <v>68</v>
      </c>
      <c r="L76">
        <v>77</v>
      </c>
      <c r="O76" s="19">
        <f t="shared" si="6"/>
        <v>68</v>
      </c>
      <c r="P76" s="19">
        <f t="shared" si="7"/>
        <v>10.16</v>
      </c>
      <c r="R76" s="25">
        <f t="shared" si="8"/>
        <v>68</v>
      </c>
      <c r="S76">
        <f>O76/(A76+1)</f>
        <v>68</v>
      </c>
    </row>
    <row r="77" spans="1:19" x14ac:dyDescent="0.25">
      <c r="A77" s="13">
        <v>45</v>
      </c>
      <c r="B77" s="21">
        <v>45902</v>
      </c>
      <c r="C77">
        <v>41</v>
      </c>
      <c r="D77">
        <v>86</v>
      </c>
      <c r="E77">
        <v>81</v>
      </c>
      <c r="F77">
        <v>75</v>
      </c>
      <c r="G77">
        <v>82</v>
      </c>
      <c r="H77">
        <v>70</v>
      </c>
      <c r="I77">
        <v>71</v>
      </c>
      <c r="J77">
        <v>88</v>
      </c>
      <c r="K77">
        <v>81</v>
      </c>
      <c r="L77">
        <v>85</v>
      </c>
      <c r="O77" s="19">
        <f t="shared" si="6"/>
        <v>76</v>
      </c>
      <c r="P77" s="19">
        <f t="shared" si="7"/>
        <v>13.03</v>
      </c>
      <c r="R77" s="25">
        <f t="shared" si="8"/>
        <v>31</v>
      </c>
      <c r="S77">
        <f t="shared" si="9"/>
        <v>1.6888888888888889</v>
      </c>
    </row>
    <row r="78" spans="1:19" x14ac:dyDescent="0.25">
      <c r="A78" s="13">
        <v>36</v>
      </c>
      <c r="B78" s="21">
        <v>45903</v>
      </c>
      <c r="C78">
        <v>43</v>
      </c>
      <c r="D78">
        <v>77</v>
      </c>
      <c r="E78">
        <v>75</v>
      </c>
      <c r="F78">
        <v>72</v>
      </c>
      <c r="G78">
        <v>76</v>
      </c>
      <c r="H78">
        <v>80</v>
      </c>
      <c r="I78">
        <v>86</v>
      </c>
      <c r="J78">
        <v>93</v>
      </c>
      <c r="K78">
        <v>92</v>
      </c>
      <c r="L78">
        <v>81</v>
      </c>
      <c r="O78" s="19">
        <f t="shared" si="6"/>
        <v>78</v>
      </c>
      <c r="P78" s="19">
        <f t="shared" si="7"/>
        <v>13.31</v>
      </c>
      <c r="R78" s="25">
        <f t="shared" si="8"/>
        <v>42</v>
      </c>
      <c r="S78">
        <f t="shared" si="9"/>
        <v>2.1666666666666665</v>
      </c>
    </row>
    <row r="79" spans="1:19" x14ac:dyDescent="0.25">
      <c r="A79" s="13">
        <v>59</v>
      </c>
      <c r="B79" s="21">
        <v>45904</v>
      </c>
      <c r="C79">
        <v>86</v>
      </c>
      <c r="D79">
        <v>131</v>
      </c>
      <c r="E79">
        <v>107</v>
      </c>
      <c r="F79">
        <v>107</v>
      </c>
      <c r="G79">
        <v>110</v>
      </c>
      <c r="H79">
        <v>118</v>
      </c>
      <c r="I79">
        <v>112</v>
      </c>
      <c r="J79">
        <v>125</v>
      </c>
      <c r="K79">
        <v>150</v>
      </c>
      <c r="L79">
        <v>133</v>
      </c>
      <c r="O79" s="19">
        <f t="shared" si="6"/>
        <v>118</v>
      </c>
      <c r="P79" s="19">
        <f t="shared" si="7"/>
        <v>16.829999999999998</v>
      </c>
      <c r="R79" s="25">
        <f t="shared" si="8"/>
        <v>59</v>
      </c>
      <c r="S79">
        <f t="shared" si="9"/>
        <v>2</v>
      </c>
    </row>
    <row r="80" spans="1:19" x14ac:dyDescent="0.25">
      <c r="A80" s="13">
        <v>107</v>
      </c>
      <c r="B80" s="21">
        <v>45905</v>
      </c>
      <c r="C80">
        <v>157</v>
      </c>
      <c r="D80">
        <v>164</v>
      </c>
      <c r="E80">
        <v>140</v>
      </c>
      <c r="F80">
        <v>151</v>
      </c>
      <c r="G80">
        <v>154</v>
      </c>
      <c r="H80">
        <v>152</v>
      </c>
      <c r="I80">
        <v>157</v>
      </c>
      <c r="J80">
        <v>190</v>
      </c>
      <c r="K80">
        <v>208</v>
      </c>
      <c r="L80">
        <v>211</v>
      </c>
      <c r="O80" s="19">
        <f t="shared" si="6"/>
        <v>168</v>
      </c>
      <c r="P80" s="19">
        <f t="shared" si="7"/>
        <v>23.9</v>
      </c>
      <c r="R80" s="25">
        <f t="shared" si="8"/>
        <v>61</v>
      </c>
      <c r="S80">
        <f t="shared" si="9"/>
        <v>1.5700934579439252</v>
      </c>
    </row>
    <row r="81" spans="1:19" x14ac:dyDescent="0.25">
      <c r="A81" s="13">
        <v>152</v>
      </c>
      <c r="B81" s="21">
        <v>45906</v>
      </c>
      <c r="C81">
        <v>181</v>
      </c>
      <c r="D81">
        <v>183</v>
      </c>
      <c r="E81">
        <v>174</v>
      </c>
      <c r="F81">
        <v>175</v>
      </c>
      <c r="G81">
        <v>174</v>
      </c>
      <c r="H81">
        <v>171</v>
      </c>
      <c r="I81">
        <v>166</v>
      </c>
      <c r="J81">
        <v>204</v>
      </c>
      <c r="K81">
        <v>225</v>
      </c>
      <c r="L81">
        <v>236</v>
      </c>
      <c r="O81" s="19">
        <f t="shared" si="6"/>
        <v>189</v>
      </c>
      <c r="P81" s="19">
        <f t="shared" si="7"/>
        <v>23.08</v>
      </c>
      <c r="R81" s="25">
        <f t="shared" si="8"/>
        <v>37</v>
      </c>
      <c r="S81">
        <f t="shared" si="9"/>
        <v>1.243421052631579</v>
      </c>
    </row>
    <row r="82" spans="1:19" x14ac:dyDescent="0.25">
      <c r="A82" s="13">
        <v>46</v>
      </c>
      <c r="B82" s="21">
        <v>45907</v>
      </c>
      <c r="C82">
        <v>40</v>
      </c>
      <c r="D82">
        <v>69</v>
      </c>
      <c r="E82">
        <v>70</v>
      </c>
      <c r="F82">
        <v>60</v>
      </c>
      <c r="G82">
        <v>62</v>
      </c>
      <c r="H82">
        <v>63</v>
      </c>
      <c r="I82">
        <v>67</v>
      </c>
      <c r="J82">
        <v>68</v>
      </c>
      <c r="K82">
        <v>65</v>
      </c>
      <c r="L82">
        <v>73</v>
      </c>
      <c r="O82" s="19">
        <f t="shared" si="6"/>
        <v>64</v>
      </c>
      <c r="P82" s="19">
        <f t="shared" si="7"/>
        <v>8.74</v>
      </c>
      <c r="R82" s="25">
        <f t="shared" si="8"/>
        <v>18</v>
      </c>
      <c r="S82">
        <f t="shared" si="9"/>
        <v>1.3913043478260869</v>
      </c>
    </row>
    <row r="83" spans="1:19" x14ac:dyDescent="0.25">
      <c r="A83" s="13">
        <v>39</v>
      </c>
      <c r="B83" s="21">
        <v>45908</v>
      </c>
      <c r="C83">
        <v>40</v>
      </c>
      <c r="D83">
        <v>73</v>
      </c>
      <c r="E83">
        <v>72</v>
      </c>
      <c r="F83">
        <v>63</v>
      </c>
      <c r="G83">
        <v>65</v>
      </c>
      <c r="H83">
        <v>58</v>
      </c>
      <c r="I83">
        <v>73</v>
      </c>
      <c r="J83">
        <v>68</v>
      </c>
      <c r="K83">
        <v>66</v>
      </c>
      <c r="L83">
        <v>76</v>
      </c>
      <c r="O83" s="19">
        <f t="shared" si="6"/>
        <v>65</v>
      </c>
      <c r="P83" s="19">
        <f t="shared" si="7"/>
        <v>9.92</v>
      </c>
      <c r="R83" s="25">
        <f t="shared" si="8"/>
        <v>26</v>
      </c>
      <c r="S83">
        <f t="shared" si="9"/>
        <v>1.6666666666666667</v>
      </c>
    </row>
    <row r="84" spans="1:19" s="27" customFormat="1" x14ac:dyDescent="0.25">
      <c r="A84" s="13">
        <v>58</v>
      </c>
      <c r="B84" s="26">
        <v>45909</v>
      </c>
      <c r="C84" s="27">
        <v>55</v>
      </c>
      <c r="D84" s="27">
        <v>68</v>
      </c>
      <c r="E84" s="27">
        <v>51</v>
      </c>
      <c r="F84" s="27">
        <v>67</v>
      </c>
      <c r="O84" s="19">
        <f t="shared" si="6"/>
        <v>60</v>
      </c>
      <c r="P84" s="19">
        <f t="shared" si="7"/>
        <v>7.4</v>
      </c>
      <c r="R84" s="25">
        <f t="shared" si="8"/>
        <v>2</v>
      </c>
      <c r="S84">
        <f t="shared" si="9"/>
        <v>1.0344827586206897</v>
      </c>
    </row>
    <row r="85" spans="1:19" x14ac:dyDescent="0.25">
      <c r="A85" s="13">
        <v>83</v>
      </c>
      <c r="B85" s="21">
        <v>45910</v>
      </c>
      <c r="C85">
        <v>84</v>
      </c>
      <c r="D85">
        <v>73</v>
      </c>
      <c r="E85">
        <v>53</v>
      </c>
      <c r="F85">
        <v>70</v>
      </c>
      <c r="O85" s="19">
        <f t="shared" si="6"/>
        <v>70</v>
      </c>
      <c r="P85" s="19">
        <f t="shared" si="7"/>
        <v>11.11</v>
      </c>
      <c r="R85" s="25">
        <f t="shared" si="8"/>
        <v>-13</v>
      </c>
      <c r="S85">
        <f t="shared" si="9"/>
        <v>0.84337349397590367</v>
      </c>
    </row>
    <row r="86" spans="1:19" x14ac:dyDescent="0.25">
      <c r="A86" s="13">
        <v>81</v>
      </c>
      <c r="B86" s="21">
        <v>45911</v>
      </c>
      <c r="C86">
        <v>75</v>
      </c>
      <c r="D86">
        <v>76</v>
      </c>
      <c r="E86">
        <v>64</v>
      </c>
      <c r="F86">
        <v>51</v>
      </c>
      <c r="O86" s="19">
        <f t="shared" si="6"/>
        <v>67</v>
      </c>
      <c r="P86" s="19">
        <f t="shared" si="7"/>
        <v>10.11</v>
      </c>
      <c r="R86" s="25">
        <f t="shared" si="8"/>
        <v>-14</v>
      </c>
      <c r="S86">
        <f t="shared" si="9"/>
        <v>0.8271604938271605</v>
      </c>
    </row>
    <row r="87" spans="1:19" x14ac:dyDescent="0.25">
      <c r="A87" s="13">
        <v>117</v>
      </c>
      <c r="B87" s="21">
        <v>45912</v>
      </c>
      <c r="C87">
        <v>130</v>
      </c>
      <c r="D87">
        <v>116</v>
      </c>
      <c r="E87">
        <v>100</v>
      </c>
      <c r="F87">
        <v>147</v>
      </c>
      <c r="O87" s="19">
        <f t="shared" si="6"/>
        <v>123</v>
      </c>
      <c r="P87" s="19">
        <f t="shared" si="7"/>
        <v>17.34</v>
      </c>
      <c r="R87" s="25">
        <f t="shared" si="8"/>
        <v>6</v>
      </c>
      <c r="S87">
        <f t="shared" si="9"/>
        <v>1.0512820512820513</v>
      </c>
    </row>
    <row r="88" spans="1:19" x14ac:dyDescent="0.25">
      <c r="A88" s="13">
        <v>148</v>
      </c>
      <c r="B88" s="21">
        <v>45913</v>
      </c>
      <c r="C88">
        <v>202</v>
      </c>
      <c r="D88">
        <v>180</v>
      </c>
      <c r="E88">
        <v>213</v>
      </c>
      <c r="F88">
        <v>176</v>
      </c>
      <c r="O88" s="19">
        <f t="shared" si="6"/>
        <v>193</v>
      </c>
      <c r="P88" s="19">
        <f t="shared" si="7"/>
        <v>15.32</v>
      </c>
      <c r="R88" s="25">
        <f t="shared" si="8"/>
        <v>45</v>
      </c>
      <c r="S88">
        <f t="shared" si="9"/>
        <v>1.3040540540540539</v>
      </c>
    </row>
    <row r="89" spans="1:19" x14ac:dyDescent="0.25">
      <c r="A89" s="13">
        <v>51</v>
      </c>
      <c r="B89" s="21">
        <v>45914</v>
      </c>
      <c r="C89">
        <v>59</v>
      </c>
      <c r="D89">
        <v>46</v>
      </c>
      <c r="E89">
        <v>37</v>
      </c>
      <c r="F89">
        <v>78</v>
      </c>
      <c r="O89" s="19">
        <f t="shared" si="6"/>
        <v>55</v>
      </c>
      <c r="P89" s="19">
        <f t="shared" si="7"/>
        <v>15.41</v>
      </c>
      <c r="R89" s="25">
        <f t="shared" si="8"/>
        <v>4</v>
      </c>
      <c r="S89">
        <f t="shared" si="9"/>
        <v>1.0784313725490196</v>
      </c>
    </row>
    <row r="90" spans="1:19" x14ac:dyDescent="0.25">
      <c r="A90" s="13">
        <v>77</v>
      </c>
      <c r="B90" s="21">
        <v>45915</v>
      </c>
      <c r="C90">
        <v>51</v>
      </c>
      <c r="D90">
        <v>43</v>
      </c>
      <c r="E90">
        <v>65</v>
      </c>
      <c r="F90">
        <v>43</v>
      </c>
      <c r="O90" s="19">
        <f t="shared" si="6"/>
        <v>51</v>
      </c>
      <c r="P90" s="19">
        <f t="shared" si="7"/>
        <v>8.99</v>
      </c>
      <c r="R90" s="25">
        <f t="shared" si="8"/>
        <v>-26</v>
      </c>
      <c r="S90">
        <f t="shared" si="9"/>
        <v>0.66233766233766234</v>
      </c>
    </row>
    <row r="91" spans="1:19" x14ac:dyDescent="0.25">
      <c r="A91" s="13">
        <v>80</v>
      </c>
      <c r="B91" s="21">
        <v>45916</v>
      </c>
      <c r="C91">
        <v>75</v>
      </c>
      <c r="D91">
        <v>110</v>
      </c>
      <c r="E91">
        <v>70</v>
      </c>
      <c r="F91">
        <v>95</v>
      </c>
      <c r="O91" s="19">
        <f t="shared" si="6"/>
        <v>88</v>
      </c>
      <c r="P91" s="19">
        <f t="shared" si="7"/>
        <v>16.010000000000002</v>
      </c>
      <c r="R91" s="25">
        <f t="shared" si="8"/>
        <v>8</v>
      </c>
      <c r="S91">
        <f t="shared" si="9"/>
        <v>1.1000000000000001</v>
      </c>
    </row>
    <row r="92" spans="1:19" x14ac:dyDescent="0.25">
      <c r="A92" s="13">
        <v>69</v>
      </c>
      <c r="B92" s="21">
        <v>45917</v>
      </c>
      <c r="C92">
        <v>61</v>
      </c>
      <c r="D92">
        <v>63</v>
      </c>
      <c r="E92">
        <v>62</v>
      </c>
      <c r="F92">
        <v>48</v>
      </c>
      <c r="O92" s="19">
        <f t="shared" si="6"/>
        <v>59</v>
      </c>
      <c r="P92" s="19">
        <f t="shared" si="7"/>
        <v>6.1</v>
      </c>
      <c r="R92" s="25">
        <f t="shared" si="8"/>
        <v>-10</v>
      </c>
      <c r="S92">
        <f t="shared" si="9"/>
        <v>0.85507246376811596</v>
      </c>
    </row>
    <row r="93" spans="1:19" x14ac:dyDescent="0.25">
      <c r="A93" s="13">
        <v>98</v>
      </c>
      <c r="B93" s="21">
        <v>45918</v>
      </c>
      <c r="C93">
        <v>92</v>
      </c>
      <c r="D93">
        <v>112</v>
      </c>
      <c r="E93">
        <v>76</v>
      </c>
      <c r="F93">
        <v>100</v>
      </c>
      <c r="O93" s="19">
        <f t="shared" si="6"/>
        <v>95</v>
      </c>
      <c r="P93" s="19">
        <f t="shared" si="7"/>
        <v>13.08</v>
      </c>
      <c r="R93" s="25">
        <f t="shared" si="8"/>
        <v>-3</v>
      </c>
      <c r="S93">
        <f t="shared" si="9"/>
        <v>0.96938775510204078</v>
      </c>
    </row>
    <row r="94" spans="1:19" x14ac:dyDescent="0.25">
      <c r="A94" s="13">
        <v>151</v>
      </c>
      <c r="B94" s="21">
        <v>45919</v>
      </c>
      <c r="C94">
        <v>165</v>
      </c>
      <c r="D94">
        <v>179</v>
      </c>
      <c r="E94">
        <v>187</v>
      </c>
      <c r="F94">
        <v>206</v>
      </c>
      <c r="O94" s="19">
        <f t="shared" si="6"/>
        <v>184</v>
      </c>
      <c r="P94" s="19">
        <f t="shared" si="7"/>
        <v>14.82</v>
      </c>
      <c r="R94" s="25">
        <f t="shared" si="8"/>
        <v>33</v>
      </c>
      <c r="S94">
        <f t="shared" si="9"/>
        <v>1.2185430463576159</v>
      </c>
    </row>
    <row r="95" spans="1:19" x14ac:dyDescent="0.25">
      <c r="A95" s="13">
        <v>171</v>
      </c>
      <c r="B95" s="21">
        <v>45920</v>
      </c>
      <c r="O95" s="19" t="e">
        <f t="shared" si="6"/>
        <v>#DIV/0!</v>
      </c>
      <c r="P95" s="19" t="e">
        <f t="shared" si="7"/>
        <v>#DIV/0!</v>
      </c>
      <c r="R95" s="25" t="e">
        <f t="shared" si="8"/>
        <v>#DIV/0!</v>
      </c>
      <c r="S95" t="e">
        <f t="shared" si="9"/>
        <v>#DIV/0!</v>
      </c>
    </row>
    <row r="96" spans="1:19" x14ac:dyDescent="0.25">
      <c r="A96" s="13">
        <v>73</v>
      </c>
      <c r="B96" s="21">
        <v>45921</v>
      </c>
      <c r="O96" s="19" t="e">
        <f t="shared" si="6"/>
        <v>#DIV/0!</v>
      </c>
      <c r="P96" s="19" t="e">
        <f t="shared" si="7"/>
        <v>#DIV/0!</v>
      </c>
      <c r="R96" s="25" t="e">
        <f t="shared" si="8"/>
        <v>#DIV/0!</v>
      </c>
      <c r="S96" t="e">
        <f t="shared" si="9"/>
        <v>#DIV/0!</v>
      </c>
    </row>
    <row r="97" spans="1:19" x14ac:dyDescent="0.25">
      <c r="A97" s="13">
        <v>41</v>
      </c>
      <c r="B97" s="21">
        <v>45922</v>
      </c>
      <c r="O97" s="19" t="e">
        <f t="shared" si="6"/>
        <v>#DIV/0!</v>
      </c>
      <c r="P97" s="19" t="e">
        <f t="shared" si="7"/>
        <v>#DIV/0!</v>
      </c>
      <c r="R97" s="25" t="e">
        <f t="shared" si="8"/>
        <v>#DIV/0!</v>
      </c>
      <c r="S97" t="e">
        <f t="shared" si="9"/>
        <v>#DIV/0!</v>
      </c>
    </row>
    <row r="98" spans="1:19" x14ac:dyDescent="0.25">
      <c r="A98" s="13">
        <v>47</v>
      </c>
      <c r="B98" s="21">
        <v>45923</v>
      </c>
      <c r="C98">
        <v>55</v>
      </c>
      <c r="D98">
        <v>50</v>
      </c>
      <c r="E98">
        <v>49</v>
      </c>
      <c r="F98">
        <v>53</v>
      </c>
      <c r="G98">
        <v>54</v>
      </c>
      <c r="H98">
        <v>51</v>
      </c>
      <c r="I98">
        <v>47</v>
      </c>
      <c r="J98">
        <v>49</v>
      </c>
      <c r="K98">
        <v>49</v>
      </c>
      <c r="L98">
        <v>52</v>
      </c>
      <c r="M98">
        <v>46</v>
      </c>
      <c r="N98">
        <v>38</v>
      </c>
      <c r="O98" s="19">
        <f t="shared" si="6"/>
        <v>49</v>
      </c>
      <c r="P98" s="19">
        <f t="shared" si="7"/>
        <v>4.3099999999999996</v>
      </c>
      <c r="R98" s="25">
        <f t="shared" si="8"/>
        <v>2</v>
      </c>
      <c r="S98">
        <f t="shared" si="9"/>
        <v>1.0425531914893618</v>
      </c>
    </row>
    <row r="99" spans="1:19" x14ac:dyDescent="0.25">
      <c r="A99" s="13">
        <v>68</v>
      </c>
      <c r="B99" s="21">
        <v>45924</v>
      </c>
      <c r="C99">
        <v>63</v>
      </c>
      <c r="D99">
        <v>71</v>
      </c>
      <c r="E99">
        <v>49</v>
      </c>
      <c r="F99">
        <v>46</v>
      </c>
      <c r="G99">
        <v>44</v>
      </c>
      <c r="H99">
        <v>47</v>
      </c>
      <c r="I99">
        <v>68</v>
      </c>
      <c r="J99">
        <v>60</v>
      </c>
      <c r="K99">
        <v>62</v>
      </c>
      <c r="L99">
        <v>52</v>
      </c>
      <c r="M99">
        <v>66</v>
      </c>
      <c r="N99">
        <v>61</v>
      </c>
      <c r="O99" s="19">
        <f t="shared" si="6"/>
        <v>57</v>
      </c>
      <c r="P99" s="19">
        <f t="shared" si="7"/>
        <v>8.9499999999999993</v>
      </c>
      <c r="R99" s="25">
        <f t="shared" si="8"/>
        <v>-11</v>
      </c>
      <c r="S99">
        <f t="shared" si="9"/>
        <v>0.83823529411764708</v>
      </c>
    </row>
    <row r="100" spans="1:19" x14ac:dyDescent="0.25">
      <c r="A100" s="13">
        <v>101</v>
      </c>
      <c r="B100" s="21">
        <v>45925</v>
      </c>
      <c r="C100">
        <v>65</v>
      </c>
      <c r="D100">
        <v>66</v>
      </c>
      <c r="E100">
        <v>52</v>
      </c>
      <c r="F100">
        <v>48</v>
      </c>
      <c r="G100">
        <v>42</v>
      </c>
      <c r="H100">
        <v>54</v>
      </c>
      <c r="I100">
        <v>63</v>
      </c>
      <c r="J100">
        <v>69</v>
      </c>
      <c r="K100">
        <v>69</v>
      </c>
      <c r="L100">
        <v>53</v>
      </c>
      <c r="M100">
        <v>51</v>
      </c>
      <c r="N100">
        <v>51</v>
      </c>
      <c r="O100" s="19">
        <f t="shared" si="6"/>
        <v>57</v>
      </c>
      <c r="P100" s="19">
        <f t="shared" si="7"/>
        <v>8.65</v>
      </c>
      <c r="R100" s="25">
        <f t="shared" si="8"/>
        <v>-44</v>
      </c>
      <c r="S100">
        <f t="shared" si="9"/>
        <v>0.5643564356435643</v>
      </c>
    </row>
    <row r="101" spans="1:19" x14ac:dyDescent="0.25">
      <c r="A101" s="13">
        <v>158</v>
      </c>
      <c r="B101" s="21">
        <v>45926</v>
      </c>
      <c r="C101">
        <v>174</v>
      </c>
      <c r="D101">
        <v>182</v>
      </c>
      <c r="E101">
        <v>99</v>
      </c>
      <c r="F101">
        <v>45</v>
      </c>
      <c r="G101">
        <v>42</v>
      </c>
      <c r="H101">
        <v>108</v>
      </c>
      <c r="I101">
        <v>178</v>
      </c>
      <c r="J101">
        <v>166</v>
      </c>
      <c r="K101">
        <v>175</v>
      </c>
      <c r="L101">
        <v>106</v>
      </c>
      <c r="M101">
        <v>109</v>
      </c>
      <c r="N101">
        <v>115</v>
      </c>
      <c r="O101" s="19">
        <f t="shared" si="6"/>
        <v>125</v>
      </c>
      <c r="P101" s="19">
        <f t="shared" si="7"/>
        <v>47.97</v>
      </c>
      <c r="R101" s="25">
        <f t="shared" si="8"/>
        <v>-33</v>
      </c>
      <c r="S101">
        <f t="shared" si="9"/>
        <v>0.79113924050632911</v>
      </c>
    </row>
    <row r="102" spans="1:19" x14ac:dyDescent="0.25">
      <c r="A102" s="13">
        <v>190</v>
      </c>
      <c r="B102" s="21">
        <v>45927</v>
      </c>
      <c r="C102">
        <v>200</v>
      </c>
      <c r="D102">
        <v>199</v>
      </c>
      <c r="E102">
        <v>117</v>
      </c>
      <c r="F102">
        <v>71</v>
      </c>
      <c r="G102">
        <v>72</v>
      </c>
      <c r="H102">
        <v>138</v>
      </c>
      <c r="I102">
        <v>199</v>
      </c>
      <c r="J102">
        <v>192</v>
      </c>
      <c r="K102">
        <v>195</v>
      </c>
      <c r="L102">
        <v>139</v>
      </c>
      <c r="M102">
        <v>125</v>
      </c>
      <c r="N102">
        <v>142</v>
      </c>
      <c r="O102" s="19">
        <f t="shared" si="6"/>
        <v>149</v>
      </c>
      <c r="P102" s="19">
        <f t="shared" si="7"/>
        <v>46.05</v>
      </c>
      <c r="R102" s="25">
        <f t="shared" si="8"/>
        <v>-41</v>
      </c>
      <c r="S102">
        <f t="shared" si="9"/>
        <v>0.78421052631578947</v>
      </c>
    </row>
    <row r="103" spans="1:19" x14ac:dyDescent="0.25">
      <c r="A103" s="13">
        <v>53</v>
      </c>
      <c r="B103" s="21">
        <v>45928</v>
      </c>
      <c r="C103">
        <v>64</v>
      </c>
      <c r="D103">
        <v>63</v>
      </c>
      <c r="E103">
        <v>50</v>
      </c>
      <c r="F103">
        <v>42</v>
      </c>
      <c r="G103">
        <v>39</v>
      </c>
      <c r="H103">
        <v>46</v>
      </c>
      <c r="I103">
        <v>55</v>
      </c>
      <c r="J103">
        <v>59</v>
      </c>
      <c r="K103">
        <v>55</v>
      </c>
      <c r="L103">
        <v>42</v>
      </c>
      <c r="M103">
        <v>41</v>
      </c>
      <c r="N103">
        <v>41</v>
      </c>
      <c r="O103" s="19">
        <f t="shared" si="6"/>
        <v>50</v>
      </c>
      <c r="P103" s="19">
        <f t="shared" si="7"/>
        <v>8.77</v>
      </c>
      <c r="R103" s="25">
        <f t="shared" si="8"/>
        <v>-3</v>
      </c>
      <c r="S103">
        <f t="shared" si="9"/>
        <v>0.94339622641509435</v>
      </c>
    </row>
    <row r="104" spans="1:19" x14ac:dyDescent="0.25">
      <c r="A104" s="13">
        <v>38</v>
      </c>
      <c r="B104" s="21">
        <v>45929</v>
      </c>
      <c r="C104">
        <v>107</v>
      </c>
      <c r="D104">
        <v>103</v>
      </c>
      <c r="E104">
        <v>69</v>
      </c>
      <c r="F104">
        <v>53</v>
      </c>
      <c r="G104">
        <v>42</v>
      </c>
      <c r="H104">
        <v>62</v>
      </c>
      <c r="I104">
        <v>117</v>
      </c>
      <c r="J104">
        <v>103</v>
      </c>
      <c r="K104">
        <v>99</v>
      </c>
      <c r="L104">
        <v>85</v>
      </c>
      <c r="M104">
        <v>65</v>
      </c>
      <c r="N104">
        <v>64</v>
      </c>
      <c r="O104" s="19">
        <f t="shared" si="6"/>
        <v>81</v>
      </c>
      <c r="P104" s="19">
        <f t="shared" si="7"/>
        <v>23.51</v>
      </c>
      <c r="R104" s="25">
        <f t="shared" si="8"/>
        <v>43</v>
      </c>
      <c r="S104">
        <f t="shared" si="9"/>
        <v>2.1315789473684212</v>
      </c>
    </row>
    <row r="105" spans="1:19" x14ac:dyDescent="0.25">
      <c r="A105" s="13">
        <v>55</v>
      </c>
      <c r="B105" s="21">
        <v>45930</v>
      </c>
      <c r="C105">
        <v>61</v>
      </c>
      <c r="D105">
        <v>60</v>
      </c>
      <c r="E105">
        <v>59</v>
      </c>
      <c r="F105">
        <v>53</v>
      </c>
      <c r="G105">
        <v>55</v>
      </c>
      <c r="H105">
        <v>52</v>
      </c>
      <c r="I105">
        <v>64</v>
      </c>
      <c r="J105">
        <v>62</v>
      </c>
      <c r="K105">
        <v>63</v>
      </c>
      <c r="L105">
        <v>63</v>
      </c>
      <c r="M105">
        <v>45</v>
      </c>
      <c r="N105">
        <v>45</v>
      </c>
      <c r="O105" s="19">
        <f t="shared" si="6"/>
        <v>57</v>
      </c>
      <c r="P105" s="19">
        <f t="shared" si="7"/>
        <v>6.5</v>
      </c>
      <c r="R105" s="25">
        <f t="shared" ref="R105:R113" si="10">O105-A105</f>
        <v>2</v>
      </c>
      <c r="S105">
        <f t="shared" ref="S105:S113" si="11">O105/A105</f>
        <v>1.0363636363636364</v>
      </c>
    </row>
    <row r="106" spans="1:19" x14ac:dyDescent="0.25">
      <c r="A106" s="13">
        <v>75</v>
      </c>
      <c r="B106" s="21">
        <v>45931</v>
      </c>
      <c r="C106">
        <v>71</v>
      </c>
      <c r="D106">
        <v>64</v>
      </c>
      <c r="E106">
        <v>48</v>
      </c>
      <c r="F106">
        <v>49</v>
      </c>
      <c r="G106">
        <v>50</v>
      </c>
      <c r="H106">
        <v>56</v>
      </c>
      <c r="I106">
        <v>61</v>
      </c>
      <c r="J106">
        <v>68</v>
      </c>
      <c r="K106">
        <v>69</v>
      </c>
      <c r="L106">
        <v>58</v>
      </c>
      <c r="M106">
        <v>53</v>
      </c>
      <c r="N106">
        <v>51</v>
      </c>
      <c r="O106" s="19">
        <f t="shared" si="6"/>
        <v>58</v>
      </c>
      <c r="P106" s="19">
        <f t="shared" si="7"/>
        <v>7.95</v>
      </c>
      <c r="R106" s="25">
        <f t="shared" si="10"/>
        <v>-17</v>
      </c>
      <c r="S106">
        <f t="shared" si="11"/>
        <v>0.77333333333333332</v>
      </c>
    </row>
    <row r="107" spans="1:19" x14ac:dyDescent="0.25">
      <c r="A107" s="13">
        <v>82</v>
      </c>
      <c r="B107" s="21">
        <v>45932</v>
      </c>
      <c r="C107">
        <v>85</v>
      </c>
      <c r="D107">
        <v>87</v>
      </c>
      <c r="E107">
        <v>77</v>
      </c>
      <c r="F107">
        <v>44</v>
      </c>
      <c r="G107">
        <v>40</v>
      </c>
      <c r="H107">
        <v>59</v>
      </c>
      <c r="I107">
        <v>93</v>
      </c>
      <c r="J107">
        <v>96</v>
      </c>
      <c r="K107">
        <v>101</v>
      </c>
      <c r="L107">
        <v>73</v>
      </c>
      <c r="M107">
        <v>83</v>
      </c>
      <c r="N107">
        <v>80</v>
      </c>
      <c r="O107" s="19">
        <f t="shared" si="6"/>
        <v>77</v>
      </c>
      <c r="P107" s="19">
        <f t="shared" si="7"/>
        <v>18.7</v>
      </c>
      <c r="R107" s="25">
        <f t="shared" si="10"/>
        <v>-5</v>
      </c>
      <c r="S107">
        <f t="shared" si="11"/>
        <v>0.93902439024390238</v>
      </c>
    </row>
    <row r="108" spans="1:19" x14ac:dyDescent="0.25">
      <c r="A108" s="13">
        <v>144</v>
      </c>
      <c r="B108" s="21">
        <v>45933</v>
      </c>
      <c r="C108">
        <v>150</v>
      </c>
      <c r="D108">
        <v>150</v>
      </c>
      <c r="E108">
        <v>98</v>
      </c>
      <c r="F108">
        <v>49</v>
      </c>
      <c r="G108">
        <v>39</v>
      </c>
      <c r="H108">
        <v>100</v>
      </c>
      <c r="I108">
        <v>137</v>
      </c>
      <c r="J108">
        <v>150</v>
      </c>
      <c r="K108">
        <v>146</v>
      </c>
      <c r="L108">
        <v>112</v>
      </c>
      <c r="M108">
        <v>110</v>
      </c>
      <c r="N108">
        <v>115</v>
      </c>
      <c r="O108" s="19">
        <f t="shared" si="6"/>
        <v>113</v>
      </c>
      <c r="P108" s="19">
        <f t="shared" si="7"/>
        <v>36.229999999999997</v>
      </c>
      <c r="R108" s="25">
        <f t="shared" si="10"/>
        <v>-31</v>
      </c>
      <c r="S108">
        <f t="shared" si="11"/>
        <v>0.78472222222222221</v>
      </c>
    </row>
    <row r="109" spans="1:19" x14ac:dyDescent="0.25">
      <c r="A109" s="13">
        <v>190</v>
      </c>
      <c r="B109" s="21">
        <v>45934</v>
      </c>
      <c r="C109">
        <v>196</v>
      </c>
      <c r="D109">
        <v>196</v>
      </c>
      <c r="E109">
        <v>118</v>
      </c>
      <c r="F109">
        <v>64</v>
      </c>
      <c r="G109">
        <v>66</v>
      </c>
      <c r="H109">
        <v>131</v>
      </c>
      <c r="I109">
        <v>199</v>
      </c>
      <c r="J109">
        <v>194</v>
      </c>
      <c r="K109">
        <v>193</v>
      </c>
      <c r="L109">
        <v>142</v>
      </c>
      <c r="M109">
        <v>130</v>
      </c>
      <c r="N109">
        <v>151</v>
      </c>
      <c r="O109" s="19">
        <f t="shared" si="6"/>
        <v>148</v>
      </c>
      <c r="P109" s="19">
        <f t="shared" si="7"/>
        <v>47.16</v>
      </c>
      <c r="R109" s="25">
        <f t="shared" si="10"/>
        <v>-42</v>
      </c>
      <c r="S109">
        <f t="shared" si="11"/>
        <v>0.77894736842105261</v>
      </c>
    </row>
    <row r="110" spans="1:19" x14ac:dyDescent="0.25">
      <c r="A110" s="13">
        <v>50</v>
      </c>
      <c r="B110" s="21">
        <v>45935</v>
      </c>
      <c r="C110">
        <v>69</v>
      </c>
      <c r="D110">
        <v>70</v>
      </c>
      <c r="E110">
        <v>53</v>
      </c>
      <c r="F110">
        <v>53</v>
      </c>
      <c r="G110">
        <v>42</v>
      </c>
      <c r="H110">
        <v>53</v>
      </c>
      <c r="I110">
        <v>63</v>
      </c>
      <c r="J110">
        <v>75</v>
      </c>
      <c r="K110">
        <v>69</v>
      </c>
      <c r="L110">
        <v>46</v>
      </c>
      <c r="M110">
        <v>71</v>
      </c>
      <c r="N110">
        <v>62</v>
      </c>
      <c r="O110" s="19">
        <f t="shared" si="6"/>
        <v>61</v>
      </c>
      <c r="P110" s="19">
        <f t="shared" si="7"/>
        <v>10.35</v>
      </c>
      <c r="R110" s="25">
        <f t="shared" si="10"/>
        <v>11</v>
      </c>
      <c r="S110">
        <f t="shared" si="11"/>
        <v>1.22</v>
      </c>
    </row>
    <row r="111" spans="1:19" x14ac:dyDescent="0.25">
      <c r="A111" s="13">
        <v>38</v>
      </c>
      <c r="B111" s="21">
        <v>45936</v>
      </c>
      <c r="C111">
        <v>58</v>
      </c>
      <c r="D111">
        <v>53</v>
      </c>
      <c r="E111">
        <v>45</v>
      </c>
      <c r="F111">
        <v>39</v>
      </c>
      <c r="G111">
        <v>43</v>
      </c>
      <c r="H111">
        <v>46</v>
      </c>
      <c r="I111">
        <v>59</v>
      </c>
      <c r="J111">
        <v>55</v>
      </c>
      <c r="K111">
        <v>57</v>
      </c>
      <c r="L111">
        <v>53</v>
      </c>
      <c r="M111">
        <v>59</v>
      </c>
      <c r="N111">
        <v>56</v>
      </c>
      <c r="O111" s="19">
        <f t="shared" si="6"/>
        <v>52</v>
      </c>
      <c r="P111" s="19">
        <f t="shared" si="7"/>
        <v>6.59</v>
      </c>
      <c r="R111" s="25">
        <f t="shared" si="10"/>
        <v>14</v>
      </c>
      <c r="S111">
        <f t="shared" si="11"/>
        <v>1.368421052631579</v>
      </c>
    </row>
    <row r="112" spans="1:19" x14ac:dyDescent="0.25">
      <c r="A112" s="13">
        <v>105</v>
      </c>
      <c r="B112" s="21">
        <v>45937</v>
      </c>
      <c r="C112">
        <v>57</v>
      </c>
      <c r="D112">
        <v>58</v>
      </c>
      <c r="E112">
        <v>51</v>
      </c>
      <c r="F112">
        <v>40</v>
      </c>
      <c r="G112">
        <v>39</v>
      </c>
      <c r="H112">
        <v>43</v>
      </c>
      <c r="I112">
        <v>58</v>
      </c>
      <c r="J112">
        <v>48</v>
      </c>
      <c r="K112">
        <v>51</v>
      </c>
      <c r="L112">
        <v>52</v>
      </c>
      <c r="M112">
        <v>54</v>
      </c>
      <c r="N112">
        <v>56</v>
      </c>
      <c r="O112" s="19">
        <f t="shared" si="6"/>
        <v>51</v>
      </c>
      <c r="P112" s="19">
        <f t="shared" si="7"/>
        <v>6.49</v>
      </c>
      <c r="R112" s="25">
        <f t="shared" si="10"/>
        <v>-54</v>
      </c>
      <c r="S112">
        <f t="shared" si="11"/>
        <v>0.48571428571428571</v>
      </c>
    </row>
    <row r="113" spans="1:19" x14ac:dyDescent="0.25">
      <c r="A113" s="13">
        <v>38</v>
      </c>
      <c r="B113" s="21">
        <v>45938</v>
      </c>
      <c r="C113">
        <v>60</v>
      </c>
      <c r="D113">
        <v>59</v>
      </c>
      <c r="E113">
        <v>62</v>
      </c>
      <c r="F113">
        <v>69</v>
      </c>
      <c r="G113">
        <v>59</v>
      </c>
      <c r="H113">
        <v>43</v>
      </c>
      <c r="I113">
        <v>65</v>
      </c>
      <c r="J113">
        <v>58</v>
      </c>
      <c r="K113">
        <v>60</v>
      </c>
      <c r="L113">
        <v>55</v>
      </c>
      <c r="M113">
        <v>57</v>
      </c>
      <c r="N113">
        <v>53</v>
      </c>
      <c r="O113" s="19">
        <f t="shared" si="6"/>
        <v>58</v>
      </c>
      <c r="P113" s="19">
        <f t="shared" si="7"/>
        <v>6.16</v>
      </c>
      <c r="R113" s="25">
        <f t="shared" si="10"/>
        <v>20</v>
      </c>
      <c r="S113">
        <f t="shared" si="11"/>
        <v>1.5263157894736843</v>
      </c>
    </row>
    <row r="114" spans="1:19" x14ac:dyDescent="0.25">
      <c r="A114" s="25">
        <v>59</v>
      </c>
      <c r="B114" s="21">
        <v>45939</v>
      </c>
      <c r="C114">
        <v>49</v>
      </c>
      <c r="D114">
        <v>53</v>
      </c>
      <c r="E114">
        <v>62</v>
      </c>
      <c r="F114">
        <v>62</v>
      </c>
      <c r="G114">
        <v>67</v>
      </c>
      <c r="H114">
        <v>55</v>
      </c>
      <c r="I114">
        <v>41</v>
      </c>
      <c r="J114">
        <v>51</v>
      </c>
      <c r="K114">
        <v>53</v>
      </c>
      <c r="L114">
        <v>51</v>
      </c>
      <c r="M114">
        <v>54</v>
      </c>
      <c r="N114">
        <v>56</v>
      </c>
      <c r="O114" s="19">
        <f t="shared" si="6"/>
        <v>55</v>
      </c>
      <c r="P114" s="19">
        <f t="shared" si="7"/>
        <v>6.54</v>
      </c>
      <c r="R114" s="25">
        <f t="shared" ref="R114:R150" si="12">O114-A114</f>
        <v>-4</v>
      </c>
      <c r="S114">
        <f t="shared" ref="S114:S135" si="13">O114/A114</f>
        <v>0.93220338983050843</v>
      </c>
    </row>
    <row r="115" spans="1:19" x14ac:dyDescent="0.25">
      <c r="A115" s="25">
        <v>91</v>
      </c>
      <c r="B115" s="21">
        <v>45940</v>
      </c>
      <c r="C115">
        <v>154</v>
      </c>
      <c r="D115">
        <v>146</v>
      </c>
      <c r="E115">
        <v>116</v>
      </c>
      <c r="F115">
        <v>132</v>
      </c>
      <c r="G115">
        <v>110</v>
      </c>
      <c r="H115">
        <v>106</v>
      </c>
      <c r="I115">
        <v>121</v>
      </c>
      <c r="J115">
        <v>108</v>
      </c>
      <c r="K115">
        <v>144</v>
      </c>
      <c r="L115">
        <v>137</v>
      </c>
      <c r="M115">
        <v>141</v>
      </c>
      <c r="N115">
        <v>141</v>
      </c>
      <c r="O115" s="19">
        <f t="shared" si="6"/>
        <v>130</v>
      </c>
      <c r="P115" s="19">
        <f t="shared" si="7"/>
        <v>15.97</v>
      </c>
      <c r="R115" s="25">
        <f t="shared" si="12"/>
        <v>39</v>
      </c>
      <c r="S115">
        <f t="shared" si="13"/>
        <v>1.4285714285714286</v>
      </c>
    </row>
    <row r="116" spans="1:19" x14ac:dyDescent="0.25">
      <c r="A116" s="25">
        <v>138</v>
      </c>
      <c r="B116" s="21">
        <v>45941</v>
      </c>
      <c r="C116">
        <v>180</v>
      </c>
      <c r="D116">
        <v>180</v>
      </c>
      <c r="E116">
        <v>191</v>
      </c>
      <c r="F116">
        <v>175</v>
      </c>
      <c r="G116">
        <v>173</v>
      </c>
      <c r="H116">
        <v>167</v>
      </c>
      <c r="I116">
        <v>152</v>
      </c>
      <c r="J116">
        <v>163</v>
      </c>
      <c r="K116">
        <v>173</v>
      </c>
      <c r="L116">
        <v>193</v>
      </c>
      <c r="M116">
        <v>179</v>
      </c>
      <c r="N116">
        <v>181</v>
      </c>
      <c r="O116" s="19">
        <f t="shared" si="6"/>
        <v>176</v>
      </c>
      <c r="P116" s="19">
        <f t="shared" si="7"/>
        <v>10.89</v>
      </c>
      <c r="R116" s="25">
        <f t="shared" si="12"/>
        <v>38</v>
      </c>
      <c r="S116">
        <f t="shared" si="13"/>
        <v>1.2753623188405796</v>
      </c>
    </row>
    <row r="117" spans="1:19" x14ac:dyDescent="0.25">
      <c r="A117" s="25">
        <v>19</v>
      </c>
      <c r="B117" s="21">
        <v>45942</v>
      </c>
      <c r="C117">
        <v>50</v>
      </c>
      <c r="D117">
        <v>51</v>
      </c>
      <c r="E117">
        <v>38</v>
      </c>
      <c r="F117">
        <v>56</v>
      </c>
      <c r="G117">
        <v>43</v>
      </c>
      <c r="H117">
        <v>42</v>
      </c>
      <c r="I117">
        <v>44</v>
      </c>
      <c r="J117">
        <v>54</v>
      </c>
      <c r="K117">
        <v>56</v>
      </c>
      <c r="L117">
        <v>50</v>
      </c>
      <c r="M117">
        <v>54</v>
      </c>
      <c r="N117">
        <v>54</v>
      </c>
      <c r="O117" s="19">
        <f t="shared" si="6"/>
        <v>49</v>
      </c>
      <c r="P117" s="19">
        <f t="shared" si="7"/>
        <v>5.84</v>
      </c>
      <c r="R117" s="25">
        <f t="shared" si="12"/>
        <v>30</v>
      </c>
      <c r="S117">
        <f t="shared" si="13"/>
        <v>2.5789473684210527</v>
      </c>
    </row>
    <row r="118" spans="1:19" x14ac:dyDescent="0.25">
      <c r="A118" s="25">
        <v>33</v>
      </c>
      <c r="B118" s="21">
        <v>45943</v>
      </c>
      <c r="C118">
        <v>46</v>
      </c>
      <c r="D118">
        <v>44</v>
      </c>
      <c r="E118">
        <v>45</v>
      </c>
      <c r="F118">
        <v>65</v>
      </c>
      <c r="G118">
        <v>31</v>
      </c>
      <c r="H118">
        <v>24</v>
      </c>
      <c r="I118">
        <v>40</v>
      </c>
      <c r="J118">
        <v>54</v>
      </c>
      <c r="K118">
        <v>49</v>
      </c>
      <c r="L118">
        <v>42</v>
      </c>
      <c r="M118">
        <v>46</v>
      </c>
      <c r="N118">
        <v>43</v>
      </c>
      <c r="O118" s="19">
        <f t="shared" si="6"/>
        <v>44</v>
      </c>
      <c r="P118" s="19">
        <f t="shared" si="7"/>
        <v>9.85</v>
      </c>
      <c r="R118" s="25">
        <f t="shared" si="12"/>
        <v>11</v>
      </c>
      <c r="S118">
        <f t="shared" si="13"/>
        <v>1.3333333333333333</v>
      </c>
    </row>
    <row r="119" spans="1:19" x14ac:dyDescent="0.25">
      <c r="A119" s="25">
        <v>25</v>
      </c>
      <c r="B119" s="21">
        <v>45944</v>
      </c>
      <c r="C119">
        <v>73</v>
      </c>
      <c r="D119">
        <v>68</v>
      </c>
      <c r="E119">
        <v>49</v>
      </c>
      <c r="F119">
        <v>41</v>
      </c>
      <c r="G119">
        <v>62</v>
      </c>
      <c r="H119">
        <v>22</v>
      </c>
      <c r="I119">
        <v>45</v>
      </c>
      <c r="J119">
        <v>60</v>
      </c>
      <c r="K119">
        <v>75</v>
      </c>
      <c r="L119">
        <v>64</v>
      </c>
      <c r="M119">
        <v>68</v>
      </c>
      <c r="N119">
        <v>69</v>
      </c>
      <c r="O119" s="19">
        <f t="shared" si="6"/>
        <v>58</v>
      </c>
      <c r="P119" s="19">
        <f t="shared" si="7"/>
        <v>15.07</v>
      </c>
      <c r="R119" s="25">
        <f t="shared" si="12"/>
        <v>33</v>
      </c>
      <c r="S119">
        <f t="shared" si="13"/>
        <v>2.3199999999999998</v>
      </c>
    </row>
    <row r="120" spans="1:19" x14ac:dyDescent="0.25">
      <c r="A120" s="25">
        <v>37</v>
      </c>
      <c r="B120" s="21">
        <v>45945</v>
      </c>
      <c r="C120">
        <v>51</v>
      </c>
      <c r="D120">
        <v>49</v>
      </c>
      <c r="E120">
        <v>57</v>
      </c>
      <c r="F120">
        <v>52</v>
      </c>
      <c r="G120">
        <v>38</v>
      </c>
      <c r="H120">
        <v>18</v>
      </c>
      <c r="I120">
        <v>42</v>
      </c>
      <c r="J120">
        <v>52</v>
      </c>
      <c r="K120">
        <v>62</v>
      </c>
      <c r="L120">
        <v>55</v>
      </c>
      <c r="M120">
        <v>56</v>
      </c>
      <c r="N120">
        <v>53</v>
      </c>
      <c r="O120" s="19">
        <f t="shared" si="6"/>
        <v>49</v>
      </c>
      <c r="P120" s="19">
        <f t="shared" si="7"/>
        <v>11.13</v>
      </c>
      <c r="R120" s="25">
        <f>O120-A120</f>
        <v>12</v>
      </c>
      <c r="S120">
        <f t="shared" si="13"/>
        <v>1.3243243243243243</v>
      </c>
    </row>
    <row r="121" spans="1:19" x14ac:dyDescent="0.25">
      <c r="A121" s="25">
        <v>62</v>
      </c>
      <c r="B121" s="21">
        <v>45946</v>
      </c>
      <c r="C121">
        <v>81</v>
      </c>
      <c r="D121">
        <v>83</v>
      </c>
      <c r="E121">
        <v>80</v>
      </c>
      <c r="F121">
        <v>70</v>
      </c>
      <c r="G121">
        <v>74</v>
      </c>
      <c r="H121">
        <v>42</v>
      </c>
      <c r="I121">
        <v>49</v>
      </c>
      <c r="J121">
        <v>57</v>
      </c>
      <c r="K121">
        <v>83</v>
      </c>
      <c r="L121">
        <v>83</v>
      </c>
      <c r="M121">
        <v>80</v>
      </c>
      <c r="N121">
        <v>81</v>
      </c>
      <c r="O121" s="19">
        <f t="shared" si="6"/>
        <v>72</v>
      </c>
      <c r="P121" s="19">
        <f t="shared" si="7"/>
        <v>13.89</v>
      </c>
      <c r="R121" s="25">
        <f t="shared" si="12"/>
        <v>10</v>
      </c>
      <c r="S121">
        <f t="shared" si="13"/>
        <v>1.1612903225806452</v>
      </c>
    </row>
    <row r="122" spans="1:19" x14ac:dyDescent="0.25">
      <c r="A122" s="25">
        <v>126</v>
      </c>
      <c r="B122" s="21">
        <v>45947</v>
      </c>
      <c r="C122">
        <v>148</v>
      </c>
      <c r="D122">
        <v>147</v>
      </c>
      <c r="E122">
        <v>152</v>
      </c>
      <c r="F122">
        <v>147</v>
      </c>
      <c r="G122">
        <v>128</v>
      </c>
      <c r="H122">
        <v>88</v>
      </c>
      <c r="I122">
        <v>71</v>
      </c>
      <c r="J122">
        <v>137</v>
      </c>
      <c r="K122">
        <v>150</v>
      </c>
      <c r="L122">
        <v>148</v>
      </c>
      <c r="M122">
        <v>145</v>
      </c>
      <c r="N122">
        <v>148</v>
      </c>
      <c r="O122" s="19">
        <f t="shared" si="6"/>
        <v>134</v>
      </c>
      <c r="P122" s="19">
        <f t="shared" si="7"/>
        <v>25.42</v>
      </c>
      <c r="R122" s="25">
        <f t="shared" si="12"/>
        <v>8</v>
      </c>
      <c r="S122">
        <f t="shared" si="13"/>
        <v>1.0634920634920635</v>
      </c>
    </row>
    <row r="123" spans="1:19" x14ac:dyDescent="0.25">
      <c r="A123" s="25">
        <v>141</v>
      </c>
      <c r="B123" s="21">
        <v>45948</v>
      </c>
      <c r="C123">
        <v>180</v>
      </c>
      <c r="D123">
        <v>178</v>
      </c>
      <c r="E123">
        <v>169</v>
      </c>
      <c r="F123">
        <v>139</v>
      </c>
      <c r="G123">
        <v>162</v>
      </c>
      <c r="H123">
        <v>128</v>
      </c>
      <c r="I123">
        <v>137</v>
      </c>
      <c r="J123">
        <v>157</v>
      </c>
      <c r="K123">
        <v>177</v>
      </c>
      <c r="L123">
        <v>177</v>
      </c>
      <c r="M123">
        <v>175</v>
      </c>
      <c r="N123">
        <v>176</v>
      </c>
      <c r="O123" s="19">
        <f t="shared" si="6"/>
        <v>163</v>
      </c>
      <c r="P123" s="19">
        <f t="shared" si="7"/>
        <v>17.72</v>
      </c>
      <c r="R123" s="25">
        <f t="shared" si="12"/>
        <v>22</v>
      </c>
      <c r="S123">
        <f t="shared" si="13"/>
        <v>1.1560283687943262</v>
      </c>
    </row>
    <row r="124" spans="1:19" x14ac:dyDescent="0.25">
      <c r="A124" s="25">
        <v>65</v>
      </c>
      <c r="B124" s="21">
        <v>45949</v>
      </c>
      <c r="C124">
        <v>52</v>
      </c>
      <c r="D124">
        <v>52</v>
      </c>
      <c r="E124">
        <v>43</v>
      </c>
      <c r="F124">
        <v>56</v>
      </c>
      <c r="G124">
        <v>36</v>
      </c>
      <c r="H124">
        <v>24</v>
      </c>
      <c r="I124">
        <v>43</v>
      </c>
      <c r="J124">
        <v>56</v>
      </c>
      <c r="K124">
        <v>55</v>
      </c>
      <c r="L124">
        <v>55</v>
      </c>
      <c r="M124">
        <v>55</v>
      </c>
      <c r="N124">
        <v>55</v>
      </c>
      <c r="O124" s="19">
        <f t="shared" si="6"/>
        <v>49</v>
      </c>
      <c r="P124" s="19">
        <f t="shared" si="7"/>
        <v>9.67</v>
      </c>
      <c r="R124" s="25">
        <f t="shared" si="12"/>
        <v>-16</v>
      </c>
      <c r="S124">
        <f t="shared" si="13"/>
        <v>0.75384615384615383</v>
      </c>
    </row>
    <row r="125" spans="1:19" x14ac:dyDescent="0.25">
      <c r="A125" s="25">
        <v>46</v>
      </c>
      <c r="B125" s="21">
        <v>45950</v>
      </c>
      <c r="C125">
        <v>25</v>
      </c>
      <c r="D125">
        <v>32</v>
      </c>
      <c r="E125">
        <v>74</v>
      </c>
      <c r="F125">
        <v>61</v>
      </c>
      <c r="G125">
        <v>14</v>
      </c>
      <c r="H125">
        <v>17</v>
      </c>
      <c r="I125">
        <v>64</v>
      </c>
      <c r="J125">
        <v>52</v>
      </c>
      <c r="K125">
        <v>34</v>
      </c>
      <c r="L125">
        <v>25</v>
      </c>
      <c r="M125">
        <v>25</v>
      </c>
      <c r="N125">
        <v>23</v>
      </c>
      <c r="O125" s="19">
        <f t="shared" si="6"/>
        <v>37</v>
      </c>
      <c r="P125" s="19">
        <f t="shared" si="7"/>
        <v>19.34</v>
      </c>
      <c r="R125" s="25">
        <f t="shared" si="12"/>
        <v>-9</v>
      </c>
      <c r="S125">
        <f t="shared" si="13"/>
        <v>0.80434782608695654</v>
      </c>
    </row>
    <row r="126" spans="1:19" x14ac:dyDescent="0.25">
      <c r="A126" s="25">
        <v>31</v>
      </c>
      <c r="B126" s="21">
        <v>45951</v>
      </c>
      <c r="C126">
        <v>36</v>
      </c>
      <c r="D126">
        <v>36</v>
      </c>
      <c r="E126">
        <v>68</v>
      </c>
      <c r="F126">
        <v>52</v>
      </c>
      <c r="G126">
        <v>30</v>
      </c>
      <c r="H126">
        <v>27</v>
      </c>
      <c r="I126">
        <v>69</v>
      </c>
      <c r="J126">
        <v>48</v>
      </c>
      <c r="K126">
        <v>36</v>
      </c>
      <c r="L126">
        <v>37</v>
      </c>
      <c r="M126">
        <v>37</v>
      </c>
      <c r="N126">
        <v>36</v>
      </c>
      <c r="O126" s="19">
        <f t="shared" si="6"/>
        <v>43</v>
      </c>
      <c r="P126" s="19">
        <f t="shared" si="7"/>
        <v>13.22</v>
      </c>
      <c r="R126" s="25">
        <f t="shared" si="12"/>
        <v>12</v>
      </c>
      <c r="S126">
        <f t="shared" si="13"/>
        <v>1.3870967741935485</v>
      </c>
    </row>
    <row r="127" spans="1:19" x14ac:dyDescent="0.25">
      <c r="A127" s="25">
        <v>84</v>
      </c>
      <c r="B127" s="21">
        <v>45952</v>
      </c>
      <c r="C127">
        <v>64</v>
      </c>
      <c r="D127">
        <v>60</v>
      </c>
      <c r="E127">
        <v>71</v>
      </c>
      <c r="F127">
        <v>59</v>
      </c>
      <c r="G127">
        <v>66</v>
      </c>
      <c r="H127">
        <v>36</v>
      </c>
      <c r="I127">
        <v>45</v>
      </c>
      <c r="J127">
        <v>51</v>
      </c>
      <c r="K127">
        <v>60</v>
      </c>
      <c r="L127">
        <v>61</v>
      </c>
      <c r="M127">
        <v>60</v>
      </c>
      <c r="N127">
        <v>62</v>
      </c>
      <c r="O127" s="19">
        <f t="shared" si="6"/>
        <v>58</v>
      </c>
      <c r="P127" s="19">
        <f t="shared" si="7"/>
        <v>9.17</v>
      </c>
      <c r="R127" s="25">
        <f t="shared" si="12"/>
        <v>-26</v>
      </c>
      <c r="S127">
        <f t="shared" si="13"/>
        <v>0.69047619047619047</v>
      </c>
    </row>
    <row r="128" spans="1:19" x14ac:dyDescent="0.25">
      <c r="A128" s="25">
        <v>28</v>
      </c>
      <c r="B128" s="21">
        <v>45953</v>
      </c>
      <c r="C128">
        <v>86</v>
      </c>
      <c r="D128">
        <v>86</v>
      </c>
      <c r="E128">
        <v>88</v>
      </c>
      <c r="F128">
        <v>76</v>
      </c>
      <c r="G128">
        <v>88</v>
      </c>
      <c r="H128">
        <v>60</v>
      </c>
      <c r="I128">
        <v>50</v>
      </c>
      <c r="J128">
        <v>65</v>
      </c>
      <c r="K128">
        <v>83</v>
      </c>
      <c r="L128">
        <v>84</v>
      </c>
      <c r="M128">
        <v>84</v>
      </c>
      <c r="N128">
        <v>85</v>
      </c>
      <c r="O128" s="19">
        <f t="shared" si="6"/>
        <v>78</v>
      </c>
      <c r="P128" s="19">
        <f t="shared" si="7"/>
        <v>12.09</v>
      </c>
      <c r="R128" s="25">
        <f t="shared" si="12"/>
        <v>50</v>
      </c>
      <c r="S128">
        <f t="shared" si="13"/>
        <v>2.7857142857142856</v>
      </c>
    </row>
    <row r="129" spans="1:21" x14ac:dyDescent="0.25">
      <c r="A129" s="25">
        <v>131</v>
      </c>
      <c r="B129" s="21">
        <v>45954</v>
      </c>
      <c r="C129">
        <v>152</v>
      </c>
      <c r="D129">
        <v>148</v>
      </c>
      <c r="E129">
        <v>136</v>
      </c>
      <c r="F129">
        <v>102</v>
      </c>
      <c r="G129">
        <v>118</v>
      </c>
      <c r="H129">
        <v>89</v>
      </c>
      <c r="I129">
        <v>97</v>
      </c>
      <c r="J129">
        <v>110</v>
      </c>
      <c r="K129">
        <v>154</v>
      </c>
      <c r="L129">
        <v>147</v>
      </c>
      <c r="M129">
        <v>152</v>
      </c>
      <c r="N129">
        <v>156</v>
      </c>
      <c r="O129" s="19">
        <f t="shared" si="6"/>
        <v>130</v>
      </c>
      <c r="P129" s="19">
        <f t="shared" si="7"/>
        <v>24.1</v>
      </c>
      <c r="R129" s="25">
        <f t="shared" si="12"/>
        <v>-1</v>
      </c>
      <c r="S129">
        <f t="shared" si="13"/>
        <v>0.99236641221374045</v>
      </c>
    </row>
    <row r="130" spans="1:21" x14ac:dyDescent="0.25">
      <c r="A130" s="25">
        <v>199</v>
      </c>
      <c r="B130" s="21">
        <v>45955</v>
      </c>
      <c r="C130">
        <v>168</v>
      </c>
      <c r="D130">
        <v>163</v>
      </c>
      <c r="E130">
        <v>177</v>
      </c>
      <c r="F130">
        <v>183</v>
      </c>
      <c r="G130">
        <v>144</v>
      </c>
      <c r="H130">
        <v>129</v>
      </c>
      <c r="I130">
        <v>145</v>
      </c>
      <c r="J130">
        <v>136</v>
      </c>
      <c r="K130">
        <v>164</v>
      </c>
      <c r="L130">
        <v>170</v>
      </c>
      <c r="M130">
        <v>153</v>
      </c>
      <c r="N130">
        <v>157</v>
      </c>
      <c r="O130" s="19">
        <f t="shared" si="6"/>
        <v>157</v>
      </c>
      <c r="P130" s="19">
        <f t="shared" si="7"/>
        <v>15.82</v>
      </c>
      <c r="R130" s="25">
        <f t="shared" si="12"/>
        <v>-42</v>
      </c>
      <c r="S130">
        <f t="shared" si="13"/>
        <v>0.78894472361809043</v>
      </c>
    </row>
    <row r="131" spans="1:21" x14ac:dyDescent="0.25">
      <c r="A131" s="25">
        <v>49</v>
      </c>
      <c r="B131" s="21">
        <v>45956</v>
      </c>
      <c r="C131">
        <v>51</v>
      </c>
      <c r="D131">
        <v>59</v>
      </c>
      <c r="E131">
        <v>77</v>
      </c>
      <c r="F131">
        <v>55</v>
      </c>
      <c r="G131">
        <v>37</v>
      </c>
      <c r="H131">
        <v>40</v>
      </c>
      <c r="I131">
        <v>64</v>
      </c>
      <c r="J131">
        <v>58</v>
      </c>
      <c r="K131">
        <v>68</v>
      </c>
      <c r="L131">
        <v>56</v>
      </c>
      <c r="M131">
        <v>62</v>
      </c>
      <c r="N131">
        <v>61</v>
      </c>
      <c r="O131" s="19">
        <f t="shared" ref="O131:O150" si="14">ROUND(AVERAGE(C131:N131),0)</f>
        <v>57</v>
      </c>
      <c r="P131" s="19">
        <f t="shared" ref="P131:P165" si="15">ROUND(_xlfn.STDEV.P(C131:N131),2)</f>
        <v>10.59</v>
      </c>
      <c r="R131" s="25">
        <f t="shared" si="12"/>
        <v>8</v>
      </c>
      <c r="S131">
        <f t="shared" si="13"/>
        <v>1.1632653061224489</v>
      </c>
    </row>
    <row r="132" spans="1:21" x14ac:dyDescent="0.25">
      <c r="A132" s="25">
        <v>48</v>
      </c>
      <c r="B132" s="21">
        <v>45957</v>
      </c>
      <c r="C132">
        <v>37</v>
      </c>
      <c r="D132">
        <v>33</v>
      </c>
      <c r="E132">
        <v>37</v>
      </c>
      <c r="F132">
        <v>45</v>
      </c>
      <c r="G132">
        <v>32</v>
      </c>
      <c r="H132">
        <v>16</v>
      </c>
      <c r="I132">
        <v>36</v>
      </c>
      <c r="J132">
        <v>52</v>
      </c>
      <c r="K132">
        <v>37</v>
      </c>
      <c r="L132">
        <v>41</v>
      </c>
      <c r="M132">
        <v>38</v>
      </c>
      <c r="N132">
        <v>38</v>
      </c>
      <c r="O132" s="19">
        <f t="shared" si="14"/>
        <v>37</v>
      </c>
      <c r="P132" s="19">
        <f t="shared" si="15"/>
        <v>8.11</v>
      </c>
      <c r="R132" s="25">
        <f t="shared" si="12"/>
        <v>-11</v>
      </c>
      <c r="S132">
        <f t="shared" si="13"/>
        <v>0.77083333333333337</v>
      </c>
    </row>
    <row r="133" spans="1:21" x14ac:dyDescent="0.25">
      <c r="A133">
        <v>58</v>
      </c>
      <c r="B133" s="21">
        <v>45958</v>
      </c>
      <c r="C133">
        <v>42</v>
      </c>
      <c r="D133">
        <v>44</v>
      </c>
      <c r="E133">
        <v>27</v>
      </c>
      <c r="F133">
        <v>31</v>
      </c>
      <c r="G133">
        <v>34</v>
      </c>
      <c r="H133">
        <v>51</v>
      </c>
      <c r="I133">
        <v>20</v>
      </c>
      <c r="J133">
        <v>15</v>
      </c>
      <c r="K133">
        <v>42</v>
      </c>
      <c r="L133">
        <v>44</v>
      </c>
      <c r="M133">
        <v>42</v>
      </c>
      <c r="N133">
        <v>44</v>
      </c>
      <c r="O133" s="19">
        <f t="shared" si="14"/>
        <v>36</v>
      </c>
      <c r="P133" s="19">
        <f t="shared" si="15"/>
        <v>10.53</v>
      </c>
      <c r="R133" s="25">
        <f t="shared" si="12"/>
        <v>-22</v>
      </c>
      <c r="S133">
        <f t="shared" si="13"/>
        <v>0.62068965517241381</v>
      </c>
    </row>
    <row r="134" spans="1:21" x14ac:dyDescent="0.25">
      <c r="A134" s="25">
        <v>34</v>
      </c>
      <c r="B134" s="21">
        <v>45959</v>
      </c>
      <c r="C134">
        <v>56</v>
      </c>
      <c r="D134">
        <v>53</v>
      </c>
      <c r="E134">
        <v>33</v>
      </c>
      <c r="F134">
        <v>39</v>
      </c>
      <c r="G134">
        <v>44</v>
      </c>
      <c r="H134">
        <v>57</v>
      </c>
      <c r="I134">
        <v>30</v>
      </c>
      <c r="J134">
        <v>20</v>
      </c>
      <c r="K134">
        <v>49</v>
      </c>
      <c r="L134">
        <v>55</v>
      </c>
      <c r="M134">
        <v>56</v>
      </c>
      <c r="N134">
        <v>55</v>
      </c>
      <c r="O134" s="19">
        <f t="shared" si="14"/>
        <v>46</v>
      </c>
      <c r="P134" s="19">
        <f t="shared" si="15"/>
        <v>11.88</v>
      </c>
      <c r="R134" s="25">
        <f t="shared" si="12"/>
        <v>12</v>
      </c>
      <c r="S134">
        <f t="shared" si="13"/>
        <v>1.3529411764705883</v>
      </c>
    </row>
    <row r="135" spans="1:21" x14ac:dyDescent="0.25">
      <c r="A135" s="25">
        <v>39</v>
      </c>
      <c r="B135" s="21">
        <v>45960</v>
      </c>
      <c r="C135">
        <v>87</v>
      </c>
      <c r="D135">
        <v>91</v>
      </c>
      <c r="E135">
        <v>66</v>
      </c>
      <c r="F135">
        <v>80</v>
      </c>
      <c r="G135">
        <v>87</v>
      </c>
      <c r="H135">
        <v>92</v>
      </c>
      <c r="I135">
        <v>69</v>
      </c>
      <c r="J135">
        <v>55</v>
      </c>
      <c r="K135">
        <v>85</v>
      </c>
      <c r="L135">
        <v>90</v>
      </c>
      <c r="M135">
        <v>87</v>
      </c>
      <c r="N135">
        <v>86</v>
      </c>
      <c r="O135" s="19">
        <f t="shared" si="14"/>
        <v>81</v>
      </c>
      <c r="P135" s="19">
        <f t="shared" si="15"/>
        <v>11.17</v>
      </c>
      <c r="R135" s="25">
        <f t="shared" si="12"/>
        <v>42</v>
      </c>
      <c r="S135">
        <f t="shared" si="13"/>
        <v>2.0769230769230771</v>
      </c>
    </row>
    <row r="136" spans="1:21" x14ac:dyDescent="0.25">
      <c r="A136">
        <v>38</v>
      </c>
      <c r="B136" s="21">
        <v>45961</v>
      </c>
      <c r="C136">
        <v>112</v>
      </c>
      <c r="D136">
        <v>96</v>
      </c>
      <c r="E136">
        <v>87</v>
      </c>
      <c r="F136">
        <v>87</v>
      </c>
      <c r="G136">
        <v>68</v>
      </c>
      <c r="H136">
        <v>70</v>
      </c>
      <c r="I136">
        <v>70</v>
      </c>
      <c r="J136">
        <v>65</v>
      </c>
      <c r="K136">
        <v>87</v>
      </c>
      <c r="L136">
        <v>98</v>
      </c>
      <c r="M136">
        <v>98</v>
      </c>
      <c r="N136">
        <v>92</v>
      </c>
      <c r="O136" s="19">
        <f t="shared" si="14"/>
        <v>86</v>
      </c>
      <c r="P136" s="19">
        <f t="shared" si="15"/>
        <v>14.08</v>
      </c>
      <c r="R136" s="25">
        <f t="shared" si="12"/>
        <v>48</v>
      </c>
      <c r="S136">
        <f t="shared" ref="S136:S150" si="16">O136/A136</f>
        <v>2.263157894736842</v>
      </c>
    </row>
    <row r="137" spans="1:21" x14ac:dyDescent="0.25">
      <c r="A137" s="36">
        <v>162</v>
      </c>
      <c r="B137" s="21">
        <v>45962</v>
      </c>
      <c r="C137">
        <v>175</v>
      </c>
      <c r="D137">
        <v>175</v>
      </c>
      <c r="E137">
        <v>155</v>
      </c>
      <c r="F137">
        <v>152</v>
      </c>
      <c r="G137">
        <v>152</v>
      </c>
      <c r="H137">
        <v>130</v>
      </c>
      <c r="I137">
        <v>130</v>
      </c>
      <c r="J137">
        <v>134</v>
      </c>
      <c r="K137">
        <v>175</v>
      </c>
      <c r="L137">
        <v>176</v>
      </c>
      <c r="M137">
        <v>172</v>
      </c>
      <c r="N137">
        <v>173</v>
      </c>
      <c r="O137" s="19">
        <f t="shared" si="14"/>
        <v>158</v>
      </c>
      <c r="P137" s="19">
        <f t="shared" si="15"/>
        <v>17.88</v>
      </c>
      <c r="R137" s="25">
        <f t="shared" si="12"/>
        <v>-4</v>
      </c>
      <c r="S137">
        <f t="shared" si="16"/>
        <v>0.97530864197530864</v>
      </c>
    </row>
    <row r="138" spans="1:21" x14ac:dyDescent="0.25">
      <c r="A138" s="25">
        <v>35</v>
      </c>
      <c r="B138" s="21">
        <v>45963</v>
      </c>
      <c r="C138">
        <v>66</v>
      </c>
      <c r="D138">
        <v>63</v>
      </c>
      <c r="E138">
        <v>42</v>
      </c>
      <c r="F138">
        <v>42</v>
      </c>
      <c r="G138">
        <v>24</v>
      </c>
      <c r="H138">
        <v>25</v>
      </c>
      <c r="I138">
        <v>28</v>
      </c>
      <c r="J138">
        <v>22</v>
      </c>
      <c r="K138">
        <v>59</v>
      </c>
      <c r="L138">
        <v>48</v>
      </c>
      <c r="M138">
        <v>47</v>
      </c>
      <c r="N138">
        <v>66</v>
      </c>
      <c r="O138" s="19">
        <f t="shared" si="14"/>
        <v>44</v>
      </c>
      <c r="P138" s="19">
        <f t="shared" si="15"/>
        <v>16.04</v>
      </c>
      <c r="R138" s="25">
        <f t="shared" si="12"/>
        <v>9</v>
      </c>
      <c r="S138">
        <f t="shared" si="16"/>
        <v>1.2571428571428571</v>
      </c>
    </row>
    <row r="139" spans="1:21" x14ac:dyDescent="0.25">
      <c r="A139" s="25">
        <v>61</v>
      </c>
      <c r="B139" s="21">
        <v>45964</v>
      </c>
      <c r="C139">
        <v>67</v>
      </c>
      <c r="D139">
        <v>64</v>
      </c>
      <c r="E139">
        <v>44</v>
      </c>
      <c r="F139">
        <v>42</v>
      </c>
      <c r="G139">
        <v>26</v>
      </c>
      <c r="H139">
        <v>26</v>
      </c>
      <c r="I139">
        <v>35</v>
      </c>
      <c r="J139">
        <v>26</v>
      </c>
      <c r="K139">
        <v>62</v>
      </c>
      <c r="L139">
        <v>64</v>
      </c>
      <c r="M139">
        <v>80</v>
      </c>
      <c r="N139">
        <v>68</v>
      </c>
      <c r="O139" s="19">
        <f t="shared" si="14"/>
        <v>50</v>
      </c>
      <c r="P139" s="19">
        <f t="shared" si="15"/>
        <v>18.489999999999998</v>
      </c>
      <c r="R139" s="25">
        <f t="shared" si="12"/>
        <v>-11</v>
      </c>
      <c r="S139">
        <f t="shared" si="16"/>
        <v>0.81967213114754101</v>
      </c>
    </row>
    <row r="140" spans="1:21" x14ac:dyDescent="0.25">
      <c r="A140" s="25">
        <v>41</v>
      </c>
      <c r="B140" s="21">
        <v>45965</v>
      </c>
      <c r="C140">
        <v>24</v>
      </c>
      <c r="D140">
        <v>27</v>
      </c>
      <c r="E140">
        <v>19</v>
      </c>
      <c r="F140">
        <v>26</v>
      </c>
      <c r="G140">
        <v>14</v>
      </c>
      <c r="H140">
        <v>16</v>
      </c>
      <c r="I140">
        <v>13</v>
      </c>
      <c r="J140">
        <v>13</v>
      </c>
      <c r="K140">
        <v>31</v>
      </c>
      <c r="L140">
        <v>47</v>
      </c>
      <c r="M140">
        <v>28</v>
      </c>
      <c r="N140">
        <v>36</v>
      </c>
      <c r="O140" s="19">
        <f t="shared" si="14"/>
        <v>25</v>
      </c>
      <c r="P140" s="19">
        <f t="shared" si="15"/>
        <v>9.91</v>
      </c>
      <c r="R140" s="25">
        <f t="shared" si="12"/>
        <v>-16</v>
      </c>
      <c r="S140">
        <f t="shared" si="16"/>
        <v>0.6097560975609756</v>
      </c>
    </row>
    <row r="141" spans="1:21" x14ac:dyDescent="0.25">
      <c r="A141" s="25">
        <v>47</v>
      </c>
      <c r="B141" s="21">
        <v>45966</v>
      </c>
      <c r="C141">
        <v>62</v>
      </c>
      <c r="D141">
        <v>61</v>
      </c>
      <c r="E141">
        <v>51</v>
      </c>
      <c r="F141">
        <v>44</v>
      </c>
      <c r="G141">
        <v>45</v>
      </c>
      <c r="H141">
        <v>42</v>
      </c>
      <c r="I141">
        <v>37</v>
      </c>
      <c r="J141">
        <v>27</v>
      </c>
      <c r="K141">
        <v>69</v>
      </c>
      <c r="L141">
        <v>77</v>
      </c>
      <c r="M141">
        <v>83</v>
      </c>
      <c r="N141">
        <v>68</v>
      </c>
      <c r="O141" s="19">
        <f t="shared" si="14"/>
        <v>56</v>
      </c>
      <c r="P141" s="19">
        <f t="shared" si="15"/>
        <v>16.399999999999999</v>
      </c>
      <c r="R141" s="25">
        <f t="shared" si="12"/>
        <v>9</v>
      </c>
      <c r="S141">
        <f t="shared" si="16"/>
        <v>1.1914893617021276</v>
      </c>
    </row>
    <row r="142" spans="1:21" x14ac:dyDescent="0.25">
      <c r="A142">
        <v>61</v>
      </c>
      <c r="B142" s="21">
        <v>45967</v>
      </c>
      <c r="C142">
        <v>84</v>
      </c>
      <c r="D142">
        <v>83</v>
      </c>
      <c r="E142">
        <v>70</v>
      </c>
      <c r="F142">
        <v>62</v>
      </c>
      <c r="G142">
        <v>73</v>
      </c>
      <c r="H142">
        <v>58</v>
      </c>
      <c r="I142">
        <v>54</v>
      </c>
      <c r="J142">
        <v>49</v>
      </c>
      <c r="K142">
        <v>83</v>
      </c>
      <c r="L142">
        <v>84</v>
      </c>
      <c r="M142">
        <v>82</v>
      </c>
      <c r="N142">
        <v>83</v>
      </c>
      <c r="O142" s="19">
        <f t="shared" si="14"/>
        <v>72</v>
      </c>
      <c r="P142" s="19">
        <f t="shared" si="15"/>
        <v>12.6</v>
      </c>
      <c r="R142" s="25">
        <f t="shared" si="12"/>
        <v>11</v>
      </c>
      <c r="S142">
        <f t="shared" si="16"/>
        <v>1.180327868852459</v>
      </c>
      <c r="T142">
        <v>86</v>
      </c>
      <c r="U142">
        <v>68</v>
      </c>
    </row>
    <row r="143" spans="1:21" x14ac:dyDescent="0.25">
      <c r="A143" s="25">
        <v>145</v>
      </c>
      <c r="B143" s="21">
        <v>45968</v>
      </c>
      <c r="C143">
        <v>159</v>
      </c>
      <c r="D143">
        <v>162</v>
      </c>
      <c r="E143">
        <v>118</v>
      </c>
      <c r="F143">
        <v>110</v>
      </c>
      <c r="G143">
        <v>96</v>
      </c>
      <c r="H143">
        <v>68</v>
      </c>
      <c r="I143">
        <v>80</v>
      </c>
      <c r="J143">
        <v>83</v>
      </c>
      <c r="K143">
        <v>164</v>
      </c>
      <c r="L143">
        <v>158</v>
      </c>
      <c r="M143">
        <v>157</v>
      </c>
      <c r="N143">
        <v>164</v>
      </c>
      <c r="O143" s="19">
        <f t="shared" si="14"/>
        <v>127</v>
      </c>
      <c r="P143" s="19">
        <f t="shared" si="15"/>
        <v>36.29</v>
      </c>
      <c r="R143" s="25">
        <f t="shared" si="12"/>
        <v>-18</v>
      </c>
      <c r="S143">
        <f t="shared" si="16"/>
        <v>0.87586206896551722</v>
      </c>
      <c r="T143">
        <v>125</v>
      </c>
      <c r="U143">
        <v>124</v>
      </c>
    </row>
    <row r="144" spans="1:21" x14ac:dyDescent="0.25">
      <c r="A144">
        <v>142</v>
      </c>
      <c r="B144" s="21">
        <v>45969</v>
      </c>
      <c r="C144">
        <v>173</v>
      </c>
      <c r="D144">
        <v>175</v>
      </c>
      <c r="E144">
        <v>138</v>
      </c>
      <c r="F144">
        <v>131</v>
      </c>
      <c r="G144">
        <v>124</v>
      </c>
      <c r="H144">
        <v>99</v>
      </c>
      <c r="I144">
        <v>95</v>
      </c>
      <c r="J144">
        <v>94</v>
      </c>
      <c r="K144">
        <v>180</v>
      </c>
      <c r="L144">
        <v>158</v>
      </c>
      <c r="M144">
        <v>157</v>
      </c>
      <c r="N144">
        <v>177</v>
      </c>
      <c r="O144" s="19">
        <f t="shared" si="14"/>
        <v>142</v>
      </c>
      <c r="P144" s="19">
        <f t="shared" si="15"/>
        <v>31.65</v>
      </c>
      <c r="R144" s="25">
        <f t="shared" si="12"/>
        <v>0</v>
      </c>
      <c r="S144">
        <f t="shared" si="16"/>
        <v>1</v>
      </c>
      <c r="T144">
        <v>145</v>
      </c>
      <c r="U144">
        <v>123</v>
      </c>
    </row>
    <row r="145" spans="1:21" x14ac:dyDescent="0.25">
      <c r="A145" s="25">
        <v>28</v>
      </c>
      <c r="B145" s="21">
        <v>45970</v>
      </c>
      <c r="C145">
        <v>62</v>
      </c>
      <c r="D145">
        <v>64</v>
      </c>
      <c r="E145">
        <v>38</v>
      </c>
      <c r="F145">
        <v>36</v>
      </c>
      <c r="G145">
        <v>18</v>
      </c>
      <c r="H145">
        <v>25</v>
      </c>
      <c r="I145">
        <v>23</v>
      </c>
      <c r="J145">
        <v>21</v>
      </c>
      <c r="K145">
        <v>68</v>
      </c>
      <c r="L145">
        <v>62</v>
      </c>
      <c r="M145">
        <v>59</v>
      </c>
      <c r="N145">
        <v>67</v>
      </c>
      <c r="O145" s="19">
        <f t="shared" si="14"/>
        <v>45</v>
      </c>
      <c r="P145" s="19">
        <f t="shared" si="15"/>
        <v>19.29</v>
      </c>
      <c r="R145" s="25">
        <f t="shared" si="12"/>
        <v>17</v>
      </c>
      <c r="S145">
        <f t="shared" si="16"/>
        <v>1.6071428571428572</v>
      </c>
      <c r="T145">
        <v>45</v>
      </c>
      <c r="U145">
        <v>36</v>
      </c>
    </row>
    <row r="146" spans="1:21" x14ac:dyDescent="0.25">
      <c r="A146">
        <v>34</v>
      </c>
      <c r="B146" s="21">
        <v>45971</v>
      </c>
      <c r="C146">
        <v>46</v>
      </c>
      <c r="D146">
        <v>44</v>
      </c>
      <c r="E146">
        <v>26</v>
      </c>
      <c r="F146">
        <v>30</v>
      </c>
      <c r="G146">
        <v>15</v>
      </c>
      <c r="H146">
        <v>12</v>
      </c>
      <c r="I146">
        <v>18</v>
      </c>
      <c r="J146">
        <v>17</v>
      </c>
      <c r="K146">
        <v>51</v>
      </c>
      <c r="L146">
        <v>49</v>
      </c>
      <c r="M146">
        <v>47</v>
      </c>
      <c r="N146">
        <v>46</v>
      </c>
      <c r="O146" s="19">
        <f t="shared" si="14"/>
        <v>33</v>
      </c>
      <c r="P146" s="19">
        <f t="shared" si="15"/>
        <v>14.54</v>
      </c>
      <c r="R146" s="25">
        <f t="shared" si="12"/>
        <v>-1</v>
      </c>
      <c r="S146">
        <f t="shared" si="16"/>
        <v>0.97058823529411764</v>
      </c>
      <c r="T146">
        <v>29</v>
      </c>
      <c r="U146">
        <v>31</v>
      </c>
    </row>
    <row r="147" spans="1:21" x14ac:dyDescent="0.25">
      <c r="A147" s="25">
        <v>34</v>
      </c>
      <c r="B147" s="21">
        <v>45972</v>
      </c>
      <c r="C147">
        <v>56</v>
      </c>
      <c r="D147">
        <v>53</v>
      </c>
      <c r="E147">
        <v>27</v>
      </c>
      <c r="F147">
        <v>28</v>
      </c>
      <c r="G147">
        <v>15</v>
      </c>
      <c r="H147">
        <v>15</v>
      </c>
      <c r="I147">
        <v>21</v>
      </c>
      <c r="J147">
        <v>16</v>
      </c>
      <c r="K147">
        <v>64</v>
      </c>
      <c r="L147">
        <v>48</v>
      </c>
      <c r="M147">
        <v>57</v>
      </c>
      <c r="N147">
        <v>56</v>
      </c>
      <c r="O147" s="19">
        <f t="shared" si="14"/>
        <v>38</v>
      </c>
      <c r="P147" s="19">
        <f t="shared" si="15"/>
        <v>18.399999999999999</v>
      </c>
      <c r="R147" s="25">
        <f t="shared" si="12"/>
        <v>4</v>
      </c>
      <c r="S147">
        <f t="shared" si="16"/>
        <v>1.1176470588235294</v>
      </c>
      <c r="T147">
        <v>31</v>
      </c>
      <c r="U147">
        <v>29</v>
      </c>
    </row>
    <row r="148" spans="1:21" x14ac:dyDescent="0.25">
      <c r="A148">
        <v>22</v>
      </c>
      <c r="B148" s="21">
        <v>45973</v>
      </c>
      <c r="C148">
        <v>67</v>
      </c>
      <c r="D148">
        <v>69</v>
      </c>
      <c r="E148">
        <v>42</v>
      </c>
      <c r="F148">
        <v>45</v>
      </c>
      <c r="G148">
        <v>37</v>
      </c>
      <c r="H148">
        <v>32</v>
      </c>
      <c r="I148">
        <v>40</v>
      </c>
      <c r="J148">
        <v>23</v>
      </c>
      <c r="K148">
        <v>71</v>
      </c>
      <c r="L148">
        <v>72</v>
      </c>
      <c r="M148">
        <v>77</v>
      </c>
      <c r="N148">
        <v>68</v>
      </c>
      <c r="O148" s="19">
        <f t="shared" si="14"/>
        <v>54</v>
      </c>
      <c r="P148" s="19">
        <f t="shared" si="15"/>
        <v>17.989999999999998</v>
      </c>
      <c r="R148" s="25">
        <f t="shared" si="12"/>
        <v>32</v>
      </c>
      <c r="S148">
        <f t="shared" si="16"/>
        <v>2.4545454545454546</v>
      </c>
      <c r="T148">
        <v>46</v>
      </c>
      <c r="U148">
        <v>43</v>
      </c>
    </row>
    <row r="149" spans="1:21" x14ac:dyDescent="0.25">
      <c r="A149" s="25">
        <v>78</v>
      </c>
      <c r="B149" s="21">
        <v>45974</v>
      </c>
      <c r="C149">
        <v>102</v>
      </c>
      <c r="D149">
        <v>102</v>
      </c>
      <c r="E149">
        <v>70</v>
      </c>
      <c r="F149">
        <v>72</v>
      </c>
      <c r="G149">
        <v>58</v>
      </c>
      <c r="H149">
        <v>59</v>
      </c>
      <c r="I149">
        <v>59</v>
      </c>
      <c r="J149">
        <v>32</v>
      </c>
      <c r="K149">
        <v>118</v>
      </c>
      <c r="L149">
        <v>110</v>
      </c>
      <c r="M149">
        <v>109</v>
      </c>
      <c r="N149">
        <v>113</v>
      </c>
      <c r="O149" s="19">
        <f t="shared" si="14"/>
        <v>84</v>
      </c>
      <c r="P149" s="19">
        <f t="shared" si="15"/>
        <v>27.26</v>
      </c>
      <c r="R149" s="25">
        <f t="shared" si="12"/>
        <v>6</v>
      </c>
      <c r="S149">
        <f t="shared" si="16"/>
        <v>1.0769230769230769</v>
      </c>
      <c r="T149">
        <v>70</v>
      </c>
      <c r="U149">
        <v>68</v>
      </c>
    </row>
    <row r="150" spans="1:21" x14ac:dyDescent="0.25">
      <c r="A150">
        <v>110</v>
      </c>
      <c r="B150" s="21">
        <v>45975</v>
      </c>
      <c r="C150">
        <v>151</v>
      </c>
      <c r="D150">
        <v>149</v>
      </c>
      <c r="E150">
        <v>115</v>
      </c>
      <c r="F150">
        <v>126</v>
      </c>
      <c r="G150">
        <v>126</v>
      </c>
      <c r="H150">
        <v>121</v>
      </c>
      <c r="I150">
        <v>138</v>
      </c>
      <c r="J150">
        <v>90</v>
      </c>
      <c r="K150">
        <v>151</v>
      </c>
      <c r="L150">
        <v>152</v>
      </c>
      <c r="M150">
        <v>153</v>
      </c>
      <c r="N150">
        <v>152</v>
      </c>
      <c r="O150" s="19">
        <f t="shared" si="14"/>
        <v>135</v>
      </c>
      <c r="P150" s="19">
        <f t="shared" si="15"/>
        <v>19.149999999999999</v>
      </c>
      <c r="R150" s="25">
        <f t="shared" si="12"/>
        <v>25</v>
      </c>
      <c r="S150">
        <f t="shared" si="16"/>
        <v>1.2272727272727273</v>
      </c>
      <c r="T150">
        <v>127</v>
      </c>
      <c r="U150">
        <v>122</v>
      </c>
    </row>
    <row r="151" spans="1:21" x14ac:dyDescent="0.25">
      <c r="A151" s="13">
        <v>178</v>
      </c>
      <c r="B151" s="21">
        <v>45976</v>
      </c>
      <c r="C151">
        <v>199</v>
      </c>
      <c r="D151">
        <v>194</v>
      </c>
      <c r="E151">
        <v>164</v>
      </c>
      <c r="F151">
        <v>163</v>
      </c>
      <c r="G151">
        <v>152</v>
      </c>
      <c r="H151">
        <v>145</v>
      </c>
      <c r="I151">
        <v>140</v>
      </c>
      <c r="J151">
        <v>181</v>
      </c>
      <c r="K151">
        <v>188</v>
      </c>
      <c r="L151">
        <v>195</v>
      </c>
      <c r="M151">
        <v>197</v>
      </c>
      <c r="N151">
        <v>190</v>
      </c>
      <c r="O151" s="19">
        <f>ROUND(AVERAGE(C151:N151,T151,U151),0)</f>
        <v>174</v>
      </c>
      <c r="P151" s="19">
        <f t="shared" si="15"/>
        <v>20.75</v>
      </c>
      <c r="R151" s="25">
        <f t="shared" ref="R151:R165" si="17">O151-A151</f>
        <v>-4</v>
      </c>
      <c r="S151">
        <f t="shared" ref="S151:S165" si="18">O151/A151</f>
        <v>0.97752808988764039</v>
      </c>
      <c r="T151">
        <v>159</v>
      </c>
      <c r="U151">
        <v>174</v>
      </c>
    </row>
    <row r="152" spans="1:21" x14ac:dyDescent="0.25">
      <c r="A152" s="13">
        <v>59</v>
      </c>
      <c r="B152" s="21">
        <v>45977</v>
      </c>
      <c r="C152">
        <v>67</v>
      </c>
      <c r="D152">
        <v>66</v>
      </c>
      <c r="E152">
        <v>44</v>
      </c>
      <c r="F152">
        <v>38</v>
      </c>
      <c r="G152">
        <v>20</v>
      </c>
      <c r="H152">
        <v>40</v>
      </c>
      <c r="I152">
        <v>20</v>
      </c>
      <c r="J152">
        <v>51</v>
      </c>
      <c r="K152">
        <v>73</v>
      </c>
      <c r="L152">
        <v>55</v>
      </c>
      <c r="M152">
        <v>62</v>
      </c>
      <c r="N152">
        <v>70</v>
      </c>
      <c r="O152" s="19">
        <f t="shared" ref="O152:O197" si="19">ROUND(AVERAGE(C152:N152,T152,U152),0)</f>
        <v>50</v>
      </c>
      <c r="P152" s="19">
        <f t="shared" si="15"/>
        <v>17.61</v>
      </c>
      <c r="R152" s="25">
        <f t="shared" si="17"/>
        <v>-9</v>
      </c>
      <c r="S152">
        <f t="shared" si="18"/>
        <v>0.84745762711864403</v>
      </c>
      <c r="T152">
        <v>40</v>
      </c>
      <c r="U152">
        <v>52</v>
      </c>
    </row>
    <row r="153" spans="1:21" x14ac:dyDescent="0.25">
      <c r="A153" s="13">
        <v>55</v>
      </c>
      <c r="B153" s="21">
        <v>45978</v>
      </c>
      <c r="C153">
        <v>41</v>
      </c>
      <c r="D153">
        <v>45</v>
      </c>
      <c r="E153">
        <v>29</v>
      </c>
      <c r="F153">
        <v>23</v>
      </c>
      <c r="G153">
        <v>13</v>
      </c>
      <c r="H153">
        <v>17</v>
      </c>
      <c r="I153">
        <v>19</v>
      </c>
      <c r="J153">
        <v>45</v>
      </c>
      <c r="K153">
        <v>39</v>
      </c>
      <c r="L153">
        <v>42</v>
      </c>
      <c r="M153">
        <v>43</v>
      </c>
      <c r="N153">
        <v>43</v>
      </c>
      <c r="O153" s="19">
        <f t="shared" si="19"/>
        <v>33</v>
      </c>
      <c r="P153" s="19">
        <f t="shared" si="15"/>
        <v>11.68</v>
      </c>
      <c r="R153" s="25">
        <f>O153-A153</f>
        <v>-22</v>
      </c>
      <c r="S153">
        <f>O153/A153</f>
        <v>0.6</v>
      </c>
      <c r="T153">
        <v>30</v>
      </c>
      <c r="U153">
        <v>34</v>
      </c>
    </row>
    <row r="154" spans="1:21" x14ac:dyDescent="0.25">
      <c r="A154" s="13">
        <v>62</v>
      </c>
      <c r="B154" s="21">
        <v>45979</v>
      </c>
      <c r="C154">
        <v>50</v>
      </c>
      <c r="D154">
        <v>52</v>
      </c>
      <c r="E154">
        <v>32</v>
      </c>
      <c r="F154">
        <v>36</v>
      </c>
      <c r="G154">
        <v>20</v>
      </c>
      <c r="H154">
        <v>20</v>
      </c>
      <c r="I154">
        <v>19</v>
      </c>
      <c r="J154">
        <v>52</v>
      </c>
      <c r="K154">
        <v>53</v>
      </c>
      <c r="L154">
        <v>54</v>
      </c>
      <c r="M154">
        <v>53</v>
      </c>
      <c r="N154">
        <v>53</v>
      </c>
      <c r="O154" s="19">
        <f t="shared" si="19"/>
        <v>41</v>
      </c>
      <c r="P154" s="19">
        <f t="shared" si="15"/>
        <v>14.13</v>
      </c>
      <c r="R154" s="25">
        <f t="shared" si="17"/>
        <v>-21</v>
      </c>
      <c r="S154">
        <f t="shared" si="18"/>
        <v>0.66129032258064513</v>
      </c>
      <c r="T154">
        <v>32</v>
      </c>
      <c r="U154">
        <v>42</v>
      </c>
    </row>
    <row r="155" spans="1:21" x14ac:dyDescent="0.25">
      <c r="A155" s="13">
        <v>49</v>
      </c>
      <c r="B155" s="21">
        <v>45980</v>
      </c>
      <c r="C155">
        <v>76</v>
      </c>
      <c r="D155">
        <v>73</v>
      </c>
      <c r="E155">
        <v>46</v>
      </c>
      <c r="F155">
        <v>57</v>
      </c>
      <c r="G155">
        <v>37</v>
      </c>
      <c r="H155">
        <v>37</v>
      </c>
      <c r="I155">
        <v>24</v>
      </c>
      <c r="J155">
        <v>68</v>
      </c>
      <c r="K155">
        <v>76</v>
      </c>
      <c r="L155">
        <v>89</v>
      </c>
      <c r="M155">
        <v>77</v>
      </c>
      <c r="N155">
        <v>86</v>
      </c>
      <c r="O155" s="19">
        <f t="shared" si="19"/>
        <v>61</v>
      </c>
      <c r="P155" s="19">
        <f t="shared" si="15"/>
        <v>20.52</v>
      </c>
      <c r="R155" s="25">
        <f t="shared" si="17"/>
        <v>12</v>
      </c>
      <c r="S155">
        <f t="shared" si="18"/>
        <v>1.2448979591836735</v>
      </c>
      <c r="T155">
        <v>48</v>
      </c>
      <c r="U155">
        <v>63</v>
      </c>
    </row>
    <row r="156" spans="1:21" x14ac:dyDescent="0.25">
      <c r="A156" s="13">
        <v>48</v>
      </c>
      <c r="B156" s="21">
        <v>45981</v>
      </c>
      <c r="C156">
        <v>100</v>
      </c>
      <c r="D156">
        <v>98</v>
      </c>
      <c r="E156">
        <v>65</v>
      </c>
      <c r="F156">
        <v>75</v>
      </c>
      <c r="G156">
        <v>48</v>
      </c>
      <c r="H156">
        <v>55</v>
      </c>
      <c r="I156">
        <v>32</v>
      </c>
      <c r="J156">
        <v>89</v>
      </c>
      <c r="K156">
        <v>100</v>
      </c>
      <c r="L156">
        <v>113</v>
      </c>
      <c r="M156">
        <v>99</v>
      </c>
      <c r="N156">
        <v>110</v>
      </c>
      <c r="O156" s="19">
        <f t="shared" si="19"/>
        <v>81</v>
      </c>
      <c r="P156" s="19">
        <f t="shared" si="15"/>
        <v>25.35</v>
      </c>
      <c r="R156" s="25">
        <f t="shared" si="17"/>
        <v>33</v>
      </c>
      <c r="S156">
        <f t="shared" si="18"/>
        <v>1.6875</v>
      </c>
      <c r="T156">
        <v>64</v>
      </c>
      <c r="U156">
        <v>79</v>
      </c>
    </row>
    <row r="157" spans="1:21" x14ac:dyDescent="0.25">
      <c r="A157" s="13">
        <v>115</v>
      </c>
      <c r="B157" s="21">
        <v>45982</v>
      </c>
      <c r="C157">
        <v>153</v>
      </c>
      <c r="D157">
        <v>154</v>
      </c>
      <c r="E157">
        <v>102</v>
      </c>
      <c r="F157">
        <v>115</v>
      </c>
      <c r="G157">
        <v>84</v>
      </c>
      <c r="H157">
        <v>78</v>
      </c>
      <c r="I157">
        <v>58</v>
      </c>
      <c r="J157">
        <v>131</v>
      </c>
      <c r="K157">
        <v>160</v>
      </c>
      <c r="L157">
        <v>153</v>
      </c>
      <c r="M157">
        <v>157</v>
      </c>
      <c r="N157">
        <v>159</v>
      </c>
      <c r="O157" s="19">
        <f t="shared" si="19"/>
        <v>123</v>
      </c>
      <c r="P157" s="19">
        <f t="shared" si="15"/>
        <v>35.19</v>
      </c>
      <c r="R157" s="25">
        <f t="shared" si="17"/>
        <v>8</v>
      </c>
      <c r="S157">
        <f t="shared" si="18"/>
        <v>1.0695652173913044</v>
      </c>
      <c r="T157">
        <v>97</v>
      </c>
      <c r="U157">
        <v>118</v>
      </c>
    </row>
    <row r="158" spans="1:21" x14ac:dyDescent="0.25">
      <c r="A158" s="13">
        <v>155</v>
      </c>
      <c r="B158" s="21">
        <v>45983</v>
      </c>
      <c r="C158">
        <v>197</v>
      </c>
      <c r="D158">
        <v>196</v>
      </c>
      <c r="E158">
        <v>141</v>
      </c>
      <c r="F158">
        <v>151</v>
      </c>
      <c r="G158">
        <v>143</v>
      </c>
      <c r="H158">
        <v>136</v>
      </c>
      <c r="I158">
        <v>101</v>
      </c>
      <c r="J158">
        <v>179</v>
      </c>
      <c r="K158">
        <v>194</v>
      </c>
      <c r="L158">
        <v>195</v>
      </c>
      <c r="M158">
        <v>185</v>
      </c>
      <c r="N158">
        <v>197</v>
      </c>
      <c r="O158" s="19">
        <f t="shared" si="19"/>
        <v>166</v>
      </c>
      <c r="P158" s="19">
        <f t="shared" si="15"/>
        <v>30.87</v>
      </c>
      <c r="R158" s="25">
        <f t="shared" si="17"/>
        <v>11</v>
      </c>
      <c r="S158">
        <f t="shared" si="18"/>
        <v>1.0709677419354839</v>
      </c>
      <c r="T158">
        <v>143</v>
      </c>
      <c r="U158">
        <v>161</v>
      </c>
    </row>
    <row r="159" spans="1:21" x14ac:dyDescent="0.25">
      <c r="A159" s="13">
        <v>38</v>
      </c>
      <c r="B159" s="21">
        <v>45984</v>
      </c>
      <c r="C159">
        <v>55</v>
      </c>
      <c r="D159">
        <v>55</v>
      </c>
      <c r="E159">
        <v>34</v>
      </c>
      <c r="F159">
        <v>36</v>
      </c>
      <c r="G159">
        <v>27</v>
      </c>
      <c r="H159">
        <v>21</v>
      </c>
      <c r="I159">
        <v>21</v>
      </c>
      <c r="J159">
        <v>42</v>
      </c>
      <c r="K159">
        <v>56</v>
      </c>
      <c r="L159">
        <v>56</v>
      </c>
      <c r="M159">
        <v>57</v>
      </c>
      <c r="N159">
        <v>62</v>
      </c>
      <c r="O159" s="19">
        <f t="shared" si="19"/>
        <v>43</v>
      </c>
      <c r="P159" s="19">
        <f t="shared" si="15"/>
        <v>14.53</v>
      </c>
      <c r="R159" s="25">
        <f t="shared" si="17"/>
        <v>5</v>
      </c>
      <c r="S159">
        <f t="shared" si="18"/>
        <v>1.131578947368421</v>
      </c>
      <c r="T159">
        <v>33</v>
      </c>
      <c r="U159">
        <v>46</v>
      </c>
    </row>
    <row r="160" spans="1:21" x14ac:dyDescent="0.25">
      <c r="A160" s="13">
        <v>39</v>
      </c>
      <c r="B160" s="21">
        <v>45985</v>
      </c>
      <c r="C160">
        <v>55</v>
      </c>
      <c r="D160">
        <v>51</v>
      </c>
      <c r="E160">
        <v>51</v>
      </c>
      <c r="F160">
        <v>57</v>
      </c>
      <c r="G160">
        <v>19</v>
      </c>
      <c r="H160">
        <v>20</v>
      </c>
      <c r="I160">
        <v>19</v>
      </c>
      <c r="J160">
        <v>52</v>
      </c>
      <c r="K160">
        <v>59</v>
      </c>
      <c r="L160">
        <v>67</v>
      </c>
      <c r="M160">
        <v>68</v>
      </c>
      <c r="N160">
        <v>68</v>
      </c>
      <c r="O160" s="19">
        <f t="shared" si="19"/>
        <v>47</v>
      </c>
      <c r="P160" s="19">
        <f t="shared" si="15"/>
        <v>18.04</v>
      </c>
      <c r="R160" s="25">
        <f t="shared" si="17"/>
        <v>8</v>
      </c>
      <c r="S160">
        <f t="shared" si="18"/>
        <v>1.2051282051282051</v>
      </c>
      <c r="T160">
        <v>39</v>
      </c>
      <c r="U160">
        <v>39</v>
      </c>
    </row>
    <row r="161" spans="1:21" x14ac:dyDescent="0.25">
      <c r="A161" s="13">
        <v>41</v>
      </c>
      <c r="B161" s="21">
        <v>45986</v>
      </c>
      <c r="C161">
        <v>66</v>
      </c>
      <c r="D161">
        <v>59</v>
      </c>
      <c r="E161">
        <v>61</v>
      </c>
      <c r="F161">
        <v>69</v>
      </c>
      <c r="G161">
        <v>26</v>
      </c>
      <c r="H161">
        <v>19</v>
      </c>
      <c r="I161">
        <v>21</v>
      </c>
      <c r="J161">
        <v>67</v>
      </c>
      <c r="K161">
        <v>69</v>
      </c>
      <c r="L161">
        <v>68</v>
      </c>
      <c r="M161">
        <v>74</v>
      </c>
      <c r="N161">
        <v>74</v>
      </c>
      <c r="O161" s="19">
        <f t="shared" si="19"/>
        <v>55</v>
      </c>
      <c r="P161" s="19">
        <f t="shared" si="15"/>
        <v>20.16</v>
      </c>
      <c r="R161" s="25">
        <f t="shared" si="17"/>
        <v>14</v>
      </c>
      <c r="S161">
        <f t="shared" si="18"/>
        <v>1.3414634146341464</v>
      </c>
      <c r="T161">
        <v>45</v>
      </c>
      <c r="U161">
        <v>45</v>
      </c>
    </row>
    <row r="162" spans="1:21" x14ac:dyDescent="0.25">
      <c r="A162" s="13">
        <v>34</v>
      </c>
      <c r="B162" s="21">
        <v>45987</v>
      </c>
      <c r="C162">
        <v>77</v>
      </c>
      <c r="D162">
        <v>81</v>
      </c>
      <c r="E162">
        <v>52</v>
      </c>
      <c r="F162">
        <v>59</v>
      </c>
      <c r="G162">
        <v>28</v>
      </c>
      <c r="H162">
        <v>29</v>
      </c>
      <c r="I162">
        <v>24</v>
      </c>
      <c r="J162">
        <v>68</v>
      </c>
      <c r="K162">
        <v>84</v>
      </c>
      <c r="L162">
        <v>82</v>
      </c>
      <c r="M162">
        <v>82</v>
      </c>
      <c r="N162">
        <v>85</v>
      </c>
      <c r="O162" s="19">
        <f t="shared" si="19"/>
        <v>61</v>
      </c>
      <c r="P162" s="19">
        <f t="shared" si="15"/>
        <v>22.78</v>
      </c>
      <c r="R162" s="25">
        <f t="shared" si="17"/>
        <v>27</v>
      </c>
      <c r="S162">
        <f t="shared" si="18"/>
        <v>1.7941176470588236</v>
      </c>
      <c r="T162">
        <v>51</v>
      </c>
      <c r="U162">
        <v>55</v>
      </c>
    </row>
    <row r="163" spans="1:21" x14ac:dyDescent="0.25">
      <c r="A163" s="13">
        <v>0</v>
      </c>
      <c r="B163" s="21">
        <v>45988</v>
      </c>
      <c r="C163">
        <v>89</v>
      </c>
      <c r="D163">
        <v>96</v>
      </c>
      <c r="E163">
        <v>55</v>
      </c>
      <c r="F163">
        <v>67</v>
      </c>
      <c r="G163">
        <v>43</v>
      </c>
      <c r="H163">
        <v>39</v>
      </c>
      <c r="I163">
        <v>27</v>
      </c>
      <c r="J163">
        <v>86</v>
      </c>
      <c r="K163">
        <v>85</v>
      </c>
      <c r="L163">
        <v>95</v>
      </c>
      <c r="M163">
        <v>87</v>
      </c>
      <c r="N163">
        <v>90</v>
      </c>
      <c r="O163" s="19">
        <f t="shared" si="19"/>
        <v>70</v>
      </c>
      <c r="P163" s="19">
        <f t="shared" si="15"/>
        <v>23.41</v>
      </c>
      <c r="R163" s="25">
        <f t="shared" si="17"/>
        <v>70</v>
      </c>
      <c r="S163">
        <f>O163/(A163+1)</f>
        <v>70</v>
      </c>
      <c r="T163">
        <v>55</v>
      </c>
      <c r="U163">
        <v>72</v>
      </c>
    </row>
    <row r="164" spans="1:21" x14ac:dyDescent="0.25">
      <c r="A164" s="13">
        <v>20</v>
      </c>
      <c r="B164" s="21">
        <v>45989</v>
      </c>
      <c r="C164">
        <v>141</v>
      </c>
      <c r="D164">
        <v>133</v>
      </c>
      <c r="E164">
        <v>96</v>
      </c>
      <c r="F164">
        <v>110</v>
      </c>
      <c r="G164">
        <v>92</v>
      </c>
      <c r="H164">
        <v>90</v>
      </c>
      <c r="I164">
        <v>47</v>
      </c>
      <c r="J164">
        <v>134</v>
      </c>
      <c r="K164">
        <v>138</v>
      </c>
      <c r="L164">
        <v>150</v>
      </c>
      <c r="M164">
        <v>130</v>
      </c>
      <c r="N164">
        <v>141</v>
      </c>
      <c r="O164" s="19">
        <f t="shared" si="19"/>
        <v>115</v>
      </c>
      <c r="P164" s="19">
        <f t="shared" si="15"/>
        <v>29.07</v>
      </c>
      <c r="R164" s="25">
        <f t="shared" si="17"/>
        <v>95</v>
      </c>
      <c r="S164">
        <f t="shared" si="18"/>
        <v>5.75</v>
      </c>
      <c r="T164">
        <v>102</v>
      </c>
      <c r="U164">
        <v>107</v>
      </c>
    </row>
    <row r="165" spans="1:21" x14ac:dyDescent="0.25">
      <c r="A165" s="13">
        <v>52</v>
      </c>
      <c r="B165" s="21">
        <v>45990</v>
      </c>
      <c r="C165">
        <v>172</v>
      </c>
      <c r="D165">
        <v>172</v>
      </c>
      <c r="E165">
        <v>128</v>
      </c>
      <c r="F165">
        <v>135</v>
      </c>
      <c r="G165">
        <v>121</v>
      </c>
      <c r="H165">
        <v>116</v>
      </c>
      <c r="I165">
        <v>93</v>
      </c>
      <c r="J165">
        <v>170</v>
      </c>
      <c r="K165">
        <v>170</v>
      </c>
      <c r="L165">
        <v>173</v>
      </c>
      <c r="M165">
        <v>174</v>
      </c>
      <c r="N165">
        <v>172</v>
      </c>
      <c r="O165" s="19">
        <f t="shared" si="19"/>
        <v>148</v>
      </c>
      <c r="P165" s="19">
        <f t="shared" si="15"/>
        <v>27.85</v>
      </c>
      <c r="R165" s="25">
        <f t="shared" si="17"/>
        <v>96</v>
      </c>
      <c r="S165">
        <f t="shared" si="18"/>
        <v>2.8461538461538463</v>
      </c>
      <c r="T165">
        <v>125</v>
      </c>
      <c r="U165">
        <v>145</v>
      </c>
    </row>
    <row r="166" spans="1:21" x14ac:dyDescent="0.25">
      <c r="A166" s="13">
        <v>53</v>
      </c>
      <c r="B166" s="21">
        <v>45991</v>
      </c>
      <c r="C166">
        <v>77</v>
      </c>
      <c r="D166">
        <v>97</v>
      </c>
      <c r="E166">
        <v>62</v>
      </c>
      <c r="F166">
        <v>55</v>
      </c>
      <c r="G166">
        <v>48</v>
      </c>
      <c r="H166">
        <v>43</v>
      </c>
      <c r="I166">
        <v>47</v>
      </c>
      <c r="J166">
        <v>45</v>
      </c>
      <c r="K166">
        <v>97</v>
      </c>
      <c r="L166">
        <v>77</v>
      </c>
      <c r="M166">
        <v>80</v>
      </c>
      <c r="N166">
        <v>81</v>
      </c>
      <c r="O166" s="19">
        <f>ROUND(AVERAGE(C166:N166,T166,U166),0)</f>
        <v>67</v>
      </c>
      <c r="P166" s="19">
        <f>ROUND(_xlfn.STDEV.P(C166:N166,T166,U166),2)</f>
        <v>17.760000000000002</v>
      </c>
      <c r="R166" s="25">
        <f t="shared" ref="R166:R174" si="20">O166-A166</f>
        <v>14</v>
      </c>
      <c r="S166">
        <f t="shared" ref="S166:S174" si="21">O166/A166</f>
        <v>1.2641509433962264</v>
      </c>
      <c r="T166">
        <v>61</v>
      </c>
      <c r="U166">
        <v>62</v>
      </c>
    </row>
    <row r="167" spans="1:21" x14ac:dyDescent="0.25">
      <c r="A167" s="13">
        <v>20</v>
      </c>
      <c r="B167" s="21">
        <v>45992</v>
      </c>
      <c r="C167">
        <v>49</v>
      </c>
      <c r="D167">
        <v>47</v>
      </c>
      <c r="E167">
        <v>81</v>
      </c>
      <c r="F167">
        <v>84</v>
      </c>
      <c r="G167">
        <v>88</v>
      </c>
      <c r="H167">
        <v>112</v>
      </c>
      <c r="I167">
        <v>121</v>
      </c>
      <c r="J167">
        <v>102</v>
      </c>
      <c r="K167">
        <v>45</v>
      </c>
      <c r="L167">
        <v>43</v>
      </c>
      <c r="M167">
        <v>49</v>
      </c>
      <c r="N167">
        <v>47</v>
      </c>
      <c r="O167" s="19">
        <f t="shared" si="19"/>
        <v>72</v>
      </c>
      <c r="P167" s="19">
        <f>ROUND(_xlfn.STDEV.P(C167:N167,T167,U167),2)</f>
        <v>25.75</v>
      </c>
      <c r="R167" s="25">
        <f t="shared" si="20"/>
        <v>52</v>
      </c>
      <c r="S167">
        <f t="shared" si="21"/>
        <v>3.6</v>
      </c>
      <c r="T167">
        <v>76</v>
      </c>
      <c r="U167">
        <v>69</v>
      </c>
    </row>
    <row r="168" spans="1:21" x14ac:dyDescent="0.25">
      <c r="A168" s="13">
        <v>66</v>
      </c>
      <c r="B168" s="21">
        <v>45993</v>
      </c>
      <c r="C168">
        <v>61</v>
      </c>
      <c r="D168">
        <v>57</v>
      </c>
      <c r="E168">
        <v>85</v>
      </c>
      <c r="F168">
        <v>87</v>
      </c>
      <c r="G168">
        <v>86</v>
      </c>
      <c r="H168">
        <v>107</v>
      </c>
      <c r="I168">
        <v>118</v>
      </c>
      <c r="J168">
        <v>101</v>
      </c>
      <c r="K168">
        <v>65</v>
      </c>
      <c r="L168">
        <v>60</v>
      </c>
      <c r="M168">
        <v>59</v>
      </c>
      <c r="N168">
        <v>59</v>
      </c>
      <c r="O168" s="19">
        <f t="shared" si="19"/>
        <v>79</v>
      </c>
      <c r="P168" s="19">
        <f t="shared" ref="P168:P197" si="22">ROUND(_xlfn.STDEV.P(C168:N168,T168,U168),2)</f>
        <v>19.13</v>
      </c>
      <c r="R168" s="25">
        <f t="shared" si="20"/>
        <v>13</v>
      </c>
      <c r="S168">
        <f t="shared" si="21"/>
        <v>1.196969696969697</v>
      </c>
      <c r="T168">
        <v>81</v>
      </c>
      <c r="U168">
        <v>75</v>
      </c>
    </row>
    <row r="169" spans="1:21" x14ac:dyDescent="0.25">
      <c r="A169" s="13">
        <v>95</v>
      </c>
      <c r="B169" s="21">
        <v>45994</v>
      </c>
      <c r="C169">
        <v>95</v>
      </c>
      <c r="D169">
        <v>94</v>
      </c>
      <c r="E169">
        <v>93</v>
      </c>
      <c r="F169">
        <v>94</v>
      </c>
      <c r="G169">
        <v>80</v>
      </c>
      <c r="H169">
        <v>88</v>
      </c>
      <c r="I169">
        <v>106</v>
      </c>
      <c r="J169">
        <v>94</v>
      </c>
      <c r="K169">
        <v>105</v>
      </c>
      <c r="L169">
        <v>105</v>
      </c>
      <c r="M169">
        <v>93</v>
      </c>
      <c r="N169">
        <v>96</v>
      </c>
      <c r="O169" s="19">
        <f t="shared" si="19"/>
        <v>94</v>
      </c>
      <c r="P169" s="19">
        <f t="shared" si="22"/>
        <v>6.9</v>
      </c>
      <c r="R169" s="25">
        <f t="shared" si="20"/>
        <v>-1</v>
      </c>
      <c r="S169">
        <f t="shared" si="21"/>
        <v>0.98947368421052628</v>
      </c>
      <c r="T169">
        <v>91</v>
      </c>
      <c r="U169">
        <v>88</v>
      </c>
    </row>
    <row r="170" spans="1:21" x14ac:dyDescent="0.25">
      <c r="A170" s="13">
        <v>115</v>
      </c>
      <c r="B170" s="21">
        <v>45995</v>
      </c>
      <c r="C170">
        <v>98</v>
      </c>
      <c r="D170">
        <v>94</v>
      </c>
      <c r="E170">
        <v>96</v>
      </c>
      <c r="F170">
        <v>104</v>
      </c>
      <c r="G170">
        <v>83</v>
      </c>
      <c r="H170">
        <v>96</v>
      </c>
      <c r="I170">
        <v>112</v>
      </c>
      <c r="J170">
        <v>97</v>
      </c>
      <c r="K170">
        <v>100</v>
      </c>
      <c r="L170">
        <v>113</v>
      </c>
      <c r="M170">
        <v>96</v>
      </c>
      <c r="N170">
        <v>89</v>
      </c>
      <c r="O170" s="19">
        <f t="shared" si="19"/>
        <v>98</v>
      </c>
      <c r="P170" s="19">
        <f t="shared" si="22"/>
        <v>7.83</v>
      </c>
      <c r="R170" s="25">
        <f t="shared" si="20"/>
        <v>-17</v>
      </c>
      <c r="S170">
        <f t="shared" si="21"/>
        <v>0.85217391304347823</v>
      </c>
      <c r="T170">
        <v>98</v>
      </c>
      <c r="U170">
        <v>90</v>
      </c>
    </row>
    <row r="171" spans="1:21" x14ac:dyDescent="0.25">
      <c r="A171" s="13">
        <v>113</v>
      </c>
      <c r="B171" s="21">
        <v>45996</v>
      </c>
      <c r="C171">
        <v>134</v>
      </c>
      <c r="D171">
        <v>131</v>
      </c>
      <c r="E171">
        <v>129</v>
      </c>
      <c r="F171">
        <v>132</v>
      </c>
      <c r="G171">
        <v>118</v>
      </c>
      <c r="H171">
        <v>122</v>
      </c>
      <c r="I171">
        <v>134</v>
      </c>
      <c r="J171">
        <v>123</v>
      </c>
      <c r="K171">
        <v>128</v>
      </c>
      <c r="L171">
        <v>136</v>
      </c>
      <c r="M171">
        <v>132</v>
      </c>
      <c r="N171">
        <v>130</v>
      </c>
      <c r="O171" s="19">
        <f t="shared" si="19"/>
        <v>129</v>
      </c>
      <c r="P171" s="19">
        <f t="shared" si="22"/>
        <v>5.07</v>
      </c>
      <c r="R171" s="25">
        <f t="shared" si="20"/>
        <v>16</v>
      </c>
      <c r="S171">
        <f t="shared" si="21"/>
        <v>1.1415929203539823</v>
      </c>
      <c r="T171">
        <v>126</v>
      </c>
      <c r="U171">
        <v>124</v>
      </c>
    </row>
    <row r="172" spans="1:21" x14ac:dyDescent="0.25">
      <c r="A172" s="13">
        <v>161</v>
      </c>
      <c r="B172" s="21">
        <v>45997</v>
      </c>
      <c r="C172">
        <v>176</v>
      </c>
      <c r="D172">
        <v>173</v>
      </c>
      <c r="E172">
        <v>169</v>
      </c>
      <c r="F172">
        <v>171</v>
      </c>
      <c r="G172">
        <v>168</v>
      </c>
      <c r="H172">
        <v>158</v>
      </c>
      <c r="I172">
        <v>174</v>
      </c>
      <c r="J172">
        <v>170</v>
      </c>
      <c r="K172">
        <v>174</v>
      </c>
      <c r="L172">
        <v>177</v>
      </c>
      <c r="M172">
        <v>170</v>
      </c>
      <c r="N172">
        <v>172</v>
      </c>
      <c r="O172" s="19">
        <f t="shared" si="19"/>
        <v>170</v>
      </c>
      <c r="P172" s="19">
        <f t="shared" si="22"/>
        <v>4.78</v>
      </c>
      <c r="R172" s="25">
        <f t="shared" si="20"/>
        <v>9</v>
      </c>
      <c r="S172">
        <f t="shared" si="21"/>
        <v>1.0559006211180124</v>
      </c>
      <c r="T172">
        <v>166</v>
      </c>
      <c r="U172">
        <v>165</v>
      </c>
    </row>
    <row r="173" spans="1:21" x14ac:dyDescent="0.25">
      <c r="A173" s="13">
        <v>73</v>
      </c>
      <c r="B173" s="21">
        <v>45998</v>
      </c>
      <c r="C173">
        <v>92</v>
      </c>
      <c r="D173">
        <v>97</v>
      </c>
      <c r="E173">
        <v>84</v>
      </c>
      <c r="F173">
        <v>89</v>
      </c>
      <c r="G173">
        <v>80</v>
      </c>
      <c r="H173">
        <v>83</v>
      </c>
      <c r="I173">
        <v>86</v>
      </c>
      <c r="J173">
        <v>86</v>
      </c>
      <c r="K173">
        <v>94</v>
      </c>
      <c r="L173">
        <v>98</v>
      </c>
      <c r="M173">
        <v>94</v>
      </c>
      <c r="N173">
        <v>93</v>
      </c>
      <c r="O173" s="19">
        <f t="shared" si="19"/>
        <v>88</v>
      </c>
      <c r="P173" s="19">
        <f t="shared" si="22"/>
        <v>6.23</v>
      </c>
      <c r="R173" s="25">
        <f t="shared" si="20"/>
        <v>15</v>
      </c>
      <c r="S173">
        <f t="shared" si="21"/>
        <v>1.2054794520547945</v>
      </c>
      <c r="T173">
        <v>84</v>
      </c>
      <c r="U173">
        <v>77</v>
      </c>
    </row>
    <row r="174" spans="1:21" x14ac:dyDescent="0.25">
      <c r="A174" s="13">
        <v>47</v>
      </c>
      <c r="B174" s="21">
        <v>45999</v>
      </c>
      <c r="C174">
        <v>56</v>
      </c>
      <c r="D174">
        <v>59</v>
      </c>
      <c r="E174">
        <v>67</v>
      </c>
      <c r="F174">
        <v>66</v>
      </c>
      <c r="G174">
        <v>65</v>
      </c>
      <c r="H174">
        <v>72</v>
      </c>
      <c r="I174">
        <v>78</v>
      </c>
      <c r="J174">
        <v>73</v>
      </c>
      <c r="K174">
        <v>54</v>
      </c>
      <c r="L174">
        <v>50</v>
      </c>
      <c r="M174">
        <v>59</v>
      </c>
      <c r="N174">
        <v>59</v>
      </c>
      <c r="O174" s="19">
        <f t="shared" si="19"/>
        <v>63</v>
      </c>
      <c r="P174" s="19">
        <f t="shared" si="22"/>
        <v>7.57</v>
      </c>
      <c r="R174" s="25">
        <f t="shared" si="20"/>
        <v>16</v>
      </c>
      <c r="S174">
        <f t="shared" si="21"/>
        <v>1.3404255319148937</v>
      </c>
      <c r="T174">
        <v>65</v>
      </c>
      <c r="U174">
        <v>59</v>
      </c>
    </row>
    <row r="175" spans="1:21" x14ac:dyDescent="0.25">
      <c r="A175" s="13">
        <v>72</v>
      </c>
      <c r="B175" s="21">
        <v>46000</v>
      </c>
      <c r="C175">
        <v>54</v>
      </c>
      <c r="D175">
        <v>60</v>
      </c>
      <c r="E175">
        <v>48</v>
      </c>
      <c r="F175">
        <v>66</v>
      </c>
      <c r="G175">
        <v>36</v>
      </c>
      <c r="H175">
        <v>67</v>
      </c>
      <c r="I175">
        <v>50</v>
      </c>
      <c r="J175">
        <v>70</v>
      </c>
      <c r="K175">
        <v>54</v>
      </c>
      <c r="L175">
        <v>58</v>
      </c>
      <c r="M175">
        <v>60</v>
      </c>
      <c r="N175">
        <v>60</v>
      </c>
      <c r="O175" s="19">
        <f t="shared" si="19"/>
        <v>56</v>
      </c>
      <c r="P175" s="19">
        <f t="shared" si="22"/>
        <v>9.08</v>
      </c>
      <c r="R175" s="25">
        <f t="shared" ref="R175:R203" si="23">O175-A175</f>
        <v>-16</v>
      </c>
      <c r="S175">
        <f t="shared" ref="S175:S203" si="24">O175/A175</f>
        <v>0.77777777777777779</v>
      </c>
      <c r="T175">
        <v>62</v>
      </c>
      <c r="U175">
        <v>44</v>
      </c>
    </row>
    <row r="176" spans="1:21" x14ac:dyDescent="0.25">
      <c r="A176" s="13">
        <v>43</v>
      </c>
      <c r="B176" s="21">
        <v>46001</v>
      </c>
      <c r="C176">
        <v>115</v>
      </c>
      <c r="D176">
        <v>84</v>
      </c>
      <c r="E176">
        <v>65</v>
      </c>
      <c r="F176">
        <v>75</v>
      </c>
      <c r="G176">
        <v>58</v>
      </c>
      <c r="H176">
        <v>49</v>
      </c>
      <c r="I176">
        <v>51</v>
      </c>
      <c r="J176">
        <v>83</v>
      </c>
      <c r="K176">
        <v>103</v>
      </c>
      <c r="L176">
        <v>93</v>
      </c>
      <c r="M176">
        <v>90</v>
      </c>
      <c r="N176">
        <v>90</v>
      </c>
      <c r="O176" s="19">
        <f t="shared" si="19"/>
        <v>80</v>
      </c>
      <c r="P176" s="19">
        <f t="shared" si="22"/>
        <v>18.34</v>
      </c>
      <c r="R176" s="25">
        <f t="shared" si="23"/>
        <v>37</v>
      </c>
      <c r="S176">
        <f t="shared" si="24"/>
        <v>1.8604651162790697</v>
      </c>
      <c r="T176">
        <v>84</v>
      </c>
      <c r="U176">
        <v>77</v>
      </c>
    </row>
    <row r="177" spans="1:21" x14ac:dyDescent="0.25">
      <c r="A177" s="13">
        <v>100</v>
      </c>
      <c r="B177" s="21">
        <v>46002</v>
      </c>
      <c r="C177">
        <v>113</v>
      </c>
      <c r="D177">
        <v>101</v>
      </c>
      <c r="E177">
        <v>65</v>
      </c>
      <c r="F177">
        <v>93</v>
      </c>
      <c r="G177">
        <v>55</v>
      </c>
      <c r="H177">
        <v>82</v>
      </c>
      <c r="I177">
        <v>87</v>
      </c>
      <c r="J177">
        <v>102</v>
      </c>
      <c r="K177">
        <v>127</v>
      </c>
      <c r="L177">
        <v>107</v>
      </c>
      <c r="M177">
        <v>103</v>
      </c>
      <c r="N177">
        <v>101</v>
      </c>
      <c r="O177" s="19">
        <f t="shared" si="19"/>
        <v>94</v>
      </c>
      <c r="P177" s="19">
        <f t="shared" si="22"/>
        <v>17.98</v>
      </c>
      <c r="R177" s="25">
        <f t="shared" si="23"/>
        <v>-6</v>
      </c>
      <c r="S177">
        <f t="shared" si="24"/>
        <v>0.94</v>
      </c>
      <c r="T177">
        <v>97</v>
      </c>
      <c r="U177">
        <v>84</v>
      </c>
    </row>
    <row r="178" spans="1:21" x14ac:dyDescent="0.25">
      <c r="A178" s="13">
        <v>176</v>
      </c>
      <c r="B178" s="21">
        <v>46003</v>
      </c>
      <c r="C178">
        <v>143</v>
      </c>
      <c r="D178">
        <v>133</v>
      </c>
      <c r="E178">
        <v>92</v>
      </c>
      <c r="F178">
        <v>117</v>
      </c>
      <c r="G178">
        <v>58</v>
      </c>
      <c r="H178">
        <v>101</v>
      </c>
      <c r="I178">
        <v>150</v>
      </c>
      <c r="J178">
        <v>113</v>
      </c>
      <c r="K178">
        <v>142</v>
      </c>
      <c r="L178">
        <v>138</v>
      </c>
      <c r="M178">
        <v>152</v>
      </c>
      <c r="N178">
        <v>135</v>
      </c>
      <c r="O178" s="19">
        <f t="shared" si="19"/>
        <v>122</v>
      </c>
      <c r="P178" s="19">
        <f t="shared" si="22"/>
        <v>25.09</v>
      </c>
      <c r="R178" s="25">
        <f t="shared" si="23"/>
        <v>-54</v>
      </c>
      <c r="S178">
        <f t="shared" si="24"/>
        <v>0.69318181818181823</v>
      </c>
      <c r="T178">
        <v>119</v>
      </c>
      <c r="U178">
        <v>108</v>
      </c>
    </row>
    <row r="179" spans="1:21" x14ac:dyDescent="0.25">
      <c r="A179" s="13">
        <v>152</v>
      </c>
      <c r="B179" s="21">
        <v>46004</v>
      </c>
      <c r="C179">
        <v>164</v>
      </c>
      <c r="D179">
        <v>182</v>
      </c>
      <c r="E179">
        <v>199</v>
      </c>
      <c r="F179">
        <v>214</v>
      </c>
      <c r="G179">
        <v>87</v>
      </c>
      <c r="H179">
        <v>221</v>
      </c>
      <c r="I179">
        <v>191</v>
      </c>
      <c r="J179">
        <v>233</v>
      </c>
      <c r="K179">
        <v>175</v>
      </c>
      <c r="L179">
        <v>189</v>
      </c>
      <c r="M179">
        <v>162</v>
      </c>
      <c r="N179">
        <v>181</v>
      </c>
      <c r="O179" s="19">
        <f t="shared" si="19"/>
        <v>184</v>
      </c>
      <c r="P179" s="19">
        <f t="shared" si="22"/>
        <v>34.020000000000003</v>
      </c>
      <c r="R179" s="25">
        <f t="shared" si="23"/>
        <v>32</v>
      </c>
      <c r="S179">
        <f t="shared" si="24"/>
        <v>1.2105263157894737</v>
      </c>
      <c r="T179">
        <v>211</v>
      </c>
      <c r="U179">
        <v>173</v>
      </c>
    </row>
    <row r="180" spans="1:21" x14ac:dyDescent="0.25">
      <c r="A180" s="13">
        <v>42</v>
      </c>
      <c r="B180" s="21">
        <v>46005</v>
      </c>
      <c r="C180">
        <v>85</v>
      </c>
      <c r="D180">
        <v>66</v>
      </c>
      <c r="E180">
        <v>58</v>
      </c>
      <c r="F180">
        <v>64</v>
      </c>
      <c r="G180">
        <v>53</v>
      </c>
      <c r="H180">
        <v>47</v>
      </c>
      <c r="I180">
        <v>34</v>
      </c>
      <c r="J180">
        <v>45</v>
      </c>
      <c r="K180">
        <v>94</v>
      </c>
      <c r="L180">
        <v>87</v>
      </c>
      <c r="M180">
        <v>73</v>
      </c>
      <c r="N180">
        <v>94</v>
      </c>
      <c r="O180" s="19">
        <f t="shared" si="19"/>
        <v>66</v>
      </c>
      <c r="P180" s="19">
        <f t="shared" si="22"/>
        <v>17.91</v>
      </c>
      <c r="R180" s="25">
        <f t="shared" si="23"/>
        <v>24</v>
      </c>
      <c r="S180">
        <f t="shared" si="24"/>
        <v>1.5714285714285714</v>
      </c>
      <c r="T180">
        <v>64</v>
      </c>
      <c r="U180">
        <v>64</v>
      </c>
    </row>
    <row r="181" spans="1:21" x14ac:dyDescent="0.25">
      <c r="A181" s="13">
        <v>26</v>
      </c>
      <c r="B181" s="21">
        <v>46006</v>
      </c>
      <c r="C181">
        <v>79</v>
      </c>
      <c r="D181">
        <v>64</v>
      </c>
      <c r="E181">
        <v>56</v>
      </c>
      <c r="F181">
        <v>53</v>
      </c>
      <c r="G181">
        <v>46</v>
      </c>
      <c r="H181">
        <v>46</v>
      </c>
      <c r="I181">
        <v>40</v>
      </c>
      <c r="J181">
        <v>49</v>
      </c>
      <c r="K181">
        <v>72</v>
      </c>
      <c r="L181">
        <v>68</v>
      </c>
      <c r="M181">
        <v>73</v>
      </c>
      <c r="N181">
        <v>72</v>
      </c>
      <c r="O181" s="19">
        <f t="shared" si="19"/>
        <v>59</v>
      </c>
      <c r="P181" s="19">
        <f t="shared" si="22"/>
        <v>11.89</v>
      </c>
      <c r="R181" s="25">
        <f t="shared" si="23"/>
        <v>33</v>
      </c>
      <c r="S181">
        <f t="shared" si="24"/>
        <v>2.2692307692307692</v>
      </c>
      <c r="T181">
        <v>55</v>
      </c>
      <c r="U181">
        <v>50</v>
      </c>
    </row>
    <row r="182" spans="1:21" x14ac:dyDescent="0.25">
      <c r="A182" s="13">
        <v>58</v>
      </c>
      <c r="B182" s="21">
        <v>46007</v>
      </c>
      <c r="C182">
        <v>77</v>
      </c>
      <c r="D182">
        <v>63</v>
      </c>
      <c r="E182">
        <v>59</v>
      </c>
      <c r="F182">
        <v>62</v>
      </c>
      <c r="G182">
        <v>42</v>
      </c>
      <c r="H182">
        <v>52</v>
      </c>
      <c r="I182">
        <v>39</v>
      </c>
      <c r="J182">
        <v>69</v>
      </c>
      <c r="K182">
        <v>67</v>
      </c>
      <c r="L182">
        <v>60</v>
      </c>
      <c r="M182">
        <v>71</v>
      </c>
      <c r="N182">
        <v>59</v>
      </c>
      <c r="O182" s="19">
        <f t="shared" si="19"/>
        <v>58</v>
      </c>
      <c r="P182" s="19">
        <f t="shared" si="22"/>
        <v>10.9</v>
      </c>
      <c r="R182" s="25">
        <f t="shared" si="23"/>
        <v>0</v>
      </c>
      <c r="S182">
        <f t="shared" si="24"/>
        <v>1</v>
      </c>
      <c r="T182">
        <v>55</v>
      </c>
      <c r="U182">
        <v>43</v>
      </c>
    </row>
    <row r="183" spans="1:21" x14ac:dyDescent="0.25">
      <c r="A183" s="13">
        <v>67</v>
      </c>
      <c r="B183" s="21">
        <v>46008</v>
      </c>
      <c r="C183">
        <v>82</v>
      </c>
      <c r="D183">
        <v>99</v>
      </c>
      <c r="E183">
        <v>61</v>
      </c>
      <c r="F183">
        <v>114</v>
      </c>
      <c r="G183">
        <v>45</v>
      </c>
      <c r="H183">
        <v>117</v>
      </c>
      <c r="I183">
        <v>109</v>
      </c>
      <c r="J183">
        <v>127</v>
      </c>
      <c r="K183">
        <v>102</v>
      </c>
      <c r="L183">
        <v>101</v>
      </c>
      <c r="M183">
        <v>102</v>
      </c>
      <c r="N183">
        <v>103</v>
      </c>
      <c r="O183" s="19">
        <f t="shared" si="19"/>
        <v>96</v>
      </c>
      <c r="P183" s="19">
        <f t="shared" si="22"/>
        <v>22.31</v>
      </c>
      <c r="R183" s="25">
        <f t="shared" si="23"/>
        <v>29</v>
      </c>
      <c r="S183">
        <f t="shared" si="24"/>
        <v>1.4328358208955223</v>
      </c>
      <c r="T183">
        <v>114</v>
      </c>
      <c r="U183">
        <v>72</v>
      </c>
    </row>
    <row r="184" spans="1:21" x14ac:dyDescent="0.25">
      <c r="A184" s="13">
        <v>81</v>
      </c>
      <c r="B184" s="21">
        <v>46009</v>
      </c>
      <c r="C184">
        <v>175</v>
      </c>
      <c r="D184">
        <v>129</v>
      </c>
      <c r="E184">
        <v>122</v>
      </c>
      <c r="F184">
        <v>154</v>
      </c>
      <c r="G184">
        <v>58</v>
      </c>
      <c r="H184">
        <v>156</v>
      </c>
      <c r="I184">
        <v>171</v>
      </c>
      <c r="J184">
        <v>162</v>
      </c>
      <c r="K184">
        <v>148</v>
      </c>
      <c r="L184">
        <v>143</v>
      </c>
      <c r="M184">
        <v>159</v>
      </c>
      <c r="N184">
        <v>146</v>
      </c>
      <c r="O184" s="19">
        <f t="shared" si="19"/>
        <v>142</v>
      </c>
      <c r="P184" s="19">
        <f t="shared" si="22"/>
        <v>28.19</v>
      </c>
      <c r="R184" s="25">
        <f t="shared" si="23"/>
        <v>61</v>
      </c>
      <c r="S184">
        <f t="shared" si="24"/>
        <v>1.7530864197530864</v>
      </c>
      <c r="T184">
        <v>144</v>
      </c>
      <c r="U184">
        <v>120</v>
      </c>
    </row>
    <row r="185" spans="1:21" x14ac:dyDescent="0.25">
      <c r="A185" s="13">
        <v>176</v>
      </c>
      <c r="B185" s="21">
        <v>46010</v>
      </c>
      <c r="C185">
        <v>219</v>
      </c>
      <c r="D185">
        <v>174</v>
      </c>
      <c r="E185">
        <v>175</v>
      </c>
      <c r="F185">
        <v>193</v>
      </c>
      <c r="G185">
        <v>156</v>
      </c>
      <c r="H185">
        <v>197</v>
      </c>
      <c r="I185">
        <v>183</v>
      </c>
      <c r="J185">
        <v>194</v>
      </c>
      <c r="K185">
        <v>191</v>
      </c>
      <c r="L185">
        <v>209</v>
      </c>
      <c r="M185">
        <v>187</v>
      </c>
      <c r="N185">
        <v>202</v>
      </c>
      <c r="O185" s="19">
        <f t="shared" si="19"/>
        <v>190</v>
      </c>
      <c r="P185" s="19">
        <f t="shared" si="22"/>
        <v>15.26</v>
      </c>
      <c r="R185" s="25">
        <f t="shared" si="23"/>
        <v>14</v>
      </c>
      <c r="S185">
        <f t="shared" si="24"/>
        <v>1.0795454545454546</v>
      </c>
      <c r="T185">
        <v>185</v>
      </c>
      <c r="U185">
        <v>201</v>
      </c>
    </row>
    <row r="186" spans="1:21" x14ac:dyDescent="0.25">
      <c r="A186" s="13">
        <v>152</v>
      </c>
      <c r="B186" s="21">
        <v>46011</v>
      </c>
      <c r="C186">
        <v>190</v>
      </c>
      <c r="D186">
        <v>181</v>
      </c>
      <c r="E186">
        <v>175</v>
      </c>
      <c r="F186">
        <v>216</v>
      </c>
      <c r="G186">
        <v>117</v>
      </c>
      <c r="H186">
        <v>224</v>
      </c>
      <c r="I186">
        <v>148</v>
      </c>
      <c r="J186">
        <v>235</v>
      </c>
      <c r="K186">
        <v>155</v>
      </c>
      <c r="L186">
        <v>187</v>
      </c>
      <c r="M186">
        <v>177</v>
      </c>
      <c r="N186">
        <v>185</v>
      </c>
      <c r="O186" s="19">
        <f t="shared" si="19"/>
        <v>185</v>
      </c>
      <c r="P186" s="19">
        <f t="shared" si="22"/>
        <v>30.19</v>
      </c>
      <c r="R186" s="25">
        <f t="shared" si="23"/>
        <v>33</v>
      </c>
      <c r="S186">
        <f t="shared" si="24"/>
        <v>1.2171052631578947</v>
      </c>
      <c r="T186">
        <v>211</v>
      </c>
      <c r="U186">
        <v>185</v>
      </c>
    </row>
    <row r="187" spans="1:21" x14ac:dyDescent="0.25">
      <c r="A187" s="13">
        <v>69</v>
      </c>
      <c r="B187" s="21">
        <v>46012</v>
      </c>
      <c r="C187">
        <v>105</v>
      </c>
      <c r="D187">
        <v>145</v>
      </c>
      <c r="E187">
        <v>94</v>
      </c>
      <c r="F187">
        <v>117</v>
      </c>
      <c r="G187">
        <v>66</v>
      </c>
      <c r="H187">
        <v>99</v>
      </c>
      <c r="I187">
        <v>56</v>
      </c>
      <c r="J187">
        <v>129</v>
      </c>
      <c r="K187">
        <v>136</v>
      </c>
      <c r="L187">
        <v>124</v>
      </c>
      <c r="M187">
        <v>111</v>
      </c>
      <c r="N187">
        <v>143</v>
      </c>
      <c r="O187" s="19">
        <f t="shared" si="19"/>
        <v>110</v>
      </c>
      <c r="P187" s="19">
        <f t="shared" si="22"/>
        <v>25.21</v>
      </c>
      <c r="R187" s="25">
        <f t="shared" si="23"/>
        <v>41</v>
      </c>
      <c r="S187">
        <f t="shared" si="24"/>
        <v>1.5942028985507246</v>
      </c>
      <c r="T187">
        <v>107</v>
      </c>
      <c r="U187">
        <v>104</v>
      </c>
    </row>
    <row r="188" spans="1:21" x14ac:dyDescent="0.25">
      <c r="A188" s="13">
        <v>94</v>
      </c>
      <c r="B188" s="21">
        <v>46013</v>
      </c>
      <c r="C188">
        <v>157</v>
      </c>
      <c r="D188">
        <v>99</v>
      </c>
      <c r="E188">
        <v>60</v>
      </c>
      <c r="F188">
        <v>126</v>
      </c>
      <c r="G188">
        <v>61</v>
      </c>
      <c r="H188">
        <v>98</v>
      </c>
      <c r="I188">
        <v>69</v>
      </c>
      <c r="J188">
        <v>138</v>
      </c>
      <c r="K188">
        <v>75</v>
      </c>
      <c r="L188">
        <v>96</v>
      </c>
      <c r="M188">
        <v>88</v>
      </c>
      <c r="N188">
        <v>90</v>
      </c>
      <c r="O188" s="19">
        <f t="shared" si="19"/>
        <v>97</v>
      </c>
      <c r="P188" s="19">
        <f t="shared" si="22"/>
        <v>27.42</v>
      </c>
      <c r="R188" s="25">
        <f t="shared" si="23"/>
        <v>3</v>
      </c>
      <c r="S188">
        <f t="shared" si="24"/>
        <v>1.0319148936170213</v>
      </c>
      <c r="T188">
        <v>110</v>
      </c>
      <c r="U188">
        <v>84</v>
      </c>
    </row>
    <row r="189" spans="1:21" x14ac:dyDescent="0.25">
      <c r="A189" s="13">
        <v>76</v>
      </c>
      <c r="B189" s="21">
        <v>46014</v>
      </c>
      <c r="C189">
        <v>116</v>
      </c>
      <c r="D189">
        <v>91</v>
      </c>
      <c r="E189">
        <v>74</v>
      </c>
      <c r="F189">
        <v>94</v>
      </c>
      <c r="G189">
        <v>57</v>
      </c>
      <c r="H189">
        <v>92</v>
      </c>
      <c r="I189">
        <v>51</v>
      </c>
      <c r="J189">
        <v>116</v>
      </c>
      <c r="K189">
        <v>121</v>
      </c>
      <c r="L189">
        <v>89</v>
      </c>
      <c r="M189">
        <v>93</v>
      </c>
      <c r="N189">
        <v>92</v>
      </c>
      <c r="O189" s="19">
        <f t="shared" si="19"/>
        <v>90</v>
      </c>
      <c r="P189" s="19">
        <f t="shared" si="22"/>
        <v>19.77</v>
      </c>
      <c r="R189" s="25">
        <f t="shared" si="23"/>
        <v>14</v>
      </c>
      <c r="S189">
        <f t="shared" si="24"/>
        <v>1.1842105263157894</v>
      </c>
      <c r="T189">
        <v>96</v>
      </c>
      <c r="U189">
        <v>75</v>
      </c>
    </row>
    <row r="190" spans="1:21" x14ac:dyDescent="0.25">
      <c r="A190" s="13">
        <v>137</v>
      </c>
      <c r="B190" s="21">
        <v>46015</v>
      </c>
      <c r="C190">
        <v>105</v>
      </c>
      <c r="D190">
        <v>155</v>
      </c>
      <c r="E190">
        <v>87</v>
      </c>
      <c r="F190">
        <v>100</v>
      </c>
      <c r="G190">
        <v>76</v>
      </c>
      <c r="H190">
        <v>76</v>
      </c>
      <c r="I190">
        <v>72</v>
      </c>
      <c r="J190">
        <v>92</v>
      </c>
      <c r="K190">
        <v>112</v>
      </c>
      <c r="L190">
        <v>162</v>
      </c>
      <c r="M190">
        <v>151</v>
      </c>
      <c r="N190">
        <v>130</v>
      </c>
      <c r="O190" s="19">
        <f t="shared" si="19"/>
        <v>108</v>
      </c>
      <c r="P190" s="19">
        <f t="shared" si="22"/>
        <v>29.73</v>
      </c>
      <c r="R190" s="25">
        <f t="shared" si="23"/>
        <v>-29</v>
      </c>
      <c r="S190">
        <f t="shared" si="24"/>
        <v>0.78832116788321172</v>
      </c>
      <c r="T190">
        <v>109</v>
      </c>
      <c r="U190">
        <v>80</v>
      </c>
    </row>
    <row r="191" spans="1:21" x14ac:dyDescent="0.25">
      <c r="A191" s="13">
        <v>0</v>
      </c>
      <c r="B191" s="21">
        <v>46016</v>
      </c>
      <c r="C191">
        <v>37</v>
      </c>
      <c r="D191">
        <v>21</v>
      </c>
      <c r="E191">
        <v>30</v>
      </c>
      <c r="F191">
        <v>54</v>
      </c>
      <c r="G191">
        <v>19</v>
      </c>
      <c r="H191">
        <v>74</v>
      </c>
      <c r="I191">
        <v>52</v>
      </c>
      <c r="J191">
        <v>92</v>
      </c>
      <c r="K191">
        <v>56</v>
      </c>
      <c r="L191">
        <v>15</v>
      </c>
      <c r="M191">
        <v>30</v>
      </c>
      <c r="N191">
        <v>14</v>
      </c>
      <c r="O191" s="19">
        <f t="shared" si="19"/>
        <v>41</v>
      </c>
      <c r="P191" s="19">
        <f t="shared" si="22"/>
        <v>22.51</v>
      </c>
      <c r="R191" s="25">
        <f t="shared" si="23"/>
        <v>41</v>
      </c>
      <c r="S191" t="e">
        <f t="shared" si="24"/>
        <v>#DIV/0!</v>
      </c>
      <c r="T191">
        <v>56</v>
      </c>
      <c r="U191">
        <v>30</v>
      </c>
    </row>
    <row r="192" spans="1:21" x14ac:dyDescent="0.25">
      <c r="A192" s="13">
        <v>138</v>
      </c>
      <c r="B192" s="21">
        <v>46017</v>
      </c>
      <c r="C192">
        <v>86</v>
      </c>
      <c r="D192">
        <v>78</v>
      </c>
      <c r="E192">
        <v>131</v>
      </c>
      <c r="F192">
        <v>136</v>
      </c>
      <c r="G192">
        <v>43</v>
      </c>
      <c r="H192">
        <v>143</v>
      </c>
      <c r="I192">
        <v>184</v>
      </c>
      <c r="J192">
        <v>176</v>
      </c>
      <c r="K192">
        <v>97</v>
      </c>
      <c r="L192">
        <v>87</v>
      </c>
      <c r="M192">
        <v>95</v>
      </c>
      <c r="N192">
        <v>81</v>
      </c>
      <c r="O192" s="19">
        <f t="shared" si="19"/>
        <v>111</v>
      </c>
      <c r="P192" s="19">
        <f t="shared" si="22"/>
        <v>38.450000000000003</v>
      </c>
      <c r="R192" s="25">
        <f t="shared" si="23"/>
        <v>-27</v>
      </c>
      <c r="S192">
        <f t="shared" si="24"/>
        <v>0.80434782608695654</v>
      </c>
      <c r="T192">
        <v>127</v>
      </c>
      <c r="U192">
        <v>87</v>
      </c>
    </row>
    <row r="193" spans="1:21" x14ac:dyDescent="0.25">
      <c r="A193" s="13">
        <v>152</v>
      </c>
      <c r="B193" s="21">
        <v>46018</v>
      </c>
      <c r="C193">
        <v>201</v>
      </c>
      <c r="D193">
        <v>193</v>
      </c>
      <c r="E193">
        <v>215</v>
      </c>
      <c r="F193">
        <v>212</v>
      </c>
      <c r="G193">
        <v>87</v>
      </c>
      <c r="H193">
        <v>202</v>
      </c>
      <c r="I193">
        <v>233</v>
      </c>
      <c r="J193">
        <v>223</v>
      </c>
      <c r="K193">
        <v>235</v>
      </c>
      <c r="L193">
        <v>200</v>
      </c>
      <c r="M193">
        <v>203</v>
      </c>
      <c r="N193">
        <v>196</v>
      </c>
      <c r="O193" s="19">
        <f t="shared" si="19"/>
        <v>198</v>
      </c>
      <c r="P193" s="19">
        <f>ROUND(_xlfn.STDEV.P(C193:N193,T193,U193),2)</f>
        <v>35.15</v>
      </c>
      <c r="R193" s="25">
        <f t="shared" si="23"/>
        <v>46</v>
      </c>
      <c r="S193">
        <f t="shared" si="24"/>
        <v>1.3026315789473684</v>
      </c>
      <c r="T193">
        <v>208</v>
      </c>
      <c r="U193">
        <v>165</v>
      </c>
    </row>
    <row r="194" spans="1:21" x14ac:dyDescent="0.25">
      <c r="A194" s="13">
        <v>78</v>
      </c>
      <c r="B194" s="21">
        <v>46019</v>
      </c>
      <c r="C194">
        <v>64</v>
      </c>
      <c r="D194">
        <v>75</v>
      </c>
      <c r="E194">
        <v>61</v>
      </c>
      <c r="F194">
        <v>90</v>
      </c>
      <c r="G194">
        <v>46</v>
      </c>
      <c r="H194">
        <v>84</v>
      </c>
      <c r="I194">
        <v>63</v>
      </c>
      <c r="J194">
        <v>95</v>
      </c>
      <c r="K194">
        <v>65</v>
      </c>
      <c r="L194">
        <v>66</v>
      </c>
      <c r="M194">
        <v>71</v>
      </c>
      <c r="N194">
        <v>74</v>
      </c>
      <c r="O194" s="19">
        <f>ROUND(AVERAGE(C194:N194,T194,U194),0)</f>
        <v>71</v>
      </c>
      <c r="P194" s="19">
        <f t="shared" si="22"/>
        <v>12.74</v>
      </c>
      <c r="R194" s="25">
        <f t="shared" si="23"/>
        <v>-7</v>
      </c>
      <c r="S194">
        <f t="shared" si="24"/>
        <v>0.91025641025641024</v>
      </c>
      <c r="T194">
        <v>82</v>
      </c>
      <c r="U194">
        <v>60</v>
      </c>
    </row>
    <row r="195" spans="1:21" x14ac:dyDescent="0.25">
      <c r="A195" s="13">
        <v>49</v>
      </c>
      <c r="B195" s="21">
        <v>46020</v>
      </c>
      <c r="C195">
        <v>139</v>
      </c>
      <c r="D195">
        <v>112</v>
      </c>
      <c r="E195">
        <v>87</v>
      </c>
      <c r="F195">
        <v>114</v>
      </c>
      <c r="G195">
        <v>59</v>
      </c>
      <c r="H195">
        <v>103</v>
      </c>
      <c r="I195">
        <v>60</v>
      </c>
      <c r="J195">
        <v>136</v>
      </c>
      <c r="K195">
        <v>121</v>
      </c>
      <c r="L195">
        <v>103</v>
      </c>
      <c r="M195">
        <v>108</v>
      </c>
      <c r="N195">
        <v>107</v>
      </c>
      <c r="O195" s="19">
        <f t="shared" si="19"/>
        <v>104</v>
      </c>
      <c r="P195" s="19">
        <f t="shared" si="22"/>
        <v>22.48</v>
      </c>
      <c r="R195" s="25">
        <f t="shared" si="23"/>
        <v>55</v>
      </c>
      <c r="S195">
        <f t="shared" si="24"/>
        <v>2.1224489795918369</v>
      </c>
      <c r="T195">
        <v>108</v>
      </c>
      <c r="U195">
        <v>95</v>
      </c>
    </row>
    <row r="196" spans="1:21" x14ac:dyDescent="0.25">
      <c r="A196" s="13">
        <v>70</v>
      </c>
      <c r="B196" s="21">
        <v>46021</v>
      </c>
      <c r="C196">
        <v>76</v>
      </c>
      <c r="D196">
        <v>81</v>
      </c>
      <c r="E196">
        <v>54</v>
      </c>
      <c r="F196">
        <v>100</v>
      </c>
      <c r="G196">
        <v>53</v>
      </c>
      <c r="H196">
        <v>107</v>
      </c>
      <c r="I196">
        <v>72</v>
      </c>
      <c r="J196">
        <v>111</v>
      </c>
      <c r="K196">
        <v>83</v>
      </c>
      <c r="L196">
        <v>88</v>
      </c>
      <c r="M196">
        <v>77</v>
      </c>
      <c r="N196">
        <v>86</v>
      </c>
      <c r="O196" s="19">
        <f t="shared" si="19"/>
        <v>82</v>
      </c>
      <c r="P196" s="19">
        <f t="shared" si="22"/>
        <v>17.28</v>
      </c>
      <c r="R196" s="25">
        <f t="shared" si="23"/>
        <v>12</v>
      </c>
      <c r="S196">
        <f t="shared" si="24"/>
        <v>1.1714285714285715</v>
      </c>
      <c r="T196">
        <v>97</v>
      </c>
      <c r="U196">
        <v>64</v>
      </c>
    </row>
    <row r="197" spans="1:21" x14ac:dyDescent="0.25">
      <c r="A197" s="13">
        <v>199</v>
      </c>
      <c r="B197" s="21">
        <v>46022</v>
      </c>
      <c r="C197">
        <v>116</v>
      </c>
      <c r="D197">
        <v>194</v>
      </c>
      <c r="E197">
        <v>110</v>
      </c>
      <c r="F197">
        <v>134</v>
      </c>
      <c r="G197">
        <v>83</v>
      </c>
      <c r="H197">
        <v>99</v>
      </c>
      <c r="I197">
        <v>78</v>
      </c>
      <c r="J197">
        <v>117</v>
      </c>
      <c r="K197">
        <v>164</v>
      </c>
      <c r="L197">
        <v>208</v>
      </c>
      <c r="M197">
        <v>202</v>
      </c>
      <c r="N197">
        <v>180</v>
      </c>
      <c r="O197" s="19">
        <f t="shared" si="19"/>
        <v>136</v>
      </c>
      <c r="P197" s="19">
        <f t="shared" si="22"/>
        <v>44.17</v>
      </c>
      <c r="R197" s="25">
        <f t="shared" si="23"/>
        <v>-63</v>
      </c>
      <c r="S197">
        <f t="shared" si="24"/>
        <v>0.68341708542713564</v>
      </c>
      <c r="T197">
        <v>139</v>
      </c>
      <c r="U197">
        <v>84</v>
      </c>
    </row>
    <row r="198" spans="1:21" x14ac:dyDescent="0.25">
      <c r="A198" s="13">
        <v>0</v>
      </c>
      <c r="B198" s="21">
        <v>46023</v>
      </c>
      <c r="C198">
        <v>67</v>
      </c>
      <c r="D198">
        <v>57</v>
      </c>
      <c r="E198">
        <v>60</v>
      </c>
      <c r="F198">
        <v>67</v>
      </c>
      <c r="G198">
        <v>37</v>
      </c>
      <c r="H198">
        <v>82</v>
      </c>
      <c r="I198">
        <v>97</v>
      </c>
      <c r="J198">
        <v>74</v>
      </c>
      <c r="K198">
        <v>66</v>
      </c>
      <c r="L198">
        <v>68</v>
      </c>
      <c r="M198">
        <v>68</v>
      </c>
      <c r="N198">
        <v>67</v>
      </c>
      <c r="O198" s="19">
        <f t="shared" ref="O198:O261" si="25">ROUND(AVERAGE(C198:N198,T198,U198),0)</f>
        <v>67</v>
      </c>
      <c r="P198" s="19">
        <f t="shared" ref="P198:P261" si="26">ROUND(_xlfn.STDEV.P(C198:N198,T198,U198),2)</f>
        <v>13.44</v>
      </c>
      <c r="R198" s="25">
        <f t="shared" si="23"/>
        <v>67</v>
      </c>
      <c r="S198">
        <f>O198/(A198+1)</f>
        <v>67</v>
      </c>
      <c r="T198">
        <v>50</v>
      </c>
      <c r="U198">
        <v>71</v>
      </c>
    </row>
    <row r="199" spans="1:21" x14ac:dyDescent="0.25">
      <c r="A199" s="13">
        <v>113</v>
      </c>
      <c r="B199" s="21">
        <v>46024</v>
      </c>
      <c r="C199">
        <v>118</v>
      </c>
      <c r="D199">
        <v>126</v>
      </c>
      <c r="E199">
        <v>91</v>
      </c>
      <c r="F199">
        <v>119</v>
      </c>
      <c r="G199">
        <v>66</v>
      </c>
      <c r="H199">
        <v>132</v>
      </c>
      <c r="I199">
        <v>150</v>
      </c>
      <c r="J199">
        <v>135</v>
      </c>
      <c r="K199">
        <v>151</v>
      </c>
      <c r="L199">
        <v>115</v>
      </c>
      <c r="M199">
        <v>132</v>
      </c>
      <c r="N199">
        <v>113</v>
      </c>
      <c r="O199" s="19">
        <f t="shared" si="25"/>
        <v>120</v>
      </c>
      <c r="P199" s="19">
        <f t="shared" si="26"/>
        <v>21.18</v>
      </c>
      <c r="R199" s="25">
        <f t="shared" si="23"/>
        <v>7</v>
      </c>
      <c r="S199">
        <f t="shared" si="24"/>
        <v>1.0619469026548674</v>
      </c>
      <c r="T199">
        <v>116</v>
      </c>
      <c r="U199">
        <v>116</v>
      </c>
    </row>
    <row r="200" spans="1:21" x14ac:dyDescent="0.25">
      <c r="A200" s="13">
        <v>110</v>
      </c>
      <c r="B200" s="21">
        <v>46025</v>
      </c>
      <c r="C200">
        <v>164</v>
      </c>
      <c r="D200">
        <v>163</v>
      </c>
      <c r="E200">
        <v>129</v>
      </c>
      <c r="F200">
        <v>145</v>
      </c>
      <c r="G200">
        <v>67</v>
      </c>
      <c r="H200">
        <v>136</v>
      </c>
      <c r="I200">
        <v>201</v>
      </c>
      <c r="J200">
        <v>156</v>
      </c>
      <c r="K200">
        <v>185</v>
      </c>
      <c r="L200">
        <v>157</v>
      </c>
      <c r="M200">
        <v>186</v>
      </c>
      <c r="N200">
        <v>159</v>
      </c>
      <c r="O200" s="19">
        <f t="shared" si="25"/>
        <v>154</v>
      </c>
      <c r="P200" s="19">
        <f t="shared" si="26"/>
        <v>30.74</v>
      </c>
      <c r="R200" s="25">
        <f t="shared" si="23"/>
        <v>44</v>
      </c>
      <c r="S200">
        <f>O200/A200</f>
        <v>1.4</v>
      </c>
      <c r="T200">
        <v>161</v>
      </c>
      <c r="U200">
        <v>141</v>
      </c>
    </row>
    <row r="201" spans="1:21" x14ac:dyDescent="0.25">
      <c r="A201" s="13">
        <v>41</v>
      </c>
      <c r="B201" s="21">
        <v>46026</v>
      </c>
      <c r="C201">
        <v>37</v>
      </c>
      <c r="D201">
        <v>39</v>
      </c>
      <c r="E201">
        <v>47</v>
      </c>
      <c r="F201">
        <v>29</v>
      </c>
      <c r="G201">
        <v>35</v>
      </c>
      <c r="H201">
        <v>13</v>
      </c>
      <c r="I201">
        <v>51</v>
      </c>
      <c r="J201">
        <v>19</v>
      </c>
      <c r="K201">
        <v>35</v>
      </c>
      <c r="L201">
        <v>39</v>
      </c>
      <c r="M201">
        <v>38</v>
      </c>
      <c r="N201">
        <v>42</v>
      </c>
      <c r="O201" s="19">
        <f t="shared" si="25"/>
        <v>36</v>
      </c>
      <c r="P201" s="19">
        <f t="shared" si="26"/>
        <v>9.83</v>
      </c>
      <c r="R201" s="25">
        <f>O201-A201</f>
        <v>-5</v>
      </c>
      <c r="S201">
        <f t="shared" si="24"/>
        <v>0.87804878048780488</v>
      </c>
      <c r="T201">
        <v>44</v>
      </c>
      <c r="U201">
        <v>32</v>
      </c>
    </row>
    <row r="202" spans="1:21" x14ac:dyDescent="0.25">
      <c r="A202" s="13">
        <v>13</v>
      </c>
      <c r="B202" s="21">
        <v>46027</v>
      </c>
      <c r="C202">
        <v>39</v>
      </c>
      <c r="D202">
        <v>40</v>
      </c>
      <c r="E202">
        <v>43</v>
      </c>
      <c r="F202">
        <v>30</v>
      </c>
      <c r="G202">
        <v>35</v>
      </c>
      <c r="H202">
        <v>13</v>
      </c>
      <c r="I202">
        <v>51</v>
      </c>
      <c r="J202">
        <v>17</v>
      </c>
      <c r="K202">
        <v>31</v>
      </c>
      <c r="L202">
        <v>38</v>
      </c>
      <c r="M202">
        <v>33</v>
      </c>
      <c r="N202">
        <v>34</v>
      </c>
      <c r="O202" s="19">
        <f t="shared" si="25"/>
        <v>34</v>
      </c>
      <c r="P202" s="19">
        <f t="shared" si="26"/>
        <v>9.76</v>
      </c>
      <c r="R202" s="25">
        <f t="shared" si="23"/>
        <v>21</v>
      </c>
      <c r="S202">
        <f t="shared" si="24"/>
        <v>2.6153846153846154</v>
      </c>
      <c r="T202">
        <v>45</v>
      </c>
      <c r="U202">
        <v>31</v>
      </c>
    </row>
    <row r="203" spans="1:21" x14ac:dyDescent="0.25">
      <c r="A203" s="13">
        <v>18</v>
      </c>
      <c r="B203" s="21">
        <v>46028</v>
      </c>
      <c r="C203">
        <v>38</v>
      </c>
      <c r="D203">
        <v>42</v>
      </c>
      <c r="E203">
        <v>49</v>
      </c>
      <c r="F203">
        <v>32</v>
      </c>
      <c r="G203">
        <v>36</v>
      </c>
      <c r="H203">
        <v>19</v>
      </c>
      <c r="I203">
        <v>52</v>
      </c>
      <c r="J203">
        <v>19</v>
      </c>
      <c r="K203">
        <v>33</v>
      </c>
      <c r="L203">
        <v>44</v>
      </c>
      <c r="M203">
        <v>25</v>
      </c>
      <c r="N203">
        <v>40</v>
      </c>
      <c r="O203" s="19">
        <f t="shared" si="25"/>
        <v>37</v>
      </c>
      <c r="P203" s="19">
        <f t="shared" si="26"/>
        <v>9.8800000000000008</v>
      </c>
      <c r="R203" s="25">
        <f t="shared" si="23"/>
        <v>19</v>
      </c>
      <c r="S203">
        <f t="shared" si="24"/>
        <v>2.0555555555555554</v>
      </c>
      <c r="T203">
        <v>46</v>
      </c>
      <c r="U203">
        <v>36</v>
      </c>
    </row>
    <row r="204" spans="1:21" x14ac:dyDescent="0.25">
      <c r="A204" s="13">
        <v>28</v>
      </c>
      <c r="B204" s="21">
        <v>46029</v>
      </c>
      <c r="C204">
        <v>39</v>
      </c>
      <c r="D204">
        <v>31</v>
      </c>
      <c r="E204">
        <v>45</v>
      </c>
      <c r="F204">
        <v>57</v>
      </c>
      <c r="G204">
        <v>42</v>
      </c>
      <c r="H204">
        <v>68</v>
      </c>
      <c r="I204">
        <v>53</v>
      </c>
      <c r="J204">
        <v>66</v>
      </c>
      <c r="K204">
        <v>47</v>
      </c>
      <c r="L204">
        <v>41</v>
      </c>
      <c r="M204">
        <v>54</v>
      </c>
      <c r="N204">
        <v>37</v>
      </c>
      <c r="O204" s="19">
        <f t="shared" si="25"/>
        <v>48</v>
      </c>
      <c r="P204" s="19">
        <f t="shared" si="26"/>
        <v>10.210000000000001</v>
      </c>
      <c r="R204" s="25">
        <f t="shared" ref="R204:R213" si="27">O204-A204</f>
        <v>20</v>
      </c>
      <c r="S204">
        <f t="shared" ref="S204:S213" si="28">O204/A204</f>
        <v>1.7142857142857142</v>
      </c>
      <c r="T204">
        <v>46</v>
      </c>
      <c r="U204">
        <v>46</v>
      </c>
    </row>
    <row r="205" spans="1:21" x14ac:dyDescent="0.25">
      <c r="A205" s="13">
        <v>46</v>
      </c>
      <c r="B205" s="21">
        <v>46030</v>
      </c>
      <c r="C205">
        <v>96</v>
      </c>
      <c r="D205">
        <v>89</v>
      </c>
      <c r="E205">
        <v>87</v>
      </c>
      <c r="F205">
        <v>55</v>
      </c>
      <c r="G205">
        <v>38</v>
      </c>
      <c r="H205">
        <v>15</v>
      </c>
      <c r="I205">
        <v>66</v>
      </c>
      <c r="J205">
        <v>43</v>
      </c>
      <c r="K205">
        <v>131</v>
      </c>
      <c r="L205">
        <v>79</v>
      </c>
      <c r="M205">
        <v>125</v>
      </c>
      <c r="N205">
        <v>88</v>
      </c>
      <c r="O205" s="19">
        <f t="shared" si="25"/>
        <v>76</v>
      </c>
      <c r="P205" s="19">
        <f t="shared" si="26"/>
        <v>30.63</v>
      </c>
      <c r="R205" s="25">
        <f t="shared" si="27"/>
        <v>30</v>
      </c>
      <c r="S205">
        <f t="shared" si="28"/>
        <v>1.6521739130434783</v>
      </c>
      <c r="T205">
        <v>83</v>
      </c>
      <c r="U205">
        <v>71</v>
      </c>
    </row>
    <row r="206" spans="1:21" x14ac:dyDescent="0.25">
      <c r="A206" s="13">
        <v>113</v>
      </c>
      <c r="B206" s="21">
        <v>46031</v>
      </c>
      <c r="C206">
        <v>116</v>
      </c>
      <c r="D206">
        <v>137</v>
      </c>
      <c r="E206">
        <v>87</v>
      </c>
      <c r="F206">
        <v>103</v>
      </c>
      <c r="G206">
        <v>110</v>
      </c>
      <c r="H206">
        <v>99</v>
      </c>
      <c r="I206">
        <v>145</v>
      </c>
      <c r="J206">
        <v>112</v>
      </c>
      <c r="K206">
        <v>131</v>
      </c>
      <c r="L206">
        <v>117</v>
      </c>
      <c r="M206">
        <v>119</v>
      </c>
      <c r="N206">
        <v>111</v>
      </c>
      <c r="O206" s="19">
        <f t="shared" si="25"/>
        <v>116</v>
      </c>
      <c r="P206" s="19">
        <f t="shared" si="26"/>
        <v>14.69</v>
      </c>
      <c r="R206" s="25">
        <f t="shared" si="27"/>
        <v>3</v>
      </c>
      <c r="S206">
        <f t="shared" si="28"/>
        <v>1.0265486725663717</v>
      </c>
      <c r="T206">
        <v>124</v>
      </c>
      <c r="U206">
        <v>108</v>
      </c>
    </row>
    <row r="207" spans="1:21" x14ac:dyDescent="0.25">
      <c r="A207" s="13">
        <v>66</v>
      </c>
      <c r="B207" s="21">
        <v>46032</v>
      </c>
      <c r="C207">
        <v>138</v>
      </c>
      <c r="D207">
        <v>133</v>
      </c>
      <c r="E207">
        <v>118</v>
      </c>
      <c r="F207">
        <v>123</v>
      </c>
      <c r="G207">
        <v>69</v>
      </c>
      <c r="H207">
        <v>101</v>
      </c>
      <c r="I207">
        <v>176</v>
      </c>
      <c r="J207">
        <v>131</v>
      </c>
      <c r="K207">
        <v>134</v>
      </c>
      <c r="L207">
        <v>109</v>
      </c>
      <c r="M207">
        <v>103</v>
      </c>
      <c r="N207">
        <v>140</v>
      </c>
      <c r="O207" s="19">
        <f t="shared" si="25"/>
        <v>125</v>
      </c>
      <c r="P207" s="19">
        <f t="shared" si="26"/>
        <v>24.44</v>
      </c>
      <c r="R207" s="25">
        <f t="shared" si="27"/>
        <v>59</v>
      </c>
      <c r="S207">
        <f t="shared" si="28"/>
        <v>1.893939393939394</v>
      </c>
      <c r="T207">
        <v>151</v>
      </c>
      <c r="U207">
        <v>123</v>
      </c>
    </row>
    <row r="208" spans="1:21" x14ac:dyDescent="0.25">
      <c r="A208" s="13">
        <v>50</v>
      </c>
      <c r="B208" s="21">
        <v>46033</v>
      </c>
      <c r="C208">
        <v>42</v>
      </c>
      <c r="D208">
        <v>41</v>
      </c>
      <c r="E208">
        <v>50</v>
      </c>
      <c r="F208">
        <v>28</v>
      </c>
      <c r="G208">
        <v>35</v>
      </c>
      <c r="H208">
        <v>12</v>
      </c>
      <c r="I208">
        <v>53</v>
      </c>
      <c r="J208">
        <v>21</v>
      </c>
      <c r="K208">
        <v>58</v>
      </c>
      <c r="L208">
        <v>37</v>
      </c>
      <c r="M208">
        <v>67</v>
      </c>
      <c r="N208">
        <v>46</v>
      </c>
      <c r="O208" s="19">
        <f t="shared" si="25"/>
        <v>41</v>
      </c>
      <c r="P208" s="19">
        <f t="shared" si="26"/>
        <v>13.99</v>
      </c>
      <c r="R208" s="25">
        <f t="shared" si="27"/>
        <v>-9</v>
      </c>
      <c r="S208">
        <f t="shared" si="28"/>
        <v>0.82</v>
      </c>
      <c r="T208">
        <v>45</v>
      </c>
      <c r="U208">
        <v>34</v>
      </c>
    </row>
    <row r="209" spans="1:21" x14ac:dyDescent="0.25">
      <c r="A209" s="13">
        <v>20</v>
      </c>
      <c r="B209" s="21">
        <v>46034</v>
      </c>
      <c r="C209">
        <v>38</v>
      </c>
      <c r="D209">
        <v>40</v>
      </c>
      <c r="E209">
        <v>42</v>
      </c>
      <c r="F209">
        <v>30</v>
      </c>
      <c r="G209">
        <v>35</v>
      </c>
      <c r="H209">
        <v>40</v>
      </c>
      <c r="I209">
        <v>51</v>
      </c>
      <c r="J209">
        <v>20</v>
      </c>
      <c r="K209">
        <v>34</v>
      </c>
      <c r="L209">
        <v>39</v>
      </c>
      <c r="M209">
        <v>25</v>
      </c>
      <c r="N209">
        <v>38</v>
      </c>
      <c r="O209" s="19">
        <f t="shared" si="25"/>
        <v>36</v>
      </c>
      <c r="P209" s="19">
        <f t="shared" si="26"/>
        <v>7.38</v>
      </c>
      <c r="R209" s="25">
        <f t="shared" si="27"/>
        <v>16</v>
      </c>
      <c r="S209">
        <f t="shared" si="28"/>
        <v>1.8</v>
      </c>
      <c r="T209">
        <v>41</v>
      </c>
      <c r="U209">
        <v>33</v>
      </c>
    </row>
    <row r="210" spans="1:21" x14ac:dyDescent="0.25">
      <c r="A210" s="13">
        <v>20</v>
      </c>
      <c r="B210" s="21">
        <v>46035</v>
      </c>
      <c r="C210">
        <v>44</v>
      </c>
      <c r="D210">
        <v>43</v>
      </c>
      <c r="E210">
        <v>47</v>
      </c>
      <c r="F210">
        <v>35</v>
      </c>
      <c r="G210">
        <v>36</v>
      </c>
      <c r="H210">
        <v>39</v>
      </c>
      <c r="I210">
        <v>53</v>
      </c>
      <c r="J210">
        <v>37</v>
      </c>
      <c r="K210">
        <v>41</v>
      </c>
      <c r="L210">
        <v>44</v>
      </c>
      <c r="M210">
        <v>39</v>
      </c>
      <c r="N210">
        <v>41</v>
      </c>
      <c r="O210" s="19">
        <f t="shared" si="25"/>
        <v>42</v>
      </c>
      <c r="P210" s="19">
        <f t="shared" si="26"/>
        <v>5.13</v>
      </c>
      <c r="R210" s="25">
        <f t="shared" si="27"/>
        <v>22</v>
      </c>
      <c r="S210">
        <f t="shared" si="28"/>
        <v>2.1</v>
      </c>
      <c r="T210">
        <v>49</v>
      </c>
      <c r="U210">
        <v>36</v>
      </c>
    </row>
    <row r="211" spans="1:21" x14ac:dyDescent="0.25">
      <c r="A211">
        <v>35</v>
      </c>
      <c r="B211" s="21">
        <v>46036</v>
      </c>
      <c r="C211">
        <v>45</v>
      </c>
      <c r="D211">
        <v>36</v>
      </c>
      <c r="E211">
        <v>54</v>
      </c>
      <c r="F211">
        <v>77</v>
      </c>
      <c r="G211">
        <v>36</v>
      </c>
      <c r="H211">
        <v>32</v>
      </c>
      <c r="I211">
        <v>50</v>
      </c>
      <c r="J211">
        <v>88</v>
      </c>
      <c r="K211">
        <v>32</v>
      </c>
      <c r="L211">
        <v>41</v>
      </c>
      <c r="M211">
        <v>42</v>
      </c>
      <c r="N211">
        <v>35</v>
      </c>
      <c r="O211" s="19">
        <f t="shared" si="25"/>
        <v>48</v>
      </c>
      <c r="P211" s="19">
        <f t="shared" si="26"/>
        <v>16.23</v>
      </c>
      <c r="R211" s="25">
        <f t="shared" si="27"/>
        <v>13</v>
      </c>
      <c r="S211">
        <f t="shared" si="28"/>
        <v>1.3714285714285714</v>
      </c>
      <c r="T211">
        <v>49</v>
      </c>
      <c r="U211">
        <v>60</v>
      </c>
    </row>
    <row r="212" spans="1:21" x14ac:dyDescent="0.25">
      <c r="A212" s="13">
        <v>11</v>
      </c>
      <c r="B212" s="21">
        <v>46037</v>
      </c>
      <c r="C212">
        <v>73</v>
      </c>
      <c r="D212">
        <v>63</v>
      </c>
      <c r="E212">
        <v>69</v>
      </c>
      <c r="F212">
        <v>128</v>
      </c>
      <c r="G212">
        <v>114</v>
      </c>
      <c r="H212">
        <v>70</v>
      </c>
      <c r="I212">
        <v>85</v>
      </c>
      <c r="J212">
        <v>134</v>
      </c>
      <c r="K212">
        <v>44</v>
      </c>
      <c r="L212">
        <v>42</v>
      </c>
      <c r="M212">
        <v>57</v>
      </c>
      <c r="N212">
        <v>77</v>
      </c>
      <c r="O212" s="19">
        <f t="shared" si="25"/>
        <v>82</v>
      </c>
      <c r="P212" s="19">
        <f t="shared" si="26"/>
        <v>28.53</v>
      </c>
      <c r="R212" s="25">
        <f t="shared" si="27"/>
        <v>71</v>
      </c>
      <c r="S212">
        <f t="shared" si="28"/>
        <v>7.4545454545454541</v>
      </c>
      <c r="T212">
        <v>80</v>
      </c>
      <c r="U212">
        <v>115</v>
      </c>
    </row>
    <row r="213" spans="1:21" x14ac:dyDescent="0.25">
      <c r="A213" s="13">
        <v>81</v>
      </c>
      <c r="B213" s="21">
        <v>46038</v>
      </c>
      <c r="C213">
        <v>143</v>
      </c>
      <c r="D213">
        <v>146</v>
      </c>
      <c r="E213">
        <v>171</v>
      </c>
      <c r="F213">
        <v>182</v>
      </c>
      <c r="G213">
        <v>59</v>
      </c>
      <c r="H213">
        <v>149</v>
      </c>
      <c r="I213">
        <v>125</v>
      </c>
      <c r="J213">
        <v>134</v>
      </c>
      <c r="K213">
        <v>103</v>
      </c>
      <c r="L213">
        <v>106</v>
      </c>
      <c r="M213">
        <v>173</v>
      </c>
      <c r="N213">
        <v>134</v>
      </c>
      <c r="O213" s="19">
        <f t="shared" si="25"/>
        <v>139</v>
      </c>
      <c r="P213" s="19">
        <f t="shared" si="26"/>
        <v>32.82</v>
      </c>
      <c r="R213" s="25">
        <f t="shared" si="27"/>
        <v>58</v>
      </c>
      <c r="S213">
        <f t="shared" si="28"/>
        <v>1.7160493827160495</v>
      </c>
      <c r="T213">
        <v>137</v>
      </c>
      <c r="U213">
        <v>182</v>
      </c>
    </row>
    <row r="214" spans="1:21" x14ac:dyDescent="0.25">
      <c r="A214" s="13">
        <v>174</v>
      </c>
      <c r="B214" s="21">
        <v>46039</v>
      </c>
      <c r="C214">
        <v>153</v>
      </c>
      <c r="D214">
        <v>134</v>
      </c>
      <c r="E214">
        <v>134</v>
      </c>
      <c r="F214">
        <v>125</v>
      </c>
      <c r="G214">
        <v>120</v>
      </c>
      <c r="H214">
        <v>105</v>
      </c>
      <c r="I214">
        <v>131</v>
      </c>
      <c r="J214">
        <v>121</v>
      </c>
      <c r="K214">
        <v>161</v>
      </c>
      <c r="L214">
        <v>142</v>
      </c>
      <c r="M214">
        <v>148</v>
      </c>
      <c r="N214">
        <v>135</v>
      </c>
      <c r="O214" s="19">
        <f t="shared" si="25"/>
        <v>133</v>
      </c>
      <c r="P214" s="19">
        <f t="shared" si="26"/>
        <v>14.25</v>
      </c>
      <c r="R214" s="25">
        <f t="shared" ref="R214:R223" si="29">O214-A214</f>
        <v>-41</v>
      </c>
      <c r="S214">
        <f t="shared" ref="S214:S223" si="30">O214/A214</f>
        <v>0.76436781609195403</v>
      </c>
      <c r="T214">
        <v>125</v>
      </c>
      <c r="U214">
        <v>122</v>
      </c>
    </row>
    <row r="215" spans="1:21" x14ac:dyDescent="0.25">
      <c r="A215" s="13">
        <v>18</v>
      </c>
      <c r="B215" s="21">
        <v>46040</v>
      </c>
      <c r="C215">
        <v>50</v>
      </c>
      <c r="D215">
        <v>43</v>
      </c>
      <c r="E215">
        <v>51</v>
      </c>
      <c r="F215">
        <v>35</v>
      </c>
      <c r="G215">
        <v>43</v>
      </c>
      <c r="H215">
        <v>16</v>
      </c>
      <c r="I215">
        <v>59</v>
      </c>
      <c r="J215">
        <v>31</v>
      </c>
      <c r="K215">
        <v>47</v>
      </c>
      <c r="L215">
        <v>37</v>
      </c>
      <c r="M215">
        <v>59</v>
      </c>
      <c r="N215">
        <v>40</v>
      </c>
      <c r="O215" s="19">
        <f t="shared" si="25"/>
        <v>44</v>
      </c>
      <c r="P215" s="19">
        <f t="shared" si="26"/>
        <v>12.99</v>
      </c>
      <c r="R215" s="25">
        <f t="shared" si="29"/>
        <v>26</v>
      </c>
      <c r="S215">
        <f t="shared" si="30"/>
        <v>2.4444444444444446</v>
      </c>
      <c r="T215">
        <v>68</v>
      </c>
      <c r="U215">
        <v>32</v>
      </c>
    </row>
    <row r="216" spans="1:21" x14ac:dyDescent="0.25">
      <c r="A216" s="13">
        <v>16</v>
      </c>
      <c r="B216" s="21">
        <v>46041</v>
      </c>
      <c r="C216">
        <v>49</v>
      </c>
      <c r="D216">
        <v>32</v>
      </c>
      <c r="E216">
        <v>47</v>
      </c>
      <c r="F216">
        <v>34</v>
      </c>
      <c r="G216">
        <v>43</v>
      </c>
      <c r="H216">
        <v>12</v>
      </c>
      <c r="I216">
        <v>55</v>
      </c>
      <c r="J216">
        <v>16</v>
      </c>
      <c r="K216">
        <v>26</v>
      </c>
      <c r="L216">
        <v>27</v>
      </c>
      <c r="M216">
        <v>34</v>
      </c>
      <c r="N216">
        <v>28</v>
      </c>
      <c r="O216" s="19">
        <f t="shared" si="25"/>
        <v>34</v>
      </c>
      <c r="P216" s="19">
        <f t="shared" si="26"/>
        <v>12.85</v>
      </c>
      <c r="R216" s="25">
        <f t="shared" si="29"/>
        <v>18</v>
      </c>
      <c r="S216">
        <f t="shared" si="30"/>
        <v>2.125</v>
      </c>
      <c r="T216">
        <v>51</v>
      </c>
      <c r="U216">
        <v>22</v>
      </c>
    </row>
    <row r="217" spans="1:21" x14ac:dyDescent="0.25">
      <c r="A217" s="13">
        <v>23</v>
      </c>
      <c r="B217" s="21">
        <v>46042</v>
      </c>
      <c r="C217">
        <v>50</v>
      </c>
      <c r="D217">
        <v>44</v>
      </c>
      <c r="E217">
        <v>50</v>
      </c>
      <c r="F217">
        <v>47</v>
      </c>
      <c r="G217">
        <v>50</v>
      </c>
      <c r="H217">
        <v>21</v>
      </c>
      <c r="I217">
        <v>56</v>
      </c>
      <c r="J217">
        <v>34</v>
      </c>
      <c r="K217">
        <v>52</v>
      </c>
      <c r="L217">
        <v>46</v>
      </c>
      <c r="M217">
        <v>53</v>
      </c>
      <c r="N217">
        <v>44</v>
      </c>
      <c r="O217" s="19">
        <f t="shared" si="25"/>
        <v>45</v>
      </c>
      <c r="P217" s="19">
        <f t="shared" si="26"/>
        <v>9.18</v>
      </c>
      <c r="R217" s="25">
        <f t="shared" si="29"/>
        <v>22</v>
      </c>
      <c r="S217">
        <f t="shared" si="30"/>
        <v>1.9565217391304348</v>
      </c>
      <c r="T217">
        <v>45</v>
      </c>
      <c r="U217">
        <v>32</v>
      </c>
    </row>
    <row r="218" spans="1:21" x14ac:dyDescent="0.25">
      <c r="A218" s="13">
        <v>103</v>
      </c>
      <c r="B218" s="21">
        <v>46043</v>
      </c>
      <c r="C218">
        <v>51</v>
      </c>
      <c r="D218">
        <v>44</v>
      </c>
      <c r="E218">
        <v>49</v>
      </c>
      <c r="F218">
        <v>31</v>
      </c>
      <c r="G218">
        <v>52</v>
      </c>
      <c r="H218">
        <v>15</v>
      </c>
      <c r="I218">
        <v>57</v>
      </c>
      <c r="J218">
        <v>35</v>
      </c>
      <c r="K218">
        <v>56</v>
      </c>
      <c r="L218">
        <v>42</v>
      </c>
      <c r="M218">
        <v>51</v>
      </c>
      <c r="N218">
        <v>44</v>
      </c>
      <c r="O218" s="19">
        <f t="shared" si="25"/>
        <v>43</v>
      </c>
      <c r="P218" s="19">
        <f t="shared" si="26"/>
        <v>10.95</v>
      </c>
      <c r="R218" s="25">
        <f t="shared" si="29"/>
        <v>-60</v>
      </c>
      <c r="S218">
        <f t="shared" si="30"/>
        <v>0.41747572815533979</v>
      </c>
      <c r="T218">
        <v>40</v>
      </c>
      <c r="U218">
        <v>35</v>
      </c>
    </row>
    <row r="219" spans="1:21" x14ac:dyDescent="0.25">
      <c r="A219" s="13">
        <v>43</v>
      </c>
      <c r="B219" s="21">
        <v>46044</v>
      </c>
      <c r="C219">
        <v>52</v>
      </c>
      <c r="D219">
        <v>47</v>
      </c>
      <c r="E219">
        <v>51</v>
      </c>
      <c r="F219">
        <v>58</v>
      </c>
      <c r="G219">
        <v>52</v>
      </c>
      <c r="H219">
        <v>40</v>
      </c>
      <c r="I219">
        <v>71</v>
      </c>
      <c r="J219">
        <v>46</v>
      </c>
      <c r="K219">
        <v>56</v>
      </c>
      <c r="L219">
        <v>48</v>
      </c>
      <c r="M219">
        <v>58</v>
      </c>
      <c r="N219">
        <v>49</v>
      </c>
      <c r="O219" s="19">
        <f t="shared" si="25"/>
        <v>51</v>
      </c>
      <c r="P219" s="19">
        <f t="shared" si="26"/>
        <v>7.5</v>
      </c>
      <c r="R219" s="25">
        <f t="shared" si="29"/>
        <v>8</v>
      </c>
      <c r="S219">
        <f t="shared" si="30"/>
        <v>1.1860465116279071</v>
      </c>
      <c r="T219">
        <v>46</v>
      </c>
      <c r="U219">
        <v>43</v>
      </c>
    </row>
    <row r="220" spans="1:21" x14ac:dyDescent="0.25">
      <c r="A220" s="13">
        <v>38</v>
      </c>
      <c r="B220" s="21">
        <v>46045</v>
      </c>
      <c r="C220">
        <v>133</v>
      </c>
      <c r="D220">
        <v>113</v>
      </c>
      <c r="E220">
        <v>106</v>
      </c>
      <c r="F220">
        <v>82</v>
      </c>
      <c r="G220">
        <v>115</v>
      </c>
      <c r="H220">
        <v>41</v>
      </c>
      <c r="I220">
        <v>116</v>
      </c>
      <c r="J220">
        <v>76</v>
      </c>
      <c r="K220">
        <v>129</v>
      </c>
      <c r="L220">
        <v>128</v>
      </c>
      <c r="M220">
        <v>113</v>
      </c>
      <c r="N220">
        <v>110</v>
      </c>
      <c r="O220" s="19">
        <f t="shared" si="25"/>
        <v>102</v>
      </c>
      <c r="P220" s="19">
        <f t="shared" si="26"/>
        <v>24.49</v>
      </c>
      <c r="R220" s="25">
        <f t="shared" si="29"/>
        <v>64</v>
      </c>
      <c r="S220">
        <f t="shared" si="30"/>
        <v>2.6842105263157894</v>
      </c>
      <c r="T220">
        <v>85</v>
      </c>
      <c r="U220">
        <v>86</v>
      </c>
    </row>
    <row r="221" spans="1:21" x14ac:dyDescent="0.25">
      <c r="A221" s="13">
        <v>156</v>
      </c>
      <c r="B221" s="21">
        <v>46046</v>
      </c>
      <c r="C221">
        <v>149</v>
      </c>
      <c r="D221">
        <v>131</v>
      </c>
      <c r="E221">
        <v>123</v>
      </c>
      <c r="F221">
        <v>122</v>
      </c>
      <c r="G221">
        <v>123</v>
      </c>
      <c r="H221">
        <v>87</v>
      </c>
      <c r="I221">
        <v>129</v>
      </c>
      <c r="J221">
        <v>114</v>
      </c>
      <c r="K221">
        <v>145</v>
      </c>
      <c r="L221">
        <v>147</v>
      </c>
      <c r="M221">
        <v>115</v>
      </c>
      <c r="N221">
        <v>137</v>
      </c>
      <c r="O221" s="19">
        <f t="shared" si="25"/>
        <v>123</v>
      </c>
      <c r="P221" s="19">
        <f t="shared" si="26"/>
        <v>18.93</v>
      </c>
      <c r="R221" s="25">
        <f t="shared" si="29"/>
        <v>-33</v>
      </c>
      <c r="S221">
        <f t="shared" si="30"/>
        <v>0.78846153846153844</v>
      </c>
      <c r="T221">
        <v>85</v>
      </c>
      <c r="U221">
        <v>113</v>
      </c>
    </row>
    <row r="222" spans="1:21" x14ac:dyDescent="0.25">
      <c r="A222" s="13">
        <v>40</v>
      </c>
      <c r="B222" s="21">
        <v>46047</v>
      </c>
      <c r="C222">
        <v>50</v>
      </c>
      <c r="D222">
        <v>42</v>
      </c>
      <c r="E222">
        <v>47</v>
      </c>
      <c r="F222">
        <v>68</v>
      </c>
      <c r="G222">
        <v>44</v>
      </c>
      <c r="H222">
        <v>28</v>
      </c>
      <c r="I222">
        <v>55</v>
      </c>
      <c r="J222">
        <v>32</v>
      </c>
      <c r="K222">
        <v>30</v>
      </c>
      <c r="L222">
        <v>29</v>
      </c>
      <c r="M222">
        <v>46</v>
      </c>
      <c r="N222">
        <v>37</v>
      </c>
      <c r="O222" s="19">
        <f t="shared" si="25"/>
        <v>42</v>
      </c>
      <c r="P222" s="19">
        <f t="shared" si="26"/>
        <v>10.97</v>
      </c>
      <c r="R222" s="25">
        <f t="shared" si="29"/>
        <v>2</v>
      </c>
      <c r="S222">
        <f t="shared" si="30"/>
        <v>1.05</v>
      </c>
      <c r="T222">
        <v>41</v>
      </c>
      <c r="U222">
        <v>32</v>
      </c>
    </row>
    <row r="223" spans="1:21" x14ac:dyDescent="0.25">
      <c r="A223" s="13">
        <v>22</v>
      </c>
      <c r="B223" s="21">
        <v>46048</v>
      </c>
      <c r="C223">
        <v>53</v>
      </c>
      <c r="D223">
        <v>46</v>
      </c>
      <c r="E223">
        <v>50</v>
      </c>
      <c r="F223">
        <v>74</v>
      </c>
      <c r="G223">
        <v>47</v>
      </c>
      <c r="H223">
        <v>46</v>
      </c>
      <c r="I223">
        <v>54</v>
      </c>
      <c r="J223">
        <v>32</v>
      </c>
      <c r="K223">
        <v>15</v>
      </c>
      <c r="L223">
        <v>40</v>
      </c>
      <c r="M223">
        <v>47</v>
      </c>
      <c r="N223">
        <v>44</v>
      </c>
      <c r="O223" s="19">
        <f t="shared" si="25"/>
        <v>44</v>
      </c>
      <c r="P223" s="19">
        <f t="shared" si="26"/>
        <v>12.79</v>
      </c>
      <c r="R223" s="25">
        <f t="shared" si="29"/>
        <v>22</v>
      </c>
      <c r="S223">
        <f t="shared" si="30"/>
        <v>2</v>
      </c>
      <c r="T223">
        <v>39</v>
      </c>
      <c r="U223">
        <v>33</v>
      </c>
    </row>
    <row r="224" spans="1:21" x14ac:dyDescent="0.25">
      <c r="A224" s="13">
        <v>41</v>
      </c>
      <c r="B224" s="21">
        <v>46049</v>
      </c>
      <c r="C224">
        <v>55</v>
      </c>
      <c r="D224">
        <v>45</v>
      </c>
      <c r="E224">
        <v>49</v>
      </c>
      <c r="F224">
        <v>29</v>
      </c>
      <c r="G224">
        <v>47</v>
      </c>
      <c r="H224">
        <v>13</v>
      </c>
      <c r="I224">
        <v>44</v>
      </c>
      <c r="J224">
        <v>20</v>
      </c>
      <c r="K224">
        <v>69</v>
      </c>
      <c r="L224">
        <v>43</v>
      </c>
      <c r="M224">
        <v>46</v>
      </c>
      <c r="N224">
        <v>41</v>
      </c>
      <c r="O224" s="19">
        <f t="shared" si="25"/>
        <v>41</v>
      </c>
      <c r="P224" s="19">
        <f t="shared" si="26"/>
        <v>13.64</v>
      </c>
      <c r="R224" s="25">
        <f t="shared" ref="R224:R230" si="31">O224-A224</f>
        <v>0</v>
      </c>
      <c r="S224">
        <f t="shared" ref="S224:S230" si="32">O224/A224</f>
        <v>1</v>
      </c>
      <c r="T224">
        <v>41</v>
      </c>
      <c r="U224">
        <v>31</v>
      </c>
    </row>
    <row r="225" spans="1:21" x14ac:dyDescent="0.25">
      <c r="A225" s="13">
        <v>32</v>
      </c>
      <c r="B225" s="21">
        <v>46050</v>
      </c>
      <c r="C225">
        <v>57</v>
      </c>
      <c r="D225">
        <v>45</v>
      </c>
      <c r="E225">
        <v>49</v>
      </c>
      <c r="F225">
        <v>34</v>
      </c>
      <c r="G225">
        <v>46</v>
      </c>
      <c r="H225">
        <v>17</v>
      </c>
      <c r="I225">
        <v>44</v>
      </c>
      <c r="J225">
        <v>24</v>
      </c>
      <c r="K225">
        <v>57</v>
      </c>
      <c r="L225">
        <v>43</v>
      </c>
      <c r="M225">
        <v>56</v>
      </c>
      <c r="N225">
        <v>45</v>
      </c>
      <c r="O225" s="19">
        <f t="shared" si="25"/>
        <v>43</v>
      </c>
      <c r="P225" s="19">
        <f t="shared" si="26"/>
        <v>12.12</v>
      </c>
      <c r="R225" s="25">
        <f t="shared" si="31"/>
        <v>11</v>
      </c>
      <c r="S225">
        <f t="shared" si="32"/>
        <v>1.34375</v>
      </c>
      <c r="T225">
        <v>58</v>
      </c>
      <c r="U225">
        <v>33</v>
      </c>
    </row>
    <row r="226" spans="1:21" x14ac:dyDescent="0.25">
      <c r="A226" s="13">
        <v>85</v>
      </c>
      <c r="B226" s="21">
        <v>46051</v>
      </c>
      <c r="C226">
        <v>53</v>
      </c>
      <c r="D226">
        <v>55</v>
      </c>
      <c r="E226">
        <v>50</v>
      </c>
      <c r="F226">
        <v>58</v>
      </c>
      <c r="G226">
        <v>55</v>
      </c>
      <c r="H226">
        <v>31</v>
      </c>
      <c r="I226">
        <v>55</v>
      </c>
      <c r="J226">
        <v>39</v>
      </c>
      <c r="K226">
        <v>68</v>
      </c>
      <c r="L226">
        <v>58</v>
      </c>
      <c r="M226">
        <v>76</v>
      </c>
      <c r="N226">
        <v>68</v>
      </c>
      <c r="O226" s="19">
        <f t="shared" si="25"/>
        <v>55</v>
      </c>
      <c r="P226" s="19">
        <f t="shared" si="26"/>
        <v>11.2</v>
      </c>
      <c r="R226" s="25">
        <f t="shared" si="31"/>
        <v>-30</v>
      </c>
      <c r="S226">
        <f t="shared" si="32"/>
        <v>0.6470588235294118</v>
      </c>
      <c r="T226">
        <v>54</v>
      </c>
      <c r="U226">
        <v>45</v>
      </c>
    </row>
    <row r="227" spans="1:21" x14ac:dyDescent="0.25">
      <c r="A227" s="13">
        <v>111</v>
      </c>
      <c r="B227" s="21">
        <v>46052</v>
      </c>
      <c r="C227">
        <v>117</v>
      </c>
      <c r="D227">
        <v>101</v>
      </c>
      <c r="E227">
        <v>115</v>
      </c>
      <c r="F227">
        <v>97</v>
      </c>
      <c r="G227">
        <v>98</v>
      </c>
      <c r="H227">
        <v>60</v>
      </c>
      <c r="I227">
        <v>103</v>
      </c>
      <c r="J227">
        <v>73</v>
      </c>
      <c r="K227">
        <v>130</v>
      </c>
      <c r="L227">
        <v>112</v>
      </c>
      <c r="M227">
        <v>129</v>
      </c>
      <c r="N227">
        <v>110</v>
      </c>
      <c r="O227" s="19">
        <f t="shared" si="25"/>
        <v>103</v>
      </c>
      <c r="P227" s="19">
        <f t="shared" si="26"/>
        <v>19.25</v>
      </c>
      <c r="R227" s="25">
        <f t="shared" si="31"/>
        <v>-8</v>
      </c>
      <c r="S227">
        <f t="shared" si="32"/>
        <v>0.92792792792792789</v>
      </c>
      <c r="T227">
        <v>113</v>
      </c>
      <c r="U227">
        <v>83</v>
      </c>
    </row>
    <row r="228" spans="1:21" x14ac:dyDescent="0.25">
      <c r="A228" s="13">
        <v>163</v>
      </c>
      <c r="B228" s="21">
        <v>46053</v>
      </c>
      <c r="C228">
        <v>137</v>
      </c>
      <c r="D228">
        <v>124</v>
      </c>
      <c r="E228">
        <v>135</v>
      </c>
      <c r="F228">
        <v>131</v>
      </c>
      <c r="G228">
        <v>126</v>
      </c>
      <c r="H228">
        <v>89</v>
      </c>
      <c r="I228">
        <v>130</v>
      </c>
      <c r="J228">
        <v>100</v>
      </c>
      <c r="K228">
        <v>155</v>
      </c>
      <c r="L228">
        <v>127</v>
      </c>
      <c r="M228">
        <v>133</v>
      </c>
      <c r="N228">
        <v>125</v>
      </c>
      <c r="O228" s="19">
        <f t="shared" si="25"/>
        <v>125</v>
      </c>
      <c r="P228" s="19">
        <f t="shared" si="26"/>
        <v>16.260000000000002</v>
      </c>
      <c r="R228" s="25">
        <f t="shared" si="31"/>
        <v>-38</v>
      </c>
      <c r="S228">
        <f t="shared" si="32"/>
        <v>0.76687116564417179</v>
      </c>
      <c r="T228">
        <v>137</v>
      </c>
      <c r="U228">
        <v>106</v>
      </c>
    </row>
    <row r="229" spans="1:21" x14ac:dyDescent="0.25">
      <c r="A229" s="13">
        <v>62</v>
      </c>
      <c r="B229" s="21">
        <v>46054</v>
      </c>
      <c r="C229">
        <v>60</v>
      </c>
      <c r="D229">
        <v>40</v>
      </c>
      <c r="E229">
        <v>47</v>
      </c>
      <c r="F229">
        <v>31</v>
      </c>
      <c r="G229">
        <v>49</v>
      </c>
      <c r="H229">
        <v>14</v>
      </c>
      <c r="I229">
        <v>44</v>
      </c>
      <c r="J229">
        <v>22</v>
      </c>
      <c r="K229">
        <v>56</v>
      </c>
      <c r="L229">
        <v>40</v>
      </c>
      <c r="M229">
        <v>70</v>
      </c>
      <c r="N229">
        <v>41</v>
      </c>
      <c r="O229" s="19">
        <f t="shared" si="25"/>
        <v>43</v>
      </c>
      <c r="P229" s="19">
        <f t="shared" si="26"/>
        <v>14.98</v>
      </c>
      <c r="R229" s="25">
        <f t="shared" si="31"/>
        <v>-19</v>
      </c>
      <c r="S229">
        <f t="shared" si="32"/>
        <v>0.69354838709677424</v>
      </c>
      <c r="T229">
        <v>59</v>
      </c>
      <c r="U229">
        <v>29</v>
      </c>
    </row>
    <row r="230" spans="1:21" x14ac:dyDescent="0.25">
      <c r="A230" s="13">
        <v>51</v>
      </c>
      <c r="B230" s="21">
        <v>46055</v>
      </c>
      <c r="C230">
        <v>61</v>
      </c>
      <c r="D230">
        <v>41</v>
      </c>
      <c r="E230">
        <v>48</v>
      </c>
      <c r="F230">
        <v>27</v>
      </c>
      <c r="G230">
        <v>48</v>
      </c>
      <c r="H230">
        <v>10</v>
      </c>
      <c r="I230">
        <v>44</v>
      </c>
      <c r="J230">
        <v>17</v>
      </c>
      <c r="K230">
        <v>48</v>
      </c>
      <c r="L230">
        <v>40</v>
      </c>
      <c r="M230">
        <v>58</v>
      </c>
      <c r="N230">
        <v>40</v>
      </c>
      <c r="O230" s="19">
        <f t="shared" si="25"/>
        <v>40</v>
      </c>
      <c r="P230" s="19">
        <f t="shared" si="26"/>
        <v>14.42</v>
      </c>
      <c r="R230" s="25">
        <f t="shared" si="31"/>
        <v>-11</v>
      </c>
      <c r="S230">
        <f t="shared" si="32"/>
        <v>0.78431372549019607</v>
      </c>
      <c r="T230">
        <v>54</v>
      </c>
      <c r="U230">
        <v>28</v>
      </c>
    </row>
    <row r="231" spans="1:21" x14ac:dyDescent="0.25">
      <c r="A231" s="13">
        <v>42</v>
      </c>
      <c r="B231" s="21">
        <v>46056</v>
      </c>
      <c r="C231">
        <v>47</v>
      </c>
      <c r="D231">
        <v>45</v>
      </c>
      <c r="E231">
        <v>49</v>
      </c>
      <c r="F231">
        <v>30</v>
      </c>
      <c r="G231">
        <v>45</v>
      </c>
      <c r="H231">
        <v>41</v>
      </c>
      <c r="I231">
        <v>44</v>
      </c>
      <c r="J231">
        <v>25</v>
      </c>
      <c r="K231">
        <v>48</v>
      </c>
      <c r="L231">
        <v>46</v>
      </c>
      <c r="M231">
        <v>53</v>
      </c>
      <c r="N231">
        <v>45</v>
      </c>
      <c r="O231" s="19">
        <f t="shared" si="25"/>
        <v>43</v>
      </c>
      <c r="P231" s="19">
        <f t="shared" si="26"/>
        <v>7.25</v>
      </c>
      <c r="R231" s="25">
        <f t="shared" ref="R231:R234" si="33">O231-A231</f>
        <v>1</v>
      </c>
      <c r="S231">
        <f t="shared" ref="S231:S234" si="34">O231/A231</f>
        <v>1.0238095238095237</v>
      </c>
      <c r="T231">
        <v>45</v>
      </c>
      <c r="U231">
        <v>37</v>
      </c>
    </row>
    <row r="232" spans="1:21" x14ac:dyDescent="0.25">
      <c r="A232" s="13">
        <v>38</v>
      </c>
      <c r="B232" s="21">
        <v>46057</v>
      </c>
      <c r="C232">
        <v>47</v>
      </c>
      <c r="D232">
        <v>46</v>
      </c>
      <c r="E232">
        <v>49</v>
      </c>
      <c r="F232">
        <v>32</v>
      </c>
      <c r="G232">
        <v>44</v>
      </c>
      <c r="H232">
        <v>44</v>
      </c>
      <c r="I232">
        <v>44</v>
      </c>
      <c r="J232">
        <v>29</v>
      </c>
      <c r="K232">
        <v>48</v>
      </c>
      <c r="L232">
        <v>46</v>
      </c>
      <c r="M232">
        <v>54</v>
      </c>
      <c r="N232">
        <v>46</v>
      </c>
      <c r="O232" s="19">
        <f t="shared" si="25"/>
        <v>45</v>
      </c>
      <c r="P232" s="19">
        <f t="shared" si="26"/>
        <v>7.7</v>
      </c>
      <c r="R232" s="25">
        <f t="shared" si="33"/>
        <v>7</v>
      </c>
      <c r="S232">
        <f t="shared" si="34"/>
        <v>1.1842105263157894</v>
      </c>
      <c r="T232">
        <v>62</v>
      </c>
      <c r="U232">
        <v>44</v>
      </c>
    </row>
    <row r="233" spans="1:21" x14ac:dyDescent="0.25">
      <c r="A233" s="13">
        <v>29</v>
      </c>
      <c r="B233" s="21">
        <v>46058</v>
      </c>
      <c r="C233">
        <v>47</v>
      </c>
      <c r="D233">
        <v>51</v>
      </c>
      <c r="E233">
        <v>53</v>
      </c>
      <c r="F233">
        <v>34</v>
      </c>
      <c r="G233">
        <v>47</v>
      </c>
      <c r="H233">
        <v>43</v>
      </c>
      <c r="I233">
        <v>47</v>
      </c>
      <c r="J233">
        <v>34</v>
      </c>
      <c r="K233">
        <v>53</v>
      </c>
      <c r="L233">
        <v>51</v>
      </c>
      <c r="M233">
        <v>58</v>
      </c>
      <c r="N233">
        <v>50</v>
      </c>
      <c r="O233" s="19">
        <f t="shared" si="25"/>
        <v>48</v>
      </c>
      <c r="P233" s="19">
        <f t="shared" si="26"/>
        <v>6.51</v>
      </c>
      <c r="R233" s="25">
        <f t="shared" si="33"/>
        <v>19</v>
      </c>
      <c r="S233">
        <f t="shared" si="34"/>
        <v>1.6551724137931034</v>
      </c>
      <c r="T233">
        <v>50</v>
      </c>
      <c r="U233">
        <v>48</v>
      </c>
    </row>
    <row r="234" spans="1:21" x14ac:dyDescent="0.25">
      <c r="A234" s="13">
        <v>140</v>
      </c>
      <c r="B234" s="21">
        <v>46059</v>
      </c>
      <c r="C234">
        <v>121</v>
      </c>
      <c r="D234">
        <v>120</v>
      </c>
      <c r="E234">
        <v>105</v>
      </c>
      <c r="F234">
        <v>78</v>
      </c>
      <c r="G234">
        <v>100</v>
      </c>
      <c r="H234">
        <v>91</v>
      </c>
      <c r="I234">
        <v>87</v>
      </c>
      <c r="J234">
        <v>70</v>
      </c>
      <c r="K234">
        <v>165</v>
      </c>
      <c r="L234">
        <v>129</v>
      </c>
      <c r="M234">
        <v>121</v>
      </c>
      <c r="N234">
        <v>115</v>
      </c>
      <c r="O234" s="19">
        <f t="shared" si="25"/>
        <v>107</v>
      </c>
      <c r="P234" s="19">
        <f t="shared" si="26"/>
        <v>23.24</v>
      </c>
      <c r="R234" s="25">
        <f t="shared" si="33"/>
        <v>-33</v>
      </c>
      <c r="S234">
        <f t="shared" si="34"/>
        <v>0.76428571428571423</v>
      </c>
      <c r="T234">
        <v>96</v>
      </c>
      <c r="U234">
        <v>100</v>
      </c>
    </row>
    <row r="235" spans="1:21" x14ac:dyDescent="0.25">
      <c r="A235" s="13">
        <v>186</v>
      </c>
      <c r="B235" s="21">
        <v>46060</v>
      </c>
      <c r="C235">
        <v>121</v>
      </c>
      <c r="D235">
        <v>121</v>
      </c>
      <c r="E235">
        <v>115</v>
      </c>
      <c r="F235">
        <v>111</v>
      </c>
      <c r="G235">
        <v>155</v>
      </c>
      <c r="H235">
        <v>145</v>
      </c>
      <c r="I235">
        <v>130</v>
      </c>
      <c r="J235">
        <v>112</v>
      </c>
      <c r="K235">
        <v>141</v>
      </c>
      <c r="L235">
        <v>133</v>
      </c>
      <c r="M235">
        <v>150</v>
      </c>
      <c r="N235">
        <v>135</v>
      </c>
      <c r="O235" s="19">
        <f t="shared" si="25"/>
        <v>130</v>
      </c>
      <c r="P235" s="19">
        <f t="shared" si="26"/>
        <v>14</v>
      </c>
      <c r="R235" s="25">
        <f t="shared" ref="R235:R244" si="35">O235-A235</f>
        <v>-56</v>
      </c>
      <c r="S235">
        <f t="shared" ref="S235:S244" si="36">O235/A235</f>
        <v>0.69892473118279574</v>
      </c>
      <c r="T235">
        <v>117</v>
      </c>
      <c r="U235">
        <v>140</v>
      </c>
    </row>
    <row r="236" spans="1:21" x14ac:dyDescent="0.25">
      <c r="A236" s="13">
        <v>0</v>
      </c>
      <c r="B236" s="21">
        <v>46061</v>
      </c>
      <c r="C236">
        <v>46</v>
      </c>
      <c r="D236">
        <v>29</v>
      </c>
      <c r="E236">
        <v>44</v>
      </c>
      <c r="F236">
        <v>21</v>
      </c>
      <c r="G236">
        <v>43</v>
      </c>
      <c r="H236">
        <v>10</v>
      </c>
      <c r="I236">
        <v>44</v>
      </c>
      <c r="J236">
        <v>26</v>
      </c>
      <c r="K236">
        <v>44</v>
      </c>
      <c r="L236">
        <v>28</v>
      </c>
      <c r="M236">
        <v>46</v>
      </c>
      <c r="N236">
        <v>27</v>
      </c>
      <c r="O236" s="19">
        <f t="shared" si="25"/>
        <v>35</v>
      </c>
      <c r="P236" s="19">
        <f t="shared" si="26"/>
        <v>10.96</v>
      </c>
      <c r="R236" s="25">
        <f t="shared" si="35"/>
        <v>35</v>
      </c>
      <c r="S236">
        <f>O236/(A236+1)</f>
        <v>35</v>
      </c>
      <c r="T236">
        <v>44</v>
      </c>
      <c r="U236">
        <v>35</v>
      </c>
    </row>
    <row r="237" spans="1:21" x14ac:dyDescent="0.25">
      <c r="A237" s="13">
        <v>30</v>
      </c>
      <c r="B237" s="21">
        <v>46062</v>
      </c>
      <c r="C237">
        <v>47</v>
      </c>
      <c r="D237">
        <v>39</v>
      </c>
      <c r="E237">
        <v>44</v>
      </c>
      <c r="F237">
        <v>35</v>
      </c>
      <c r="G237">
        <v>46</v>
      </c>
      <c r="H237">
        <v>36</v>
      </c>
      <c r="I237">
        <v>45</v>
      </c>
      <c r="J237">
        <v>33</v>
      </c>
      <c r="K237">
        <v>46</v>
      </c>
      <c r="L237">
        <v>44</v>
      </c>
      <c r="M237">
        <v>46</v>
      </c>
      <c r="N237">
        <v>43</v>
      </c>
      <c r="O237" s="19">
        <f t="shared" si="25"/>
        <v>42</v>
      </c>
      <c r="P237" s="19">
        <f t="shared" si="26"/>
        <v>4.91</v>
      </c>
      <c r="R237" s="25">
        <f t="shared" si="35"/>
        <v>12</v>
      </c>
      <c r="S237">
        <f t="shared" si="36"/>
        <v>1.4</v>
      </c>
      <c r="T237">
        <v>45</v>
      </c>
      <c r="U237">
        <v>34</v>
      </c>
    </row>
    <row r="238" spans="1:21" x14ac:dyDescent="0.25">
      <c r="A238" s="13">
        <v>26</v>
      </c>
      <c r="B238" s="21">
        <v>46063</v>
      </c>
      <c r="C238">
        <v>47</v>
      </c>
      <c r="D238">
        <v>38</v>
      </c>
      <c r="E238">
        <v>45</v>
      </c>
      <c r="F238">
        <v>36</v>
      </c>
      <c r="G238">
        <v>49</v>
      </c>
      <c r="H238">
        <v>39</v>
      </c>
      <c r="I238">
        <v>52</v>
      </c>
      <c r="J238">
        <v>32</v>
      </c>
      <c r="K238">
        <v>46</v>
      </c>
      <c r="L238">
        <v>43</v>
      </c>
      <c r="M238">
        <v>46</v>
      </c>
      <c r="N238">
        <v>42</v>
      </c>
      <c r="O238" s="19">
        <f t="shared" si="25"/>
        <v>42</v>
      </c>
      <c r="P238" s="19">
        <f t="shared" si="26"/>
        <v>5.88</v>
      </c>
      <c r="R238" s="25">
        <f t="shared" si="35"/>
        <v>16</v>
      </c>
      <c r="S238">
        <f t="shared" si="36"/>
        <v>1.6153846153846154</v>
      </c>
      <c r="T238">
        <v>45</v>
      </c>
      <c r="U238">
        <v>32</v>
      </c>
    </row>
    <row r="239" spans="1:21" x14ac:dyDescent="0.25">
      <c r="A239" s="13">
        <v>59</v>
      </c>
      <c r="B239" s="21">
        <v>46064</v>
      </c>
      <c r="C239">
        <v>47</v>
      </c>
      <c r="D239">
        <v>41</v>
      </c>
      <c r="E239">
        <v>44</v>
      </c>
      <c r="F239">
        <v>35</v>
      </c>
      <c r="G239">
        <v>46</v>
      </c>
      <c r="H239">
        <v>35</v>
      </c>
      <c r="I239">
        <v>47</v>
      </c>
      <c r="J239">
        <v>31</v>
      </c>
      <c r="K239">
        <v>46</v>
      </c>
      <c r="L239">
        <v>40</v>
      </c>
      <c r="M239">
        <v>46</v>
      </c>
      <c r="N239">
        <v>41</v>
      </c>
      <c r="O239" s="19">
        <f t="shared" si="25"/>
        <v>42</v>
      </c>
      <c r="P239" s="19">
        <f t="shared" si="26"/>
        <v>5.5</v>
      </c>
      <c r="R239" s="25">
        <f t="shared" si="35"/>
        <v>-17</v>
      </c>
      <c r="S239">
        <f t="shared" si="36"/>
        <v>0.71186440677966101</v>
      </c>
      <c r="T239">
        <v>48</v>
      </c>
      <c r="U239">
        <v>34</v>
      </c>
    </row>
    <row r="240" spans="1:21" x14ac:dyDescent="0.25">
      <c r="A240" s="13">
        <v>37</v>
      </c>
      <c r="B240" s="21">
        <v>46065</v>
      </c>
      <c r="C240">
        <v>49</v>
      </c>
      <c r="D240">
        <v>44</v>
      </c>
      <c r="E240">
        <v>61</v>
      </c>
      <c r="F240">
        <v>50</v>
      </c>
      <c r="G240">
        <v>49</v>
      </c>
      <c r="H240">
        <v>47</v>
      </c>
      <c r="I240">
        <v>61</v>
      </c>
      <c r="J240">
        <v>57</v>
      </c>
      <c r="K240">
        <v>46</v>
      </c>
      <c r="L240">
        <v>43</v>
      </c>
      <c r="M240">
        <v>49</v>
      </c>
      <c r="N240">
        <v>42</v>
      </c>
      <c r="O240" s="19">
        <f t="shared" si="25"/>
        <v>50</v>
      </c>
      <c r="P240" s="19">
        <f t="shared" si="26"/>
        <v>6.03</v>
      </c>
      <c r="R240" s="25">
        <f t="shared" si="35"/>
        <v>13</v>
      </c>
      <c r="S240">
        <f t="shared" si="36"/>
        <v>1.3513513513513513</v>
      </c>
      <c r="T240">
        <v>54</v>
      </c>
      <c r="U240">
        <v>45</v>
      </c>
    </row>
    <row r="241" spans="1:23" x14ac:dyDescent="0.25">
      <c r="A241" s="13">
        <v>199</v>
      </c>
      <c r="B241" s="21">
        <v>46066</v>
      </c>
      <c r="C241">
        <v>93</v>
      </c>
      <c r="D241">
        <v>89</v>
      </c>
      <c r="E241">
        <v>84</v>
      </c>
      <c r="F241">
        <v>89</v>
      </c>
      <c r="G241">
        <v>79</v>
      </c>
      <c r="H241">
        <v>81</v>
      </c>
      <c r="I241">
        <v>102</v>
      </c>
      <c r="J241">
        <v>80</v>
      </c>
      <c r="K241">
        <v>100</v>
      </c>
      <c r="L241">
        <v>86</v>
      </c>
      <c r="M241">
        <v>95</v>
      </c>
      <c r="N241">
        <v>92</v>
      </c>
      <c r="O241" s="19">
        <f t="shared" si="25"/>
        <v>89</v>
      </c>
      <c r="P241" s="19">
        <f t="shared" si="26"/>
        <v>7.03</v>
      </c>
      <c r="R241" s="25">
        <f t="shared" si="35"/>
        <v>-110</v>
      </c>
      <c r="S241">
        <f t="shared" si="36"/>
        <v>0.44723618090452261</v>
      </c>
      <c r="T241">
        <v>89</v>
      </c>
      <c r="U241">
        <v>81</v>
      </c>
    </row>
    <row r="242" spans="1:23" x14ac:dyDescent="0.25">
      <c r="A242" s="13">
        <v>283</v>
      </c>
      <c r="B242" s="21">
        <v>46067</v>
      </c>
      <c r="C242">
        <v>249</v>
      </c>
      <c r="D242">
        <v>202</v>
      </c>
      <c r="E242">
        <v>147</v>
      </c>
      <c r="F242">
        <v>140</v>
      </c>
      <c r="G242">
        <v>152</v>
      </c>
      <c r="H242">
        <v>157</v>
      </c>
      <c r="I242">
        <v>162</v>
      </c>
      <c r="J242">
        <v>113</v>
      </c>
      <c r="K242">
        <v>235</v>
      </c>
      <c r="L242">
        <v>190</v>
      </c>
      <c r="M242">
        <v>238</v>
      </c>
      <c r="N242">
        <v>210</v>
      </c>
      <c r="O242" s="19">
        <f>ROUND(AVERAGE(C242:N242,T242,U242),0)</f>
        <v>183</v>
      </c>
      <c r="P242" s="19">
        <f t="shared" si="26"/>
        <v>39.81</v>
      </c>
      <c r="R242" s="25">
        <f t="shared" si="35"/>
        <v>-100</v>
      </c>
      <c r="S242">
        <f t="shared" si="36"/>
        <v>0.64664310954063609</v>
      </c>
      <c r="T242">
        <v>163</v>
      </c>
      <c r="U242">
        <v>204</v>
      </c>
    </row>
    <row r="243" spans="1:23" x14ac:dyDescent="0.25">
      <c r="A243" s="13">
        <v>91</v>
      </c>
      <c r="B243" s="21">
        <v>46068</v>
      </c>
      <c r="C243">
        <v>47</v>
      </c>
      <c r="D243">
        <v>39</v>
      </c>
      <c r="E243">
        <v>44</v>
      </c>
      <c r="F243">
        <v>38</v>
      </c>
      <c r="G243">
        <v>46</v>
      </c>
      <c r="H243">
        <v>38</v>
      </c>
      <c r="I243">
        <v>45</v>
      </c>
      <c r="J243">
        <v>36</v>
      </c>
      <c r="K243">
        <v>46</v>
      </c>
      <c r="L243">
        <v>46</v>
      </c>
      <c r="M243">
        <v>46</v>
      </c>
      <c r="N243">
        <v>45</v>
      </c>
      <c r="O243" s="19">
        <f t="shared" si="25"/>
        <v>43</v>
      </c>
      <c r="P243" s="19">
        <f t="shared" si="26"/>
        <v>3.56</v>
      </c>
      <c r="R243" s="25">
        <f t="shared" si="35"/>
        <v>-48</v>
      </c>
      <c r="S243">
        <f t="shared" si="36"/>
        <v>0.47252747252747251</v>
      </c>
      <c r="T243">
        <v>44</v>
      </c>
      <c r="U243">
        <v>44</v>
      </c>
    </row>
    <row r="244" spans="1:23" x14ac:dyDescent="0.25">
      <c r="A244" s="13">
        <v>35</v>
      </c>
      <c r="B244" s="21">
        <v>46069</v>
      </c>
      <c r="C244">
        <v>47</v>
      </c>
      <c r="D244">
        <v>42</v>
      </c>
      <c r="E244">
        <v>48</v>
      </c>
      <c r="F244">
        <v>35</v>
      </c>
      <c r="G244">
        <v>46</v>
      </c>
      <c r="H244">
        <v>16</v>
      </c>
      <c r="I244">
        <v>47</v>
      </c>
      <c r="J244">
        <v>17</v>
      </c>
      <c r="K244">
        <v>52</v>
      </c>
      <c r="L244">
        <v>50</v>
      </c>
      <c r="M244">
        <v>52</v>
      </c>
      <c r="N244">
        <v>45</v>
      </c>
      <c r="O244" s="19">
        <f t="shared" si="25"/>
        <v>42</v>
      </c>
      <c r="P244" s="19">
        <f t="shared" si="26"/>
        <v>11.41</v>
      </c>
      <c r="R244" s="25">
        <f t="shared" si="35"/>
        <v>7</v>
      </c>
      <c r="S244">
        <f t="shared" si="36"/>
        <v>1.2</v>
      </c>
      <c r="T244">
        <v>50</v>
      </c>
      <c r="U244">
        <v>36</v>
      </c>
    </row>
    <row r="245" spans="1:23" x14ac:dyDescent="0.25">
      <c r="A245" s="13">
        <v>79</v>
      </c>
      <c r="B245" s="21">
        <v>46070</v>
      </c>
      <c r="C245">
        <v>78</v>
      </c>
      <c r="D245">
        <v>44</v>
      </c>
      <c r="E245">
        <v>51</v>
      </c>
      <c r="F245">
        <v>31</v>
      </c>
      <c r="G245">
        <v>38</v>
      </c>
      <c r="H245">
        <v>22</v>
      </c>
      <c r="I245">
        <v>42</v>
      </c>
      <c r="J245">
        <v>29</v>
      </c>
      <c r="K245">
        <v>60</v>
      </c>
      <c r="L245">
        <v>46</v>
      </c>
      <c r="M245">
        <v>67</v>
      </c>
      <c r="N245">
        <v>45</v>
      </c>
      <c r="O245" s="19">
        <f t="shared" si="25"/>
        <v>45</v>
      </c>
      <c r="P245" s="19">
        <f t="shared" si="26"/>
        <v>14.49</v>
      </c>
      <c r="R245" s="25">
        <f t="shared" ref="R245:R258" si="37">O245-A245</f>
        <v>-34</v>
      </c>
      <c r="S245">
        <f t="shared" ref="S245:S258" si="38">O245/A245</f>
        <v>0.569620253164557</v>
      </c>
      <c r="T245">
        <v>46</v>
      </c>
      <c r="U245">
        <v>37</v>
      </c>
    </row>
    <row r="246" spans="1:23" x14ac:dyDescent="0.25">
      <c r="A246" s="13">
        <v>29</v>
      </c>
      <c r="B246" s="21">
        <v>46071</v>
      </c>
      <c r="C246">
        <v>47</v>
      </c>
      <c r="D246">
        <v>54</v>
      </c>
      <c r="E246">
        <v>60</v>
      </c>
      <c r="F246">
        <v>45</v>
      </c>
      <c r="G246">
        <v>48</v>
      </c>
      <c r="H246">
        <v>46</v>
      </c>
      <c r="I246">
        <v>69</v>
      </c>
      <c r="J246">
        <v>52</v>
      </c>
      <c r="K246">
        <v>54</v>
      </c>
      <c r="L246">
        <v>51</v>
      </c>
      <c r="M246">
        <v>45</v>
      </c>
      <c r="N246">
        <v>48</v>
      </c>
      <c r="O246" s="19">
        <f t="shared" si="25"/>
        <v>52</v>
      </c>
      <c r="P246" s="19">
        <f t="shared" si="26"/>
        <v>6.34</v>
      </c>
      <c r="R246" s="25">
        <f t="shared" si="37"/>
        <v>23</v>
      </c>
      <c r="S246">
        <f t="shared" si="38"/>
        <v>1.7931034482758621</v>
      </c>
      <c r="T246">
        <v>53</v>
      </c>
      <c r="U246">
        <v>55</v>
      </c>
      <c r="W246" s="36"/>
    </row>
    <row r="247" spans="1:23" x14ac:dyDescent="0.25">
      <c r="A247" s="13">
        <v>38</v>
      </c>
      <c r="B247" s="21">
        <v>46072</v>
      </c>
      <c r="C247">
        <v>48</v>
      </c>
      <c r="D247">
        <v>52</v>
      </c>
      <c r="E247">
        <v>59</v>
      </c>
      <c r="F247">
        <v>47</v>
      </c>
      <c r="G247">
        <v>60</v>
      </c>
      <c r="H247">
        <v>55</v>
      </c>
      <c r="I247">
        <v>59</v>
      </c>
      <c r="J247">
        <v>51</v>
      </c>
      <c r="K247">
        <v>52</v>
      </c>
      <c r="L247">
        <v>49</v>
      </c>
      <c r="M247">
        <v>57</v>
      </c>
      <c r="N247">
        <v>49</v>
      </c>
      <c r="O247" s="19">
        <f t="shared" si="25"/>
        <v>53</v>
      </c>
      <c r="P247" s="19">
        <f t="shared" si="26"/>
        <v>4.18</v>
      </c>
      <c r="R247" s="25">
        <f t="shared" si="37"/>
        <v>15</v>
      </c>
      <c r="S247">
        <f t="shared" si="38"/>
        <v>1.3947368421052631</v>
      </c>
      <c r="T247">
        <v>52</v>
      </c>
      <c r="U247">
        <v>51</v>
      </c>
      <c r="W247" s="36"/>
    </row>
    <row r="248" spans="1:23" x14ac:dyDescent="0.25">
      <c r="A248" s="13">
        <v>101</v>
      </c>
      <c r="B248" s="21">
        <v>46073</v>
      </c>
      <c r="C248">
        <v>101</v>
      </c>
      <c r="D248">
        <v>85</v>
      </c>
      <c r="E248">
        <v>103</v>
      </c>
      <c r="F248">
        <v>58</v>
      </c>
      <c r="G248">
        <v>87</v>
      </c>
      <c r="H248">
        <v>28</v>
      </c>
      <c r="I248">
        <v>112</v>
      </c>
      <c r="J248">
        <v>58</v>
      </c>
      <c r="K248">
        <v>98</v>
      </c>
      <c r="L248">
        <v>97</v>
      </c>
      <c r="M248">
        <v>105</v>
      </c>
      <c r="N248">
        <v>87</v>
      </c>
      <c r="O248" s="19">
        <f t="shared" si="25"/>
        <v>85</v>
      </c>
      <c r="P248" s="19">
        <f t="shared" si="26"/>
        <v>22.86</v>
      </c>
      <c r="R248" s="25">
        <f t="shared" si="37"/>
        <v>-16</v>
      </c>
      <c r="S248">
        <f t="shared" si="38"/>
        <v>0.84158415841584155</v>
      </c>
      <c r="T248">
        <v>103</v>
      </c>
      <c r="U248">
        <v>69</v>
      </c>
      <c r="W248" s="36"/>
    </row>
    <row r="249" spans="1:23" x14ac:dyDescent="0.25">
      <c r="A249" s="13">
        <v>183</v>
      </c>
      <c r="B249" s="21">
        <v>46074</v>
      </c>
      <c r="C249">
        <v>88</v>
      </c>
      <c r="D249">
        <v>131</v>
      </c>
      <c r="E249">
        <v>99</v>
      </c>
      <c r="F249">
        <v>110</v>
      </c>
      <c r="G249">
        <v>107</v>
      </c>
      <c r="H249">
        <v>111</v>
      </c>
      <c r="I249">
        <v>101</v>
      </c>
      <c r="J249">
        <v>121</v>
      </c>
      <c r="K249">
        <v>117</v>
      </c>
      <c r="L249">
        <v>133</v>
      </c>
      <c r="M249">
        <v>73</v>
      </c>
      <c r="N249">
        <v>132</v>
      </c>
      <c r="O249" s="19">
        <f t="shared" si="25"/>
        <v>110</v>
      </c>
      <c r="P249" s="19">
        <f t="shared" si="26"/>
        <v>17.399999999999999</v>
      </c>
      <c r="R249" s="25">
        <f t="shared" si="37"/>
        <v>-73</v>
      </c>
      <c r="S249">
        <f t="shared" si="38"/>
        <v>0.60109289617486339</v>
      </c>
      <c r="T249">
        <v>92</v>
      </c>
      <c r="U249">
        <v>125</v>
      </c>
      <c r="W249" s="36"/>
    </row>
    <row r="250" spans="1:23" x14ac:dyDescent="0.25">
      <c r="A250" s="13">
        <v>66</v>
      </c>
      <c r="B250" s="21">
        <v>46075</v>
      </c>
      <c r="C250">
        <v>45</v>
      </c>
      <c r="D250">
        <v>40</v>
      </c>
      <c r="E250">
        <v>41</v>
      </c>
      <c r="F250">
        <v>35</v>
      </c>
      <c r="G250">
        <v>40</v>
      </c>
      <c r="H250">
        <v>34</v>
      </c>
      <c r="I250">
        <v>60</v>
      </c>
      <c r="J250">
        <v>37</v>
      </c>
      <c r="K250">
        <v>47</v>
      </c>
      <c r="L250">
        <v>42</v>
      </c>
      <c r="M250">
        <v>45</v>
      </c>
      <c r="N250">
        <v>41</v>
      </c>
      <c r="O250" s="19">
        <f t="shared" si="25"/>
        <v>42</v>
      </c>
      <c r="P250" s="19">
        <f t="shared" si="26"/>
        <v>6.21</v>
      </c>
      <c r="R250" s="25">
        <f t="shared" si="37"/>
        <v>-24</v>
      </c>
      <c r="S250">
        <f t="shared" si="38"/>
        <v>0.63636363636363635</v>
      </c>
      <c r="T250">
        <v>45</v>
      </c>
      <c r="U250">
        <v>38</v>
      </c>
      <c r="W250" s="36"/>
    </row>
    <row r="251" spans="1:23" x14ac:dyDescent="0.25">
      <c r="A251" s="13">
        <v>36</v>
      </c>
      <c r="B251" s="21">
        <v>46076</v>
      </c>
      <c r="C251">
        <v>45</v>
      </c>
      <c r="D251">
        <v>40</v>
      </c>
      <c r="E251">
        <v>52</v>
      </c>
      <c r="F251">
        <v>34</v>
      </c>
      <c r="G251">
        <v>39</v>
      </c>
      <c r="H251">
        <v>29</v>
      </c>
      <c r="I251">
        <v>68</v>
      </c>
      <c r="J251">
        <v>34</v>
      </c>
      <c r="K251">
        <v>47</v>
      </c>
      <c r="L251">
        <v>44</v>
      </c>
      <c r="M251">
        <v>46</v>
      </c>
      <c r="N251">
        <v>43</v>
      </c>
      <c r="O251" s="19">
        <f t="shared" si="25"/>
        <v>43</v>
      </c>
      <c r="P251" s="19">
        <f t="shared" si="26"/>
        <v>9.0500000000000007</v>
      </c>
      <c r="R251" s="25">
        <f t="shared" si="37"/>
        <v>7</v>
      </c>
      <c r="S251">
        <f t="shared" si="38"/>
        <v>1.1944444444444444</v>
      </c>
      <c r="T251">
        <v>45</v>
      </c>
      <c r="U251">
        <v>38</v>
      </c>
      <c r="W251" s="36"/>
    </row>
    <row r="252" spans="1:23" x14ac:dyDescent="0.25">
      <c r="A252" s="13">
        <v>45</v>
      </c>
      <c r="B252" s="21">
        <v>46077</v>
      </c>
      <c r="C252">
        <v>59</v>
      </c>
      <c r="D252">
        <v>42</v>
      </c>
      <c r="E252">
        <v>49</v>
      </c>
      <c r="F252">
        <v>35</v>
      </c>
      <c r="G252">
        <v>36</v>
      </c>
      <c r="H252">
        <v>29</v>
      </c>
      <c r="I252">
        <v>65</v>
      </c>
      <c r="J252">
        <v>30</v>
      </c>
      <c r="K252">
        <v>45</v>
      </c>
      <c r="L252">
        <v>43</v>
      </c>
      <c r="M252">
        <v>49</v>
      </c>
      <c r="N252">
        <v>44</v>
      </c>
      <c r="O252" s="19">
        <f t="shared" si="25"/>
        <v>44</v>
      </c>
      <c r="P252" s="19">
        <f t="shared" si="26"/>
        <v>9.7200000000000006</v>
      </c>
      <c r="R252" s="25">
        <f t="shared" si="37"/>
        <v>-1</v>
      </c>
      <c r="S252">
        <f t="shared" si="38"/>
        <v>0.97777777777777775</v>
      </c>
      <c r="T252">
        <v>45</v>
      </c>
      <c r="U252">
        <v>38</v>
      </c>
      <c r="W252" s="36"/>
    </row>
    <row r="253" spans="1:23" x14ac:dyDescent="0.25">
      <c r="A253" s="13">
        <v>64</v>
      </c>
      <c r="B253" s="21">
        <v>46078</v>
      </c>
      <c r="C253">
        <v>47</v>
      </c>
      <c r="D253">
        <v>41</v>
      </c>
      <c r="E253">
        <v>51</v>
      </c>
      <c r="F253">
        <v>43</v>
      </c>
      <c r="G253">
        <v>35</v>
      </c>
      <c r="H253">
        <v>37</v>
      </c>
      <c r="I253">
        <v>59</v>
      </c>
      <c r="J253">
        <v>37</v>
      </c>
      <c r="K253">
        <v>52</v>
      </c>
      <c r="L253">
        <v>43</v>
      </c>
      <c r="M253">
        <v>47</v>
      </c>
      <c r="N253">
        <v>44</v>
      </c>
      <c r="O253" s="19">
        <f t="shared" si="25"/>
        <v>45</v>
      </c>
      <c r="P253" s="19">
        <f t="shared" si="26"/>
        <v>6.52</v>
      </c>
      <c r="R253" s="25">
        <f t="shared" si="37"/>
        <v>-19</v>
      </c>
      <c r="S253">
        <f t="shared" si="38"/>
        <v>0.703125</v>
      </c>
      <c r="T253">
        <v>52</v>
      </c>
      <c r="U253">
        <v>43</v>
      </c>
      <c r="W253" s="36"/>
    </row>
    <row r="254" spans="1:23" x14ac:dyDescent="0.25">
      <c r="A254" s="13">
        <v>41</v>
      </c>
      <c r="B254" s="21">
        <v>46079</v>
      </c>
      <c r="C254">
        <v>64</v>
      </c>
      <c r="D254">
        <v>86</v>
      </c>
      <c r="E254">
        <v>75</v>
      </c>
      <c r="F254">
        <v>55</v>
      </c>
      <c r="G254">
        <v>47</v>
      </c>
      <c r="H254">
        <v>14</v>
      </c>
      <c r="I254">
        <v>57</v>
      </c>
      <c r="J254">
        <v>56</v>
      </c>
      <c r="K254">
        <v>85</v>
      </c>
      <c r="L254">
        <v>86</v>
      </c>
      <c r="M254">
        <v>86</v>
      </c>
      <c r="N254">
        <v>85</v>
      </c>
      <c r="O254" s="19">
        <f t="shared" si="25"/>
        <v>70</v>
      </c>
      <c r="P254" s="19">
        <f t="shared" si="26"/>
        <v>25.78</v>
      </c>
      <c r="R254" s="25">
        <f t="shared" si="37"/>
        <v>29</v>
      </c>
      <c r="S254">
        <f t="shared" si="38"/>
        <v>1.7073170731707317</v>
      </c>
      <c r="T254">
        <v>130</v>
      </c>
      <c r="U254">
        <v>57</v>
      </c>
      <c r="W254" s="36"/>
    </row>
    <row r="255" spans="1:23" x14ac:dyDescent="0.25">
      <c r="A255" s="13">
        <v>90</v>
      </c>
      <c r="B255" s="21">
        <v>46080</v>
      </c>
      <c r="C255">
        <v>101</v>
      </c>
      <c r="D255">
        <v>74</v>
      </c>
      <c r="E255">
        <v>100</v>
      </c>
      <c r="F255">
        <v>46</v>
      </c>
      <c r="G255">
        <v>78</v>
      </c>
      <c r="H255">
        <v>27</v>
      </c>
      <c r="I255">
        <v>115</v>
      </c>
      <c r="J255">
        <v>46</v>
      </c>
      <c r="K255">
        <v>82</v>
      </c>
      <c r="L255">
        <v>84</v>
      </c>
      <c r="M255">
        <v>103</v>
      </c>
      <c r="N255">
        <v>74</v>
      </c>
      <c r="O255" s="19">
        <f t="shared" si="25"/>
        <v>79</v>
      </c>
      <c r="P255" s="19">
        <f t="shared" si="26"/>
        <v>25.07</v>
      </c>
      <c r="R255" s="25">
        <f t="shared" si="37"/>
        <v>-11</v>
      </c>
      <c r="S255">
        <f t="shared" si="38"/>
        <v>0.87777777777777777</v>
      </c>
      <c r="T255">
        <v>108</v>
      </c>
      <c r="U255">
        <v>65</v>
      </c>
      <c r="W255" s="36"/>
    </row>
    <row r="256" spans="1:23" x14ac:dyDescent="0.25">
      <c r="A256" s="13">
        <v>137</v>
      </c>
      <c r="B256" s="21">
        <v>46081</v>
      </c>
      <c r="C256">
        <v>158</v>
      </c>
      <c r="D256">
        <v>114</v>
      </c>
      <c r="E256">
        <v>141</v>
      </c>
      <c r="F256">
        <v>107</v>
      </c>
      <c r="G256">
        <v>106</v>
      </c>
      <c r="H256">
        <v>111</v>
      </c>
      <c r="I256">
        <v>111</v>
      </c>
      <c r="J256">
        <v>124</v>
      </c>
      <c r="K256">
        <v>149</v>
      </c>
      <c r="L256">
        <v>116</v>
      </c>
      <c r="M256">
        <v>134</v>
      </c>
      <c r="N256">
        <v>117</v>
      </c>
      <c r="O256" s="19">
        <f t="shared" si="25"/>
        <v>125</v>
      </c>
      <c r="P256" s="19">
        <f t="shared" si="26"/>
        <v>16.71</v>
      </c>
      <c r="R256" s="25">
        <f t="shared" si="37"/>
        <v>-12</v>
      </c>
      <c r="S256">
        <f t="shared" si="38"/>
        <v>0.91240875912408759</v>
      </c>
      <c r="T256">
        <v>147</v>
      </c>
      <c r="U256">
        <v>116</v>
      </c>
      <c r="W256" s="36"/>
    </row>
    <row r="257" spans="1:23" x14ac:dyDescent="0.25">
      <c r="A257" s="13">
        <v>43</v>
      </c>
      <c r="B257" s="21">
        <v>46082</v>
      </c>
      <c r="C257">
        <v>52</v>
      </c>
      <c r="D257">
        <v>38</v>
      </c>
      <c r="E257">
        <v>32</v>
      </c>
      <c r="F257">
        <v>24</v>
      </c>
      <c r="G257">
        <v>38</v>
      </c>
      <c r="H257">
        <v>9</v>
      </c>
      <c r="I257">
        <v>35</v>
      </c>
      <c r="J257">
        <v>20</v>
      </c>
      <c r="K257">
        <v>54</v>
      </c>
      <c r="L257">
        <v>40</v>
      </c>
      <c r="M257">
        <v>45</v>
      </c>
      <c r="N257">
        <v>38</v>
      </c>
      <c r="O257" s="19">
        <f t="shared" si="25"/>
        <v>36</v>
      </c>
      <c r="P257" s="19">
        <f t="shared" si="26"/>
        <v>11.8</v>
      </c>
      <c r="R257" s="25">
        <f t="shared" si="37"/>
        <v>-7</v>
      </c>
      <c r="S257">
        <f t="shared" si="38"/>
        <v>0.83720930232558144</v>
      </c>
      <c r="T257">
        <v>46</v>
      </c>
      <c r="U257">
        <v>32</v>
      </c>
      <c r="W257" s="36"/>
    </row>
    <row r="258" spans="1:23" x14ac:dyDescent="0.25">
      <c r="A258" s="13">
        <v>39</v>
      </c>
      <c r="B258" s="21">
        <v>46083</v>
      </c>
      <c r="C258">
        <v>46</v>
      </c>
      <c r="D258">
        <v>42</v>
      </c>
      <c r="E258">
        <v>50</v>
      </c>
      <c r="F258">
        <v>30</v>
      </c>
      <c r="G258">
        <v>36</v>
      </c>
      <c r="H258">
        <v>18</v>
      </c>
      <c r="I258">
        <v>52</v>
      </c>
      <c r="J258">
        <v>25</v>
      </c>
      <c r="K258">
        <v>74</v>
      </c>
      <c r="L258">
        <v>43</v>
      </c>
      <c r="M258">
        <v>51</v>
      </c>
      <c r="N258">
        <v>44</v>
      </c>
      <c r="O258" s="19">
        <f t="shared" si="25"/>
        <v>43</v>
      </c>
      <c r="P258" s="19">
        <f t="shared" si="26"/>
        <v>13.17</v>
      </c>
      <c r="R258" s="25">
        <f t="shared" si="37"/>
        <v>4</v>
      </c>
      <c r="S258">
        <f t="shared" si="38"/>
        <v>1.1025641025641026</v>
      </c>
      <c r="T258">
        <v>49</v>
      </c>
      <c r="U258">
        <v>35</v>
      </c>
      <c r="W258" s="36"/>
    </row>
    <row r="259" spans="1:23" s="27" customFormat="1" x14ac:dyDescent="0.25">
      <c r="B259" s="26">
        <v>46084</v>
      </c>
      <c r="C259" s="27">
        <v>43</v>
      </c>
      <c r="D259" s="27">
        <v>48</v>
      </c>
      <c r="E259" s="27">
        <v>46</v>
      </c>
      <c r="F259" s="27">
        <v>38</v>
      </c>
      <c r="G259" s="27">
        <v>43</v>
      </c>
      <c r="H259" s="27">
        <v>30</v>
      </c>
      <c r="I259" s="27">
        <v>48</v>
      </c>
      <c r="J259" s="27">
        <v>20</v>
      </c>
      <c r="K259" s="27">
        <v>51</v>
      </c>
      <c r="L259" s="27">
        <v>43</v>
      </c>
      <c r="M259" s="27">
        <v>42</v>
      </c>
      <c r="N259" s="27">
        <v>43</v>
      </c>
      <c r="O259" s="64">
        <f t="shared" si="25"/>
        <v>41</v>
      </c>
      <c r="P259" s="64">
        <f t="shared" si="26"/>
        <v>8.1199999999999992</v>
      </c>
      <c r="T259" s="27">
        <v>48</v>
      </c>
      <c r="U259" s="27">
        <v>33</v>
      </c>
      <c r="W259" s="65"/>
    </row>
    <row r="260" spans="1:23" x14ac:dyDescent="0.25">
      <c r="B260" s="21">
        <v>46085</v>
      </c>
      <c r="C260">
        <v>48</v>
      </c>
      <c r="D260">
        <v>37</v>
      </c>
      <c r="E260">
        <v>45</v>
      </c>
      <c r="F260">
        <v>30</v>
      </c>
      <c r="G260">
        <v>36</v>
      </c>
      <c r="H260">
        <v>21</v>
      </c>
      <c r="I260">
        <v>46</v>
      </c>
      <c r="J260">
        <v>19</v>
      </c>
      <c r="K260">
        <v>40</v>
      </c>
      <c r="L260">
        <v>42</v>
      </c>
      <c r="M260">
        <v>42</v>
      </c>
      <c r="N260">
        <v>40</v>
      </c>
      <c r="O260" s="19">
        <f t="shared" si="25"/>
        <v>37</v>
      </c>
      <c r="P260" s="19">
        <f t="shared" si="26"/>
        <v>8.73</v>
      </c>
      <c r="T260">
        <v>46</v>
      </c>
      <c r="U260">
        <v>32</v>
      </c>
      <c r="W260" s="36"/>
    </row>
    <row r="261" spans="1:23" x14ac:dyDescent="0.25">
      <c r="B261" s="21">
        <v>46086</v>
      </c>
      <c r="C261">
        <v>53</v>
      </c>
      <c r="D261">
        <v>41</v>
      </c>
      <c r="E261">
        <v>49</v>
      </c>
      <c r="F261">
        <v>42</v>
      </c>
      <c r="G261">
        <v>49</v>
      </c>
      <c r="H261">
        <v>50</v>
      </c>
      <c r="I261">
        <v>61</v>
      </c>
      <c r="J261">
        <v>19</v>
      </c>
      <c r="K261">
        <v>47</v>
      </c>
      <c r="L261">
        <v>44</v>
      </c>
      <c r="M261">
        <v>44</v>
      </c>
      <c r="N261">
        <v>40</v>
      </c>
      <c r="O261" s="19">
        <f t="shared" si="25"/>
        <v>45</v>
      </c>
      <c r="P261" s="19">
        <f t="shared" si="26"/>
        <v>9.2799999999999994</v>
      </c>
      <c r="T261">
        <v>52</v>
      </c>
      <c r="U261">
        <v>38</v>
      </c>
      <c r="W261" s="36"/>
    </row>
    <row r="262" spans="1:23" x14ac:dyDescent="0.25">
      <c r="B262" s="21">
        <v>46087</v>
      </c>
      <c r="C262">
        <v>103</v>
      </c>
      <c r="D262">
        <v>89</v>
      </c>
      <c r="E262">
        <v>87</v>
      </c>
      <c r="F262">
        <v>69</v>
      </c>
      <c r="G262">
        <v>57</v>
      </c>
      <c r="H262">
        <v>34</v>
      </c>
      <c r="I262">
        <v>59</v>
      </c>
      <c r="J262">
        <v>31</v>
      </c>
      <c r="K262">
        <v>100</v>
      </c>
      <c r="L262">
        <v>94</v>
      </c>
      <c r="M262">
        <v>88</v>
      </c>
      <c r="N262">
        <v>91</v>
      </c>
      <c r="O262" s="19">
        <f t="shared" ref="O262:O263" si="39">ROUND(AVERAGE(C262:N262,T262,U262),0)</f>
        <v>76</v>
      </c>
      <c r="P262" s="19">
        <f t="shared" ref="P262:P263" si="40">ROUND(_xlfn.STDEV.P(C262:N262,T262,U262),2)</f>
        <v>22.54</v>
      </c>
      <c r="T262">
        <v>93</v>
      </c>
      <c r="U262">
        <v>69</v>
      </c>
      <c r="W262" s="36"/>
    </row>
    <row r="263" spans="1:23" x14ac:dyDescent="0.25">
      <c r="B263" s="21">
        <v>46088</v>
      </c>
      <c r="C263">
        <v>176</v>
      </c>
      <c r="D263">
        <v>162</v>
      </c>
      <c r="E263">
        <v>168</v>
      </c>
      <c r="F263">
        <v>128</v>
      </c>
      <c r="G263">
        <v>140</v>
      </c>
      <c r="H263">
        <v>98</v>
      </c>
      <c r="I263">
        <v>165</v>
      </c>
      <c r="J263">
        <v>47</v>
      </c>
      <c r="K263">
        <v>181</v>
      </c>
      <c r="L263">
        <v>153</v>
      </c>
      <c r="M263">
        <v>142</v>
      </c>
      <c r="N263">
        <v>149</v>
      </c>
      <c r="O263" s="19">
        <f t="shared" si="39"/>
        <v>144</v>
      </c>
      <c r="P263" s="19">
        <f t="shared" si="40"/>
        <v>33.9</v>
      </c>
      <c r="T263">
        <v>165</v>
      </c>
      <c r="U263">
        <v>146</v>
      </c>
      <c r="W263" s="36"/>
    </row>
    <row r="264" spans="1:23" x14ac:dyDescent="0.25">
      <c r="B264" s="21">
        <v>46089</v>
      </c>
      <c r="C264">
        <v>43</v>
      </c>
      <c r="D264">
        <v>41</v>
      </c>
      <c r="E264">
        <v>46</v>
      </c>
      <c r="F264">
        <v>32</v>
      </c>
      <c r="G264">
        <v>54</v>
      </c>
      <c r="H264">
        <v>17</v>
      </c>
      <c r="I264">
        <v>44</v>
      </c>
      <c r="J264">
        <v>20</v>
      </c>
      <c r="K264">
        <v>47</v>
      </c>
      <c r="L264">
        <v>41</v>
      </c>
      <c r="M264">
        <v>39</v>
      </c>
      <c r="N264">
        <v>38</v>
      </c>
      <c r="O264" s="19">
        <f t="shared" ref="O264:O289" si="41">ROUND(AVERAGE(C264:N264,T264,U264),0)</f>
        <v>38</v>
      </c>
      <c r="P264" s="19">
        <f t="shared" ref="P264:P289" si="42">ROUND(_xlfn.STDEV.P(C264:N264,T264,U264),2)</f>
        <v>10.09</v>
      </c>
      <c r="T264">
        <v>46</v>
      </c>
      <c r="U264">
        <v>29</v>
      </c>
    </row>
    <row r="265" spans="1:23" x14ac:dyDescent="0.25">
      <c r="B265" s="21">
        <v>46090</v>
      </c>
      <c r="C265">
        <v>62</v>
      </c>
      <c r="D265">
        <v>48</v>
      </c>
      <c r="E265">
        <v>48</v>
      </c>
      <c r="F265">
        <v>46</v>
      </c>
      <c r="G265">
        <v>43</v>
      </c>
      <c r="H265">
        <v>28</v>
      </c>
      <c r="I265">
        <v>48</v>
      </c>
      <c r="J265">
        <v>20</v>
      </c>
      <c r="K265">
        <v>60</v>
      </c>
      <c r="L265">
        <v>47</v>
      </c>
      <c r="M265">
        <v>48</v>
      </c>
      <c r="N265">
        <v>47</v>
      </c>
      <c r="O265" s="19">
        <f t="shared" si="41"/>
        <v>45</v>
      </c>
      <c r="P265" s="19">
        <f t="shared" si="42"/>
        <v>10.45</v>
      </c>
      <c r="T265">
        <v>47</v>
      </c>
      <c r="U265">
        <v>38</v>
      </c>
    </row>
    <row r="266" spans="1:23" x14ac:dyDescent="0.25">
      <c r="B266" s="21">
        <v>46091</v>
      </c>
      <c r="C266">
        <v>56</v>
      </c>
      <c r="D266">
        <v>52</v>
      </c>
      <c r="E266">
        <v>51</v>
      </c>
      <c r="F266">
        <v>34</v>
      </c>
      <c r="G266">
        <v>40</v>
      </c>
      <c r="H266">
        <v>24</v>
      </c>
      <c r="I266">
        <v>47</v>
      </c>
      <c r="J266">
        <v>22</v>
      </c>
      <c r="K266">
        <v>60</v>
      </c>
      <c r="L266">
        <v>54</v>
      </c>
      <c r="M266">
        <v>50</v>
      </c>
      <c r="N266">
        <v>43</v>
      </c>
      <c r="O266" s="19">
        <f t="shared" si="41"/>
        <v>44</v>
      </c>
      <c r="P266" s="19">
        <f t="shared" si="42"/>
        <v>10.94</v>
      </c>
      <c r="T266">
        <v>47</v>
      </c>
      <c r="U266">
        <v>41</v>
      </c>
    </row>
    <row r="267" spans="1:23" x14ac:dyDescent="0.25">
      <c r="B267" s="21">
        <v>46092</v>
      </c>
      <c r="C267">
        <v>51</v>
      </c>
      <c r="D267">
        <v>44</v>
      </c>
      <c r="E267">
        <v>52</v>
      </c>
      <c r="F267">
        <v>37</v>
      </c>
      <c r="G267">
        <v>36</v>
      </c>
      <c r="H267">
        <v>17</v>
      </c>
      <c r="I267">
        <v>44</v>
      </c>
      <c r="J267">
        <v>20</v>
      </c>
      <c r="K267">
        <v>49</v>
      </c>
      <c r="L267">
        <v>42</v>
      </c>
      <c r="M267">
        <v>44</v>
      </c>
      <c r="N267">
        <v>42</v>
      </c>
      <c r="O267" s="19">
        <f t="shared" si="41"/>
        <v>41</v>
      </c>
      <c r="P267" s="19">
        <f t="shared" si="42"/>
        <v>10.039999999999999</v>
      </c>
      <c r="T267">
        <v>46</v>
      </c>
      <c r="U267">
        <v>45</v>
      </c>
    </row>
    <row r="268" spans="1:23" x14ac:dyDescent="0.25">
      <c r="B268" s="21">
        <v>46093</v>
      </c>
      <c r="C268">
        <v>58</v>
      </c>
      <c r="D268">
        <v>36</v>
      </c>
      <c r="E268">
        <v>52</v>
      </c>
      <c r="F268">
        <v>52</v>
      </c>
      <c r="G268">
        <v>44</v>
      </c>
      <c r="H268">
        <v>61</v>
      </c>
      <c r="I268">
        <v>67</v>
      </c>
      <c r="J268">
        <v>19</v>
      </c>
      <c r="K268">
        <v>53</v>
      </c>
      <c r="L268">
        <v>36</v>
      </c>
      <c r="M268">
        <v>43</v>
      </c>
      <c r="N268">
        <v>40</v>
      </c>
      <c r="O268" s="19">
        <f t="shared" si="41"/>
        <v>47</v>
      </c>
      <c r="P268" s="19">
        <f t="shared" si="42"/>
        <v>11.93</v>
      </c>
      <c r="T268">
        <v>56</v>
      </c>
      <c r="U268">
        <v>44</v>
      </c>
    </row>
    <row r="269" spans="1:23" x14ac:dyDescent="0.25">
      <c r="B269" s="21">
        <v>46094</v>
      </c>
      <c r="C269">
        <v>81</v>
      </c>
      <c r="D269">
        <v>69</v>
      </c>
      <c r="E269">
        <v>80</v>
      </c>
      <c r="F269">
        <v>51</v>
      </c>
      <c r="G269">
        <v>60</v>
      </c>
      <c r="H269">
        <v>27</v>
      </c>
      <c r="I269">
        <v>72</v>
      </c>
      <c r="J269">
        <v>28</v>
      </c>
      <c r="K269">
        <v>77</v>
      </c>
      <c r="L269">
        <v>73</v>
      </c>
      <c r="M269">
        <v>66</v>
      </c>
      <c r="N269">
        <v>71</v>
      </c>
      <c r="O269" s="19">
        <f t="shared" si="41"/>
        <v>64</v>
      </c>
      <c r="P269" s="19">
        <f t="shared" si="42"/>
        <v>16.760000000000002</v>
      </c>
      <c r="T269">
        <v>76</v>
      </c>
      <c r="U269">
        <v>62</v>
      </c>
    </row>
    <row r="270" spans="1:23" x14ac:dyDescent="0.25">
      <c r="B270" s="21">
        <v>46095</v>
      </c>
      <c r="C270">
        <v>133</v>
      </c>
      <c r="D270">
        <v>155</v>
      </c>
      <c r="E270">
        <v>133</v>
      </c>
      <c r="F270">
        <v>104</v>
      </c>
      <c r="G270">
        <v>135</v>
      </c>
      <c r="H270">
        <v>79</v>
      </c>
      <c r="I270">
        <v>130</v>
      </c>
      <c r="J270">
        <v>44</v>
      </c>
      <c r="K270">
        <v>140</v>
      </c>
      <c r="L270">
        <v>149</v>
      </c>
      <c r="M270">
        <v>135</v>
      </c>
      <c r="N270">
        <v>146</v>
      </c>
      <c r="O270" s="19">
        <f t="shared" si="41"/>
        <v>126</v>
      </c>
      <c r="P270" s="19">
        <f t="shared" si="42"/>
        <v>29.3</v>
      </c>
      <c r="T270">
        <v>132</v>
      </c>
      <c r="U270">
        <v>144</v>
      </c>
    </row>
    <row r="271" spans="1:23" x14ac:dyDescent="0.25">
      <c r="B271" s="21">
        <v>46096</v>
      </c>
      <c r="C271">
        <v>64</v>
      </c>
      <c r="D271">
        <v>46</v>
      </c>
      <c r="E271">
        <v>61</v>
      </c>
      <c r="F271">
        <v>32</v>
      </c>
      <c r="G271">
        <v>34</v>
      </c>
      <c r="H271">
        <v>29</v>
      </c>
      <c r="I271">
        <v>49</v>
      </c>
      <c r="J271">
        <v>20</v>
      </c>
      <c r="K271">
        <v>38</v>
      </c>
      <c r="L271">
        <v>56</v>
      </c>
      <c r="M271">
        <v>40</v>
      </c>
      <c r="N271">
        <v>46</v>
      </c>
      <c r="O271" s="19">
        <f t="shared" si="41"/>
        <v>44</v>
      </c>
      <c r="P271" s="19">
        <f t="shared" si="42"/>
        <v>13.91</v>
      </c>
      <c r="T271">
        <v>69</v>
      </c>
      <c r="U271">
        <v>33</v>
      </c>
    </row>
    <row r="272" spans="1:23" x14ac:dyDescent="0.25">
      <c r="B272" s="21">
        <v>46097</v>
      </c>
      <c r="C272">
        <v>58</v>
      </c>
      <c r="D272">
        <v>49</v>
      </c>
      <c r="E272">
        <v>50</v>
      </c>
      <c r="F272">
        <v>36</v>
      </c>
      <c r="G272">
        <v>40</v>
      </c>
      <c r="H272">
        <v>23</v>
      </c>
      <c r="I272">
        <v>46</v>
      </c>
      <c r="J272">
        <v>22</v>
      </c>
      <c r="K272">
        <v>63</v>
      </c>
      <c r="L272">
        <v>49</v>
      </c>
      <c r="M272">
        <v>45</v>
      </c>
      <c r="N272">
        <v>44</v>
      </c>
      <c r="O272" s="19">
        <f t="shared" si="41"/>
        <v>44</v>
      </c>
      <c r="P272" s="19">
        <f t="shared" si="42"/>
        <v>11.05</v>
      </c>
      <c r="T272">
        <v>51</v>
      </c>
      <c r="U272">
        <v>41</v>
      </c>
    </row>
    <row r="273" spans="2:21" x14ac:dyDescent="0.25">
      <c r="B273" s="21">
        <v>46098</v>
      </c>
      <c r="C273">
        <v>42</v>
      </c>
      <c r="D273">
        <v>27</v>
      </c>
      <c r="E273">
        <v>42</v>
      </c>
      <c r="F273">
        <v>16</v>
      </c>
      <c r="G273">
        <v>34</v>
      </c>
      <c r="H273">
        <v>8</v>
      </c>
      <c r="I273">
        <v>44</v>
      </c>
      <c r="J273">
        <v>16</v>
      </c>
      <c r="K273">
        <v>44</v>
      </c>
      <c r="L273">
        <v>23</v>
      </c>
      <c r="M273">
        <v>28</v>
      </c>
      <c r="N273">
        <v>27</v>
      </c>
      <c r="O273" s="19">
        <f t="shared" si="41"/>
        <v>30</v>
      </c>
      <c r="P273" s="19">
        <f t="shared" si="42"/>
        <v>11.76</v>
      </c>
      <c r="T273">
        <v>46</v>
      </c>
      <c r="U273">
        <v>24</v>
      </c>
    </row>
    <row r="274" spans="2:21" x14ac:dyDescent="0.25">
      <c r="B274" s="21">
        <v>46099</v>
      </c>
      <c r="C274">
        <v>56</v>
      </c>
      <c r="D274">
        <v>39</v>
      </c>
      <c r="E274">
        <v>54</v>
      </c>
      <c r="F274">
        <v>47</v>
      </c>
      <c r="G274">
        <v>38</v>
      </c>
      <c r="H274">
        <v>40</v>
      </c>
      <c r="I274">
        <v>66</v>
      </c>
      <c r="J274">
        <v>19</v>
      </c>
      <c r="K274">
        <v>46</v>
      </c>
      <c r="L274">
        <v>37</v>
      </c>
      <c r="M274">
        <v>41</v>
      </c>
      <c r="N274">
        <v>40</v>
      </c>
      <c r="O274" s="19">
        <f t="shared" si="41"/>
        <v>44</v>
      </c>
      <c r="P274" s="19">
        <f t="shared" si="42"/>
        <v>10.81</v>
      </c>
      <c r="T274">
        <v>55</v>
      </c>
      <c r="U274">
        <v>44</v>
      </c>
    </row>
    <row r="275" spans="2:21" x14ac:dyDescent="0.25">
      <c r="B275" s="21">
        <v>46100</v>
      </c>
      <c r="C275">
        <v>62</v>
      </c>
      <c r="D275">
        <v>48</v>
      </c>
      <c r="E275">
        <v>76</v>
      </c>
      <c r="F275">
        <v>48</v>
      </c>
      <c r="G275">
        <v>79</v>
      </c>
      <c r="H275">
        <v>52</v>
      </c>
      <c r="I275">
        <v>74</v>
      </c>
      <c r="J275">
        <v>21</v>
      </c>
      <c r="K275">
        <v>55</v>
      </c>
      <c r="L275">
        <v>48</v>
      </c>
      <c r="M275">
        <v>45</v>
      </c>
      <c r="N275">
        <v>47</v>
      </c>
      <c r="O275" s="19">
        <f t="shared" si="41"/>
        <v>56</v>
      </c>
      <c r="P275" s="19">
        <f t="shared" si="42"/>
        <v>15.07</v>
      </c>
      <c r="T275">
        <v>72</v>
      </c>
      <c r="U275">
        <v>56</v>
      </c>
    </row>
    <row r="276" spans="2:21" x14ac:dyDescent="0.25">
      <c r="B276" s="21">
        <v>46101</v>
      </c>
      <c r="C276">
        <v>72</v>
      </c>
      <c r="D276">
        <v>82</v>
      </c>
      <c r="E276">
        <v>68</v>
      </c>
      <c r="F276">
        <v>69</v>
      </c>
      <c r="G276">
        <v>55</v>
      </c>
      <c r="H276">
        <v>55</v>
      </c>
      <c r="I276">
        <v>82</v>
      </c>
      <c r="J276">
        <v>28</v>
      </c>
      <c r="K276">
        <v>96</v>
      </c>
      <c r="L276">
        <v>91</v>
      </c>
      <c r="M276">
        <v>78</v>
      </c>
      <c r="N276">
        <v>85</v>
      </c>
      <c r="O276" s="19">
        <f t="shared" si="41"/>
        <v>71</v>
      </c>
      <c r="P276" s="19">
        <f t="shared" si="42"/>
        <v>16.739999999999998</v>
      </c>
      <c r="T276">
        <v>71</v>
      </c>
      <c r="U276">
        <v>65</v>
      </c>
    </row>
    <row r="277" spans="2:21" x14ac:dyDescent="0.25">
      <c r="B277" s="21">
        <v>46102</v>
      </c>
      <c r="C277">
        <v>80</v>
      </c>
      <c r="D277">
        <v>106</v>
      </c>
      <c r="E277">
        <v>90</v>
      </c>
      <c r="F277">
        <v>88</v>
      </c>
      <c r="G277">
        <v>75</v>
      </c>
      <c r="H277">
        <v>59</v>
      </c>
      <c r="I277">
        <v>85</v>
      </c>
      <c r="J277">
        <v>35</v>
      </c>
      <c r="K277">
        <v>86</v>
      </c>
      <c r="L277">
        <v>115</v>
      </c>
      <c r="M277">
        <v>94</v>
      </c>
      <c r="N277">
        <v>107</v>
      </c>
      <c r="O277" s="19">
        <f t="shared" si="41"/>
        <v>85</v>
      </c>
      <c r="P277" s="19">
        <f t="shared" si="42"/>
        <v>19.670000000000002</v>
      </c>
      <c r="T277">
        <v>73</v>
      </c>
      <c r="U277">
        <v>91</v>
      </c>
    </row>
    <row r="278" spans="2:21" x14ac:dyDescent="0.25">
      <c r="B278" s="21">
        <v>46103</v>
      </c>
      <c r="C278">
        <v>37</v>
      </c>
      <c r="D278">
        <v>49</v>
      </c>
      <c r="E278">
        <v>67</v>
      </c>
      <c r="F278">
        <v>31</v>
      </c>
      <c r="G278">
        <v>39</v>
      </c>
      <c r="H278">
        <v>23</v>
      </c>
      <c r="I278">
        <v>46</v>
      </c>
      <c r="J278">
        <v>22</v>
      </c>
      <c r="K278">
        <v>52</v>
      </c>
      <c r="L278">
        <v>48</v>
      </c>
      <c r="M278">
        <v>51</v>
      </c>
      <c r="N278">
        <v>49</v>
      </c>
      <c r="O278" s="19">
        <f t="shared" si="41"/>
        <v>43</v>
      </c>
      <c r="P278" s="19">
        <f t="shared" si="42"/>
        <v>11.65</v>
      </c>
      <c r="T278">
        <v>49</v>
      </c>
      <c r="U278">
        <v>42</v>
      </c>
    </row>
    <row r="279" spans="2:21" x14ac:dyDescent="0.25">
      <c r="B279" s="21">
        <v>46104</v>
      </c>
      <c r="C279">
        <v>59</v>
      </c>
      <c r="D279">
        <v>42</v>
      </c>
      <c r="E279">
        <v>46</v>
      </c>
      <c r="F279">
        <v>25</v>
      </c>
      <c r="G279">
        <v>38</v>
      </c>
      <c r="H279">
        <v>9</v>
      </c>
      <c r="I279">
        <v>44</v>
      </c>
      <c r="J279">
        <v>19</v>
      </c>
      <c r="K279">
        <v>51</v>
      </c>
      <c r="L279">
        <v>37</v>
      </c>
      <c r="M279">
        <v>41</v>
      </c>
      <c r="N279">
        <v>38</v>
      </c>
      <c r="O279" s="19">
        <f t="shared" si="41"/>
        <v>38</v>
      </c>
      <c r="P279" s="19">
        <f t="shared" si="42"/>
        <v>12.6</v>
      </c>
      <c r="T279">
        <v>47</v>
      </c>
      <c r="U279">
        <v>32</v>
      </c>
    </row>
    <row r="280" spans="2:21" x14ac:dyDescent="0.25">
      <c r="B280" s="21">
        <v>46105</v>
      </c>
      <c r="C280">
        <v>50</v>
      </c>
      <c r="D280">
        <v>41</v>
      </c>
      <c r="E280">
        <v>45</v>
      </c>
      <c r="F280">
        <v>30</v>
      </c>
      <c r="G280">
        <v>39</v>
      </c>
      <c r="H280">
        <v>13</v>
      </c>
      <c r="I280">
        <v>47</v>
      </c>
      <c r="J280">
        <v>19</v>
      </c>
      <c r="K280">
        <v>47</v>
      </c>
      <c r="L280">
        <v>40</v>
      </c>
      <c r="M280">
        <v>40</v>
      </c>
      <c r="N280">
        <v>40</v>
      </c>
      <c r="O280" s="19">
        <f t="shared" si="41"/>
        <v>38</v>
      </c>
      <c r="P280" s="19">
        <f t="shared" si="42"/>
        <v>10.32</v>
      </c>
      <c r="T280">
        <v>46</v>
      </c>
      <c r="U280">
        <v>38</v>
      </c>
    </row>
    <row r="281" spans="2:21" x14ac:dyDescent="0.25">
      <c r="B281" s="21">
        <v>46106</v>
      </c>
      <c r="C281">
        <v>73</v>
      </c>
      <c r="D281">
        <v>39</v>
      </c>
      <c r="E281">
        <v>55</v>
      </c>
      <c r="F281">
        <v>41</v>
      </c>
      <c r="G281">
        <v>40</v>
      </c>
      <c r="H281">
        <v>32</v>
      </c>
      <c r="I281">
        <v>66</v>
      </c>
      <c r="J281">
        <v>19</v>
      </c>
      <c r="K281">
        <v>49</v>
      </c>
      <c r="L281">
        <v>40</v>
      </c>
      <c r="M281">
        <v>41</v>
      </c>
      <c r="N281">
        <v>40</v>
      </c>
      <c r="O281" s="19">
        <f t="shared" si="41"/>
        <v>46</v>
      </c>
      <c r="P281" s="19">
        <f t="shared" si="42"/>
        <v>13.35</v>
      </c>
      <c r="T281">
        <v>58</v>
      </c>
      <c r="U281">
        <v>45</v>
      </c>
    </row>
    <row r="282" spans="2:21" x14ac:dyDescent="0.25">
      <c r="B282" s="21">
        <v>46107</v>
      </c>
      <c r="C282">
        <v>61</v>
      </c>
      <c r="D282">
        <v>49</v>
      </c>
      <c r="E282">
        <v>74</v>
      </c>
      <c r="F282">
        <v>48</v>
      </c>
      <c r="G282">
        <v>79</v>
      </c>
      <c r="H282">
        <v>50</v>
      </c>
      <c r="I282">
        <v>70</v>
      </c>
      <c r="J282">
        <v>21</v>
      </c>
      <c r="K282">
        <v>56</v>
      </c>
      <c r="L282">
        <v>49</v>
      </c>
      <c r="M282">
        <v>45</v>
      </c>
      <c r="N282">
        <v>47</v>
      </c>
      <c r="O282" s="19">
        <f t="shared" si="41"/>
        <v>55</v>
      </c>
      <c r="P282" s="19">
        <f t="shared" si="42"/>
        <v>14.44</v>
      </c>
      <c r="T282">
        <v>71</v>
      </c>
      <c r="U282">
        <v>55</v>
      </c>
    </row>
    <row r="283" spans="2:21" x14ac:dyDescent="0.25">
      <c r="B283" s="21">
        <v>46108</v>
      </c>
      <c r="C283">
        <v>77</v>
      </c>
      <c r="D283">
        <v>74</v>
      </c>
      <c r="E283">
        <v>85</v>
      </c>
      <c r="F283">
        <v>69</v>
      </c>
      <c r="G283">
        <v>86</v>
      </c>
      <c r="H283">
        <v>59</v>
      </c>
      <c r="I283">
        <v>108</v>
      </c>
      <c r="J283">
        <v>26</v>
      </c>
      <c r="K283">
        <v>79</v>
      </c>
      <c r="L283">
        <v>78</v>
      </c>
      <c r="M283">
        <v>74</v>
      </c>
      <c r="N283">
        <v>71</v>
      </c>
      <c r="O283" s="19">
        <f t="shared" si="41"/>
        <v>74</v>
      </c>
      <c r="P283" s="19">
        <f t="shared" si="42"/>
        <v>16.98</v>
      </c>
      <c r="T283">
        <v>73</v>
      </c>
      <c r="U283">
        <v>75</v>
      </c>
    </row>
    <row r="284" spans="2:21" x14ac:dyDescent="0.25">
      <c r="B284" s="21">
        <v>46109</v>
      </c>
      <c r="C284">
        <v>144</v>
      </c>
      <c r="D284">
        <v>135</v>
      </c>
      <c r="E284">
        <v>135</v>
      </c>
      <c r="F284">
        <v>118</v>
      </c>
      <c r="G284">
        <v>117</v>
      </c>
      <c r="H284">
        <v>87</v>
      </c>
      <c r="I284">
        <v>128</v>
      </c>
      <c r="J284">
        <v>39</v>
      </c>
      <c r="K284">
        <v>148</v>
      </c>
      <c r="L284">
        <v>126</v>
      </c>
      <c r="M284">
        <v>119</v>
      </c>
      <c r="N284">
        <v>122</v>
      </c>
      <c r="O284" s="19">
        <f t="shared" si="41"/>
        <v>119</v>
      </c>
      <c r="P284" s="19">
        <f t="shared" si="42"/>
        <v>26.16</v>
      </c>
      <c r="T284">
        <v>123</v>
      </c>
      <c r="U284">
        <v>123</v>
      </c>
    </row>
    <row r="285" spans="2:21" x14ac:dyDescent="0.25">
      <c r="B285" s="21">
        <v>46110</v>
      </c>
      <c r="C285">
        <v>52</v>
      </c>
      <c r="D285">
        <v>47</v>
      </c>
      <c r="E285">
        <v>49</v>
      </c>
      <c r="F285">
        <v>36</v>
      </c>
      <c r="G285">
        <v>39</v>
      </c>
      <c r="H285">
        <v>21</v>
      </c>
      <c r="I285">
        <v>46</v>
      </c>
      <c r="J285">
        <v>21</v>
      </c>
      <c r="K285">
        <v>57</v>
      </c>
      <c r="L285">
        <v>46</v>
      </c>
      <c r="M285">
        <v>48</v>
      </c>
      <c r="N285">
        <v>46</v>
      </c>
      <c r="O285" s="19">
        <f t="shared" si="41"/>
        <v>43</v>
      </c>
      <c r="P285" s="19">
        <f t="shared" si="42"/>
        <v>10.130000000000001</v>
      </c>
      <c r="T285">
        <v>47</v>
      </c>
      <c r="U285">
        <v>40</v>
      </c>
    </row>
    <row r="286" spans="2:21" x14ac:dyDescent="0.25">
      <c r="B286" s="21">
        <v>46111</v>
      </c>
      <c r="C286">
        <v>60</v>
      </c>
      <c r="D286">
        <v>49</v>
      </c>
      <c r="E286">
        <v>55</v>
      </c>
      <c r="F286">
        <v>36</v>
      </c>
      <c r="G286">
        <v>39</v>
      </c>
      <c r="H286">
        <v>19</v>
      </c>
      <c r="I286">
        <v>48</v>
      </c>
      <c r="J286">
        <v>22</v>
      </c>
      <c r="K286">
        <v>70</v>
      </c>
      <c r="L286">
        <v>49</v>
      </c>
      <c r="M286">
        <v>47</v>
      </c>
      <c r="N286">
        <v>46</v>
      </c>
      <c r="O286" s="19">
        <f t="shared" si="41"/>
        <v>45</v>
      </c>
      <c r="P286" s="19">
        <f t="shared" si="42"/>
        <v>12.98</v>
      </c>
      <c r="T286">
        <v>49</v>
      </c>
      <c r="U286">
        <v>40</v>
      </c>
    </row>
    <row r="287" spans="2:21" x14ac:dyDescent="0.25">
      <c r="B287" s="21">
        <v>46112</v>
      </c>
      <c r="C287">
        <v>69</v>
      </c>
      <c r="D287">
        <v>50</v>
      </c>
      <c r="E287">
        <v>65</v>
      </c>
      <c r="F287">
        <v>34</v>
      </c>
      <c r="G287">
        <v>38</v>
      </c>
      <c r="H287">
        <v>19</v>
      </c>
      <c r="I287">
        <v>57</v>
      </c>
      <c r="J287">
        <v>21</v>
      </c>
      <c r="K287">
        <v>70</v>
      </c>
      <c r="L287">
        <v>48</v>
      </c>
      <c r="M287">
        <v>45</v>
      </c>
      <c r="N287">
        <v>44</v>
      </c>
      <c r="O287" s="19">
        <f t="shared" si="41"/>
        <v>47</v>
      </c>
      <c r="P287" s="19">
        <f t="shared" si="42"/>
        <v>15.4</v>
      </c>
      <c r="T287">
        <v>57</v>
      </c>
      <c r="U287">
        <v>40</v>
      </c>
    </row>
    <row r="288" spans="2:21" x14ac:dyDescent="0.25">
      <c r="B288" s="21">
        <v>46113</v>
      </c>
      <c r="C288">
        <v>57</v>
      </c>
      <c r="D288">
        <v>42</v>
      </c>
      <c r="E288">
        <v>60</v>
      </c>
      <c r="F288">
        <v>33</v>
      </c>
      <c r="G288">
        <v>40</v>
      </c>
      <c r="H288">
        <v>20</v>
      </c>
      <c r="I288">
        <v>60</v>
      </c>
      <c r="J288">
        <v>19</v>
      </c>
      <c r="K288">
        <v>38</v>
      </c>
      <c r="L288">
        <v>43</v>
      </c>
      <c r="M288">
        <v>42</v>
      </c>
      <c r="N288">
        <v>40</v>
      </c>
      <c r="O288" s="19">
        <f t="shared" si="41"/>
        <v>42</v>
      </c>
      <c r="P288" s="19">
        <f t="shared" si="42"/>
        <v>12.59</v>
      </c>
      <c r="T288">
        <v>57</v>
      </c>
      <c r="U288">
        <v>40</v>
      </c>
    </row>
    <row r="289" spans="2:21" ht="15.75" thickBot="1" x14ac:dyDescent="0.3">
      <c r="B289" s="21">
        <v>46114</v>
      </c>
      <c r="C289">
        <v>78</v>
      </c>
      <c r="D289">
        <v>79</v>
      </c>
      <c r="E289">
        <v>80</v>
      </c>
      <c r="F289">
        <v>54</v>
      </c>
      <c r="G289">
        <v>68</v>
      </c>
      <c r="H289">
        <v>41</v>
      </c>
      <c r="I289">
        <v>110</v>
      </c>
      <c r="J289">
        <v>27</v>
      </c>
      <c r="K289">
        <v>78</v>
      </c>
      <c r="L289">
        <v>69</v>
      </c>
      <c r="M289">
        <v>67</v>
      </c>
      <c r="N289">
        <v>69</v>
      </c>
      <c r="O289" s="19">
        <f t="shared" si="41"/>
        <v>70</v>
      </c>
      <c r="P289" s="19">
        <f t="shared" si="42"/>
        <v>19.149999999999999</v>
      </c>
      <c r="T289">
        <v>86</v>
      </c>
      <c r="U289">
        <v>67</v>
      </c>
    </row>
    <row r="290" spans="2:21" ht="15.75" thickBot="1" x14ac:dyDescent="0.3">
      <c r="B290" s="32"/>
      <c r="C290" s="59" t="s">
        <v>53</v>
      </c>
      <c r="D290" s="60"/>
      <c r="E290" s="60" t="s">
        <v>57</v>
      </c>
      <c r="F290" s="60"/>
      <c r="G290" s="60" t="s">
        <v>54</v>
      </c>
      <c r="H290" s="60"/>
      <c r="I290" s="60" t="s">
        <v>58</v>
      </c>
      <c r="J290" s="60"/>
      <c r="K290" s="60" t="s">
        <v>55</v>
      </c>
      <c r="L290" s="60"/>
      <c r="M290" s="60" t="s">
        <v>56</v>
      </c>
      <c r="N290" s="61"/>
      <c r="O290" s="47"/>
      <c r="P290" s="48"/>
      <c r="T290" s="62" t="s">
        <v>66</v>
      </c>
      <c r="U290" s="63"/>
    </row>
    <row r="291" spans="2:21" x14ac:dyDescent="0.25">
      <c r="C291">
        <v>31.34</v>
      </c>
      <c r="D291">
        <v>27.36</v>
      </c>
      <c r="E291">
        <v>24.16</v>
      </c>
      <c r="F291" s="14">
        <v>25.42</v>
      </c>
      <c r="G291" s="14">
        <v>22.55</v>
      </c>
      <c r="H291" s="14">
        <v>24.03</v>
      </c>
      <c r="I291" s="14">
        <v>25.17</v>
      </c>
      <c r="J291" s="14">
        <v>24.65</v>
      </c>
      <c r="K291" s="14">
        <v>21.01</v>
      </c>
      <c r="L291" s="14">
        <v>28.94</v>
      </c>
      <c r="M291" s="14">
        <v>26.77</v>
      </c>
      <c r="N291" s="15">
        <v>28.7</v>
      </c>
    </row>
  </sheetData>
  <mergeCells count="9">
    <mergeCell ref="T290:U290"/>
    <mergeCell ref="B1:O1"/>
    <mergeCell ref="C2:N2"/>
    <mergeCell ref="C290:D290"/>
    <mergeCell ref="I290:J290"/>
    <mergeCell ref="E290:F290"/>
    <mergeCell ref="G290:H290"/>
    <mergeCell ref="K290:L290"/>
    <mergeCell ref="M290:N290"/>
  </mergeCells>
  <conditionalFormatting sqref="C98:N258 T142:U258">
    <cfRule type="expression" dxfId="7" priority="4">
      <formula>ABS(C98-$A98)&lt;=5</formula>
    </cfRule>
    <cfRule type="expression" dxfId="6" priority="5">
      <formula>ABS(C98-$A98)&lt;=10</formula>
    </cfRule>
    <cfRule type="expression" dxfId="5" priority="6">
      <formula>ABS(C98-$A98)&lt;=15</formula>
    </cfRule>
  </conditionalFormatting>
  <conditionalFormatting sqref="C291:N291">
    <cfRule type="cellIs" dxfId="4" priority="1" operator="lessThan">
      <formula>$O$290-$P$290</formula>
    </cfRule>
    <cfRule type="cellIs" dxfId="3" priority="2" operator="greaterThan">
      <formula>$O$290+$P$290</formula>
    </cfRule>
    <cfRule type="cellIs" dxfId="2" priority="3" operator="between">
      <formula>$O$290-$P$290</formula>
      <formula>"$O$264+$P$264"</formula>
    </cfRule>
  </conditionalFormatting>
  <conditionalFormatting sqref="R3:R258">
    <cfRule type="colorScale" priority="9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E22-28C7-4724-829F-017A4559A1C5}">
  <dimension ref="A1:AC657"/>
  <sheetViews>
    <sheetView topLeftCell="A476" zoomScale="85" zoomScaleNormal="85" workbookViewId="0">
      <selection activeCell="X486" sqref="X486:X498"/>
    </sheetView>
  </sheetViews>
  <sheetFormatPr defaultRowHeight="15" x14ac:dyDescent="0.25"/>
  <sheetData>
    <row r="1" spans="1:27" x14ac:dyDescent="0.25">
      <c r="A1" t="s">
        <v>43</v>
      </c>
      <c r="B1" s="32"/>
      <c r="C1" s="53" t="s">
        <v>44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t="s">
        <v>39</v>
      </c>
      <c r="Z1" t="s">
        <v>45</v>
      </c>
      <c r="AA1" t="s">
        <v>9</v>
      </c>
    </row>
    <row r="2" spans="1:27" x14ac:dyDescent="0.25">
      <c r="A2">
        <v>48</v>
      </c>
      <c r="B2" s="33"/>
    </row>
    <row r="3" spans="1:27" x14ac:dyDescent="0.25">
      <c r="A3">
        <v>32</v>
      </c>
      <c r="B3" s="33"/>
    </row>
    <row r="4" spans="1:27" x14ac:dyDescent="0.25">
      <c r="A4">
        <v>48</v>
      </c>
      <c r="B4" s="33"/>
    </row>
    <row r="5" spans="1:27" x14ac:dyDescent="0.25">
      <c r="A5">
        <v>66</v>
      </c>
      <c r="B5" s="33"/>
    </row>
    <row r="6" spans="1:27" x14ac:dyDescent="0.25">
      <c r="A6">
        <v>32</v>
      </c>
      <c r="B6" s="33"/>
    </row>
    <row r="7" spans="1:27" x14ac:dyDescent="0.25">
      <c r="A7">
        <v>138</v>
      </c>
      <c r="B7" s="33"/>
    </row>
    <row r="8" spans="1:27" x14ac:dyDescent="0.25">
      <c r="A8">
        <v>148</v>
      </c>
      <c r="B8" s="33"/>
    </row>
    <row r="9" spans="1:27" x14ac:dyDescent="0.25">
      <c r="A9">
        <v>56</v>
      </c>
      <c r="B9" s="33"/>
    </row>
    <row r="10" spans="1:27" x14ac:dyDescent="0.25">
      <c r="A10">
        <v>43</v>
      </c>
      <c r="B10" s="33"/>
    </row>
    <row r="11" spans="1:27" x14ac:dyDescent="0.25">
      <c r="A11">
        <v>64</v>
      </c>
      <c r="B11" s="33"/>
    </row>
    <row r="12" spans="1:27" x14ac:dyDescent="0.25">
      <c r="A12">
        <v>44</v>
      </c>
      <c r="B12" s="33"/>
    </row>
    <row r="13" spans="1:27" x14ac:dyDescent="0.25">
      <c r="A13">
        <v>86</v>
      </c>
      <c r="B13" s="33"/>
    </row>
    <row r="14" spans="1:27" x14ac:dyDescent="0.25">
      <c r="A14">
        <v>148</v>
      </c>
      <c r="B14" s="33"/>
    </row>
    <row r="15" spans="1:27" x14ac:dyDescent="0.25">
      <c r="A15">
        <v>133</v>
      </c>
      <c r="B15" s="33"/>
    </row>
    <row r="16" spans="1:27" x14ac:dyDescent="0.25">
      <c r="A16">
        <v>84</v>
      </c>
      <c r="B16" s="33"/>
    </row>
    <row r="17" spans="1:28" x14ac:dyDescent="0.25">
      <c r="A17">
        <v>31</v>
      </c>
      <c r="B17" s="33"/>
    </row>
    <row r="18" spans="1:28" x14ac:dyDescent="0.25">
      <c r="A18">
        <v>53</v>
      </c>
      <c r="B18" s="33"/>
    </row>
    <row r="19" spans="1:28" x14ac:dyDescent="0.25">
      <c r="A19">
        <v>38</v>
      </c>
      <c r="B19" s="33"/>
    </row>
    <row r="20" spans="1:28" x14ac:dyDescent="0.25">
      <c r="A20">
        <v>104</v>
      </c>
      <c r="B20" s="33"/>
    </row>
    <row r="21" spans="1:28" x14ac:dyDescent="0.25">
      <c r="A21">
        <v>169</v>
      </c>
      <c r="B21" s="33"/>
    </row>
    <row r="22" spans="1:28" x14ac:dyDescent="0.25">
      <c r="A22">
        <v>184</v>
      </c>
      <c r="B22" s="33"/>
    </row>
    <row r="23" spans="1:28" x14ac:dyDescent="0.25">
      <c r="A23">
        <v>143</v>
      </c>
      <c r="B23" s="33"/>
    </row>
    <row r="24" spans="1:28" x14ac:dyDescent="0.25">
      <c r="A24">
        <v>57</v>
      </c>
      <c r="B24" s="33"/>
      <c r="C24">
        <v>58</v>
      </c>
      <c r="X24" s="18"/>
      <c r="Y24" s="34">
        <f>ROUND(AVERAGE(C24:X24),0)</f>
        <v>58</v>
      </c>
      <c r="Z24">
        <f>ABS(Y24-A24)</f>
        <v>1</v>
      </c>
      <c r="AB24" cm="1">
        <f t="array" ref="AB24">SUMPRODUCT(--(ABS(C24:C45- A24:A45) &lt;= 10))/22</f>
        <v>0.22727272727272727</v>
      </c>
    </row>
    <row r="25" spans="1:28" x14ac:dyDescent="0.25">
      <c r="A25">
        <v>57</v>
      </c>
      <c r="B25" s="33"/>
      <c r="C25">
        <v>63</v>
      </c>
      <c r="X25" s="18"/>
      <c r="Y25" s="34">
        <f t="shared" ref="Y25:Y88" si="0">ROUND(AVERAGE(C25:X25),0)</f>
        <v>63</v>
      </c>
      <c r="Z25">
        <f t="shared" ref="Z25:Z88" si="1">ABS(Y25-A25)</f>
        <v>6</v>
      </c>
    </row>
    <row r="26" spans="1:28" x14ac:dyDescent="0.25">
      <c r="A26">
        <v>77</v>
      </c>
      <c r="B26" s="33"/>
      <c r="C26">
        <v>53</v>
      </c>
      <c r="X26" s="18"/>
      <c r="Y26" s="34">
        <f t="shared" si="0"/>
        <v>53</v>
      </c>
      <c r="Z26">
        <f t="shared" si="1"/>
        <v>24</v>
      </c>
    </row>
    <row r="27" spans="1:28" x14ac:dyDescent="0.25">
      <c r="A27">
        <v>78</v>
      </c>
      <c r="B27" s="33"/>
      <c r="C27">
        <v>95</v>
      </c>
      <c r="X27" s="18"/>
      <c r="Y27" s="34">
        <f t="shared" si="0"/>
        <v>95</v>
      </c>
      <c r="Z27">
        <f t="shared" si="1"/>
        <v>17</v>
      </c>
    </row>
    <row r="28" spans="1:28" x14ac:dyDescent="0.25">
      <c r="A28">
        <v>160</v>
      </c>
      <c r="B28" s="33"/>
      <c r="C28">
        <v>100</v>
      </c>
      <c r="X28" s="18"/>
      <c r="Y28" s="34">
        <f t="shared" si="0"/>
        <v>100</v>
      </c>
      <c r="Z28">
        <f t="shared" si="1"/>
        <v>60</v>
      </c>
    </row>
    <row r="29" spans="1:28" x14ac:dyDescent="0.25">
      <c r="A29">
        <v>157</v>
      </c>
      <c r="B29" s="33"/>
      <c r="C29">
        <v>180</v>
      </c>
      <c r="X29" s="18"/>
      <c r="Y29" s="34">
        <f t="shared" si="0"/>
        <v>180</v>
      </c>
      <c r="Z29">
        <f t="shared" si="1"/>
        <v>23</v>
      </c>
    </row>
    <row r="30" spans="1:28" x14ac:dyDescent="0.25">
      <c r="A30">
        <v>70</v>
      </c>
      <c r="B30" s="33"/>
      <c r="C30">
        <v>67</v>
      </c>
      <c r="X30" s="18"/>
      <c r="Y30" s="34">
        <f t="shared" si="0"/>
        <v>67</v>
      </c>
      <c r="Z30">
        <f t="shared" si="1"/>
        <v>3</v>
      </c>
    </row>
    <row r="31" spans="1:28" x14ac:dyDescent="0.25">
      <c r="A31">
        <v>68</v>
      </c>
      <c r="B31" s="33"/>
      <c r="C31">
        <v>46</v>
      </c>
      <c r="X31" s="18"/>
      <c r="Y31" s="34">
        <f t="shared" si="0"/>
        <v>46</v>
      </c>
      <c r="Z31">
        <f t="shared" si="1"/>
        <v>22</v>
      </c>
    </row>
    <row r="32" spans="1:28" x14ac:dyDescent="0.25">
      <c r="A32">
        <v>40</v>
      </c>
      <c r="B32" s="33"/>
      <c r="C32">
        <v>95</v>
      </c>
      <c r="X32" s="18"/>
      <c r="Y32" s="34">
        <f t="shared" si="0"/>
        <v>95</v>
      </c>
      <c r="Z32">
        <f t="shared" si="1"/>
        <v>55</v>
      </c>
    </row>
    <row r="33" spans="1:28" x14ac:dyDescent="0.25">
      <c r="A33">
        <v>78</v>
      </c>
      <c r="B33" s="33"/>
      <c r="C33">
        <v>98</v>
      </c>
      <c r="X33" s="18"/>
      <c r="Y33" s="34">
        <f t="shared" si="0"/>
        <v>98</v>
      </c>
      <c r="Z33">
        <f t="shared" si="1"/>
        <v>20</v>
      </c>
    </row>
    <row r="34" spans="1:28" x14ac:dyDescent="0.25">
      <c r="A34">
        <v>65</v>
      </c>
      <c r="B34" s="33"/>
      <c r="C34">
        <v>43</v>
      </c>
      <c r="X34" s="18"/>
      <c r="Y34" s="34">
        <f t="shared" si="0"/>
        <v>43</v>
      </c>
      <c r="Z34">
        <f t="shared" si="1"/>
        <v>22</v>
      </c>
    </row>
    <row r="35" spans="1:28" x14ac:dyDescent="0.25">
      <c r="A35">
        <v>151</v>
      </c>
      <c r="B35" s="33"/>
      <c r="C35">
        <v>140</v>
      </c>
      <c r="X35" s="18"/>
      <c r="Y35" s="34">
        <f t="shared" si="0"/>
        <v>140</v>
      </c>
      <c r="Z35">
        <f t="shared" si="1"/>
        <v>11</v>
      </c>
    </row>
    <row r="36" spans="1:28" x14ac:dyDescent="0.25">
      <c r="A36">
        <v>133</v>
      </c>
      <c r="B36" s="33"/>
      <c r="C36">
        <v>177</v>
      </c>
      <c r="X36" s="18"/>
      <c r="Y36" s="34">
        <f t="shared" si="0"/>
        <v>177</v>
      </c>
      <c r="Z36">
        <f t="shared" si="1"/>
        <v>44</v>
      </c>
    </row>
    <row r="37" spans="1:28" x14ac:dyDescent="0.25">
      <c r="A37">
        <v>82</v>
      </c>
      <c r="B37" s="33"/>
      <c r="C37">
        <v>43</v>
      </c>
      <c r="X37" s="18"/>
      <c r="Y37" s="34">
        <f t="shared" si="0"/>
        <v>43</v>
      </c>
      <c r="Z37">
        <f t="shared" si="1"/>
        <v>39</v>
      </c>
    </row>
    <row r="38" spans="1:28" x14ac:dyDescent="0.25">
      <c r="A38">
        <v>63</v>
      </c>
      <c r="B38" s="33"/>
      <c r="C38">
        <v>53</v>
      </c>
      <c r="X38" s="18"/>
      <c r="Y38" s="34">
        <f t="shared" si="0"/>
        <v>53</v>
      </c>
      <c r="Z38">
        <f t="shared" si="1"/>
        <v>10</v>
      </c>
    </row>
    <row r="39" spans="1:28" x14ac:dyDescent="0.25">
      <c r="A39">
        <v>38</v>
      </c>
      <c r="B39" s="33"/>
      <c r="C39">
        <v>50</v>
      </c>
      <c r="X39" s="18"/>
      <c r="Y39" s="34">
        <f t="shared" si="0"/>
        <v>50</v>
      </c>
      <c r="Z39">
        <f t="shared" si="1"/>
        <v>12</v>
      </c>
    </row>
    <row r="40" spans="1:28" x14ac:dyDescent="0.25">
      <c r="A40">
        <v>76</v>
      </c>
      <c r="B40" s="33"/>
      <c r="C40">
        <v>49</v>
      </c>
      <c r="X40" s="18"/>
      <c r="Y40" s="34">
        <f t="shared" si="0"/>
        <v>49</v>
      </c>
      <c r="Z40">
        <f t="shared" si="1"/>
        <v>27</v>
      </c>
    </row>
    <row r="41" spans="1:28" x14ac:dyDescent="0.25">
      <c r="A41">
        <v>73</v>
      </c>
      <c r="B41" s="33"/>
      <c r="C41">
        <v>54</v>
      </c>
      <c r="X41" s="18"/>
      <c r="Y41" s="34">
        <f t="shared" si="0"/>
        <v>54</v>
      </c>
      <c r="Z41">
        <f t="shared" si="1"/>
        <v>19</v>
      </c>
    </row>
    <row r="42" spans="1:28" x14ac:dyDescent="0.25">
      <c r="A42">
        <v>169</v>
      </c>
      <c r="B42" s="33"/>
      <c r="C42">
        <v>142</v>
      </c>
      <c r="X42" s="18"/>
      <c r="Y42" s="34">
        <f t="shared" si="0"/>
        <v>142</v>
      </c>
      <c r="Z42">
        <f t="shared" si="1"/>
        <v>27</v>
      </c>
    </row>
    <row r="43" spans="1:28" x14ac:dyDescent="0.25">
      <c r="A43">
        <v>118</v>
      </c>
      <c r="B43" s="33"/>
      <c r="C43">
        <v>105</v>
      </c>
      <c r="X43" s="18"/>
      <c r="Y43" s="34">
        <f t="shared" si="0"/>
        <v>105</v>
      </c>
      <c r="Z43">
        <f t="shared" si="1"/>
        <v>13</v>
      </c>
    </row>
    <row r="44" spans="1:28" x14ac:dyDescent="0.25">
      <c r="A44">
        <v>40</v>
      </c>
      <c r="B44" s="33"/>
      <c r="C44">
        <v>47</v>
      </c>
      <c r="X44" s="18"/>
      <c r="Y44" s="34">
        <f t="shared" si="0"/>
        <v>47</v>
      </c>
      <c r="Z44">
        <f t="shared" si="1"/>
        <v>7</v>
      </c>
    </row>
    <row r="45" spans="1:28" x14ac:dyDescent="0.25">
      <c r="A45">
        <v>67</v>
      </c>
      <c r="B45" s="33"/>
      <c r="C45">
        <v>54</v>
      </c>
      <c r="X45" s="18"/>
      <c r="Y45" s="34">
        <f t="shared" si="0"/>
        <v>54</v>
      </c>
      <c r="Z45">
        <f t="shared" si="1"/>
        <v>13</v>
      </c>
    </row>
    <row r="46" spans="1:28" x14ac:dyDescent="0.25">
      <c r="A46">
        <v>80</v>
      </c>
      <c r="B46" s="33"/>
      <c r="C46">
        <v>60</v>
      </c>
      <c r="D46">
        <v>49</v>
      </c>
      <c r="X46" s="18"/>
      <c r="Y46" s="34">
        <f t="shared" si="0"/>
        <v>55</v>
      </c>
      <c r="Z46">
        <f t="shared" si="1"/>
        <v>25</v>
      </c>
      <c r="AA46">
        <f t="shared" ref="AA46:AA109" si="2">ROUND(_xlfn.STDEV.P(C46:X46),2)</f>
        <v>5.5</v>
      </c>
      <c r="AB46" cm="1">
        <f t="array" ref="AB46">SUMPRODUCT(--(ABS(D46:D67- A46:A67) &lt;= AC500))/22</f>
        <v>0.40909090909090912</v>
      </c>
    </row>
    <row r="47" spans="1:28" x14ac:dyDescent="0.25">
      <c r="A47">
        <v>72</v>
      </c>
      <c r="B47" s="33"/>
      <c r="C47">
        <v>97</v>
      </c>
      <c r="D47">
        <v>103</v>
      </c>
      <c r="X47" s="18"/>
      <c r="Y47" s="34">
        <f t="shared" si="0"/>
        <v>100</v>
      </c>
      <c r="Z47">
        <f t="shared" si="1"/>
        <v>28</v>
      </c>
      <c r="AA47">
        <f t="shared" si="2"/>
        <v>3</v>
      </c>
    </row>
    <row r="48" spans="1:28" x14ac:dyDescent="0.25">
      <c r="A48">
        <v>51</v>
      </c>
      <c r="B48" s="33"/>
      <c r="C48">
        <v>99</v>
      </c>
      <c r="D48">
        <v>114</v>
      </c>
      <c r="X48" s="18"/>
      <c r="Y48" s="34">
        <f t="shared" si="0"/>
        <v>107</v>
      </c>
      <c r="Z48">
        <f t="shared" si="1"/>
        <v>56</v>
      </c>
      <c r="AA48">
        <f t="shared" si="2"/>
        <v>7.5</v>
      </c>
    </row>
    <row r="49" spans="1:27" x14ac:dyDescent="0.25">
      <c r="A49">
        <v>168</v>
      </c>
      <c r="B49" s="33"/>
      <c r="C49">
        <v>144</v>
      </c>
      <c r="D49">
        <v>156</v>
      </c>
      <c r="X49" s="18"/>
      <c r="Y49" s="34">
        <f t="shared" si="0"/>
        <v>150</v>
      </c>
      <c r="Z49">
        <f t="shared" si="1"/>
        <v>18</v>
      </c>
      <c r="AA49">
        <f t="shared" si="2"/>
        <v>6</v>
      </c>
    </row>
    <row r="50" spans="1:27" x14ac:dyDescent="0.25">
      <c r="A50">
        <v>140</v>
      </c>
      <c r="B50" s="33"/>
      <c r="C50">
        <v>176</v>
      </c>
      <c r="D50">
        <v>138</v>
      </c>
      <c r="X50" s="18"/>
      <c r="Y50" s="34">
        <f t="shared" si="0"/>
        <v>157</v>
      </c>
      <c r="Z50">
        <f t="shared" si="1"/>
        <v>17</v>
      </c>
      <c r="AA50">
        <f t="shared" si="2"/>
        <v>19</v>
      </c>
    </row>
    <row r="51" spans="1:27" x14ac:dyDescent="0.25">
      <c r="A51">
        <v>76</v>
      </c>
      <c r="B51" s="33"/>
      <c r="C51">
        <v>44</v>
      </c>
      <c r="D51">
        <v>61</v>
      </c>
      <c r="X51" s="18"/>
      <c r="Y51" s="34">
        <f t="shared" si="0"/>
        <v>53</v>
      </c>
      <c r="Z51">
        <f t="shared" si="1"/>
        <v>23</v>
      </c>
      <c r="AA51">
        <f t="shared" si="2"/>
        <v>8.5</v>
      </c>
    </row>
    <row r="52" spans="1:27" x14ac:dyDescent="0.25">
      <c r="A52">
        <v>74</v>
      </c>
      <c r="B52" s="33"/>
      <c r="C52">
        <v>43</v>
      </c>
      <c r="D52">
        <v>57</v>
      </c>
      <c r="X52" s="18"/>
      <c r="Y52" s="34">
        <f t="shared" si="0"/>
        <v>50</v>
      </c>
      <c r="Z52">
        <f t="shared" si="1"/>
        <v>24</v>
      </c>
      <c r="AA52">
        <f t="shared" si="2"/>
        <v>7</v>
      </c>
    </row>
    <row r="53" spans="1:27" x14ac:dyDescent="0.25">
      <c r="A53">
        <v>70</v>
      </c>
      <c r="B53" s="33"/>
      <c r="C53">
        <v>49</v>
      </c>
      <c r="D53">
        <v>41</v>
      </c>
      <c r="X53" s="18"/>
      <c r="Y53" s="34">
        <f t="shared" si="0"/>
        <v>45</v>
      </c>
      <c r="Z53">
        <f t="shared" si="1"/>
        <v>25</v>
      </c>
      <c r="AA53">
        <f t="shared" si="2"/>
        <v>4</v>
      </c>
    </row>
    <row r="54" spans="1:27" x14ac:dyDescent="0.25">
      <c r="A54">
        <v>77</v>
      </c>
      <c r="B54" s="33"/>
      <c r="C54">
        <v>43</v>
      </c>
      <c r="D54">
        <v>44</v>
      </c>
      <c r="X54" s="18"/>
      <c r="Y54" s="34">
        <f t="shared" si="0"/>
        <v>44</v>
      </c>
      <c r="Z54">
        <f t="shared" si="1"/>
        <v>33</v>
      </c>
      <c r="AA54">
        <f t="shared" si="2"/>
        <v>0.5</v>
      </c>
    </row>
    <row r="55" spans="1:27" x14ac:dyDescent="0.25">
      <c r="A55">
        <v>75</v>
      </c>
      <c r="B55" s="33"/>
      <c r="C55">
        <v>50</v>
      </c>
      <c r="D55">
        <v>75</v>
      </c>
      <c r="X55" s="18"/>
      <c r="Y55" s="34">
        <f t="shared" si="0"/>
        <v>63</v>
      </c>
      <c r="Z55">
        <f t="shared" si="1"/>
        <v>12</v>
      </c>
      <c r="AA55">
        <f t="shared" si="2"/>
        <v>12.5</v>
      </c>
    </row>
    <row r="56" spans="1:27" x14ac:dyDescent="0.25">
      <c r="A56">
        <v>128</v>
      </c>
      <c r="B56" s="33"/>
      <c r="C56">
        <v>119</v>
      </c>
      <c r="D56">
        <v>130</v>
      </c>
      <c r="X56" s="18"/>
      <c r="Y56" s="34">
        <f t="shared" si="0"/>
        <v>125</v>
      </c>
      <c r="Z56">
        <f t="shared" si="1"/>
        <v>3</v>
      </c>
      <c r="AA56">
        <f t="shared" si="2"/>
        <v>5.5</v>
      </c>
    </row>
    <row r="57" spans="1:27" x14ac:dyDescent="0.25">
      <c r="A57">
        <v>157</v>
      </c>
      <c r="B57" s="33"/>
      <c r="C57">
        <v>163</v>
      </c>
      <c r="D57">
        <v>140</v>
      </c>
      <c r="X57" s="18"/>
      <c r="Y57" s="34">
        <f t="shared" si="0"/>
        <v>152</v>
      </c>
      <c r="Z57">
        <f t="shared" si="1"/>
        <v>5</v>
      </c>
      <c r="AA57">
        <f t="shared" si="2"/>
        <v>11.5</v>
      </c>
    </row>
    <row r="58" spans="1:27" x14ac:dyDescent="0.25">
      <c r="A58">
        <v>97</v>
      </c>
      <c r="B58" s="33"/>
      <c r="C58">
        <v>49</v>
      </c>
      <c r="D58">
        <v>62</v>
      </c>
      <c r="X58" s="18"/>
      <c r="Y58" s="34">
        <f t="shared" si="0"/>
        <v>56</v>
      </c>
      <c r="Z58">
        <f t="shared" si="1"/>
        <v>41</v>
      </c>
      <c r="AA58">
        <f t="shared" si="2"/>
        <v>6.5</v>
      </c>
    </row>
    <row r="59" spans="1:27" x14ac:dyDescent="0.25">
      <c r="A59">
        <v>93</v>
      </c>
      <c r="B59" s="33"/>
      <c r="C59">
        <v>45</v>
      </c>
      <c r="D59">
        <v>51</v>
      </c>
      <c r="X59" s="18"/>
      <c r="Y59" s="34">
        <f t="shared" si="0"/>
        <v>48</v>
      </c>
      <c r="Z59">
        <f t="shared" si="1"/>
        <v>45</v>
      </c>
      <c r="AA59">
        <f t="shared" si="2"/>
        <v>3</v>
      </c>
    </row>
    <row r="60" spans="1:27" x14ac:dyDescent="0.25">
      <c r="A60">
        <v>51</v>
      </c>
      <c r="B60" s="33"/>
      <c r="C60">
        <v>113</v>
      </c>
      <c r="D60">
        <v>43</v>
      </c>
      <c r="X60" s="18"/>
      <c r="Y60" s="34">
        <f t="shared" si="0"/>
        <v>78</v>
      </c>
      <c r="Z60">
        <f t="shared" si="1"/>
        <v>27</v>
      </c>
      <c r="AA60">
        <f t="shared" si="2"/>
        <v>35</v>
      </c>
    </row>
    <row r="61" spans="1:27" x14ac:dyDescent="0.25">
      <c r="A61">
        <v>56</v>
      </c>
      <c r="B61" s="33"/>
      <c r="C61">
        <v>106</v>
      </c>
      <c r="D61">
        <v>70</v>
      </c>
      <c r="X61" s="18"/>
      <c r="Y61" s="34">
        <f t="shared" si="0"/>
        <v>88</v>
      </c>
      <c r="Z61">
        <f t="shared" si="1"/>
        <v>32</v>
      </c>
      <c r="AA61">
        <f t="shared" si="2"/>
        <v>18</v>
      </c>
    </row>
    <row r="62" spans="1:27" x14ac:dyDescent="0.25">
      <c r="A62">
        <v>94</v>
      </c>
      <c r="B62" s="33"/>
      <c r="C62">
        <v>44</v>
      </c>
      <c r="D62">
        <v>85</v>
      </c>
      <c r="X62" s="18"/>
      <c r="Y62" s="34">
        <f t="shared" si="0"/>
        <v>65</v>
      </c>
      <c r="Z62">
        <f t="shared" si="1"/>
        <v>29</v>
      </c>
      <c r="AA62">
        <f t="shared" si="2"/>
        <v>20.5</v>
      </c>
    </row>
    <row r="63" spans="1:27" x14ac:dyDescent="0.25">
      <c r="A63">
        <v>200</v>
      </c>
      <c r="B63" s="33"/>
      <c r="C63">
        <v>100</v>
      </c>
      <c r="D63">
        <v>140</v>
      </c>
      <c r="X63" s="18"/>
      <c r="Y63" s="34">
        <f t="shared" si="0"/>
        <v>120</v>
      </c>
      <c r="Z63">
        <f t="shared" si="1"/>
        <v>80</v>
      </c>
      <c r="AA63">
        <f t="shared" si="2"/>
        <v>20</v>
      </c>
    </row>
    <row r="64" spans="1:27" x14ac:dyDescent="0.25">
      <c r="A64">
        <v>133</v>
      </c>
      <c r="B64" s="33"/>
      <c r="C64">
        <v>82</v>
      </c>
      <c r="D64">
        <v>90</v>
      </c>
      <c r="X64" s="18"/>
      <c r="Y64" s="34">
        <f t="shared" si="0"/>
        <v>86</v>
      </c>
      <c r="Z64">
        <f t="shared" si="1"/>
        <v>47</v>
      </c>
      <c r="AA64">
        <f t="shared" si="2"/>
        <v>4</v>
      </c>
    </row>
    <row r="65" spans="1:28" x14ac:dyDescent="0.25">
      <c r="A65">
        <v>82</v>
      </c>
      <c r="B65" s="33"/>
      <c r="C65">
        <v>60</v>
      </c>
      <c r="D65">
        <v>65</v>
      </c>
      <c r="X65" s="18"/>
      <c r="Y65" s="34">
        <f t="shared" si="0"/>
        <v>63</v>
      </c>
      <c r="Z65">
        <f t="shared" si="1"/>
        <v>19</v>
      </c>
      <c r="AA65">
        <f t="shared" si="2"/>
        <v>2.5</v>
      </c>
    </row>
    <row r="66" spans="1:28" x14ac:dyDescent="0.25">
      <c r="A66">
        <v>54</v>
      </c>
      <c r="B66" s="33"/>
      <c r="C66">
        <v>59</v>
      </c>
      <c r="D66">
        <v>46</v>
      </c>
      <c r="X66" s="18"/>
      <c r="Y66" s="34">
        <f t="shared" si="0"/>
        <v>53</v>
      </c>
      <c r="Z66">
        <f t="shared" si="1"/>
        <v>1</v>
      </c>
      <c r="AA66">
        <f t="shared" si="2"/>
        <v>6.5</v>
      </c>
    </row>
    <row r="67" spans="1:28" x14ac:dyDescent="0.25">
      <c r="A67">
        <v>38</v>
      </c>
      <c r="B67" s="33"/>
      <c r="C67">
        <v>81</v>
      </c>
      <c r="D67">
        <v>87</v>
      </c>
      <c r="X67" s="18"/>
      <c r="Y67" s="34">
        <f t="shared" si="0"/>
        <v>84</v>
      </c>
      <c r="Z67">
        <f t="shared" si="1"/>
        <v>46</v>
      </c>
      <c r="AA67">
        <f t="shared" si="2"/>
        <v>3</v>
      </c>
    </row>
    <row r="68" spans="1:28" x14ac:dyDescent="0.25">
      <c r="A68">
        <v>85</v>
      </c>
      <c r="B68" s="33"/>
      <c r="C68">
        <v>43</v>
      </c>
      <c r="D68">
        <v>46</v>
      </c>
      <c r="E68" s="35">
        <v>64</v>
      </c>
      <c r="X68" s="18"/>
      <c r="Y68" s="34">
        <f t="shared" si="0"/>
        <v>51</v>
      </c>
      <c r="Z68">
        <f t="shared" si="1"/>
        <v>34</v>
      </c>
      <c r="AA68">
        <f t="shared" si="2"/>
        <v>9.27</v>
      </c>
      <c r="AB68" cm="1">
        <f t="array" ref="AB68">SUMPRODUCT(--(ABS(E68:E89- A68:A89) &lt;= AC500))/22</f>
        <v>0.27272727272727271</v>
      </c>
    </row>
    <row r="69" spans="1:28" x14ac:dyDescent="0.25">
      <c r="A69">
        <v>78</v>
      </c>
      <c r="B69" s="33"/>
      <c r="C69">
        <v>66</v>
      </c>
      <c r="D69">
        <v>105</v>
      </c>
      <c r="E69" s="35">
        <v>94</v>
      </c>
      <c r="X69" s="18"/>
      <c r="Y69" s="34">
        <f t="shared" si="0"/>
        <v>88</v>
      </c>
      <c r="Z69">
        <f t="shared" si="1"/>
        <v>10</v>
      </c>
      <c r="AA69">
        <f t="shared" si="2"/>
        <v>16.420000000000002</v>
      </c>
    </row>
    <row r="70" spans="1:28" x14ac:dyDescent="0.25">
      <c r="A70">
        <v>176</v>
      </c>
      <c r="B70" s="33"/>
      <c r="C70">
        <v>144</v>
      </c>
      <c r="D70">
        <v>134</v>
      </c>
      <c r="E70" s="35">
        <v>134</v>
      </c>
      <c r="X70" s="18"/>
      <c r="Y70" s="34">
        <f t="shared" si="0"/>
        <v>137</v>
      </c>
      <c r="Z70">
        <f t="shared" si="1"/>
        <v>39</v>
      </c>
      <c r="AA70">
        <f t="shared" si="2"/>
        <v>4.71</v>
      </c>
    </row>
    <row r="71" spans="1:28" x14ac:dyDescent="0.25">
      <c r="A71">
        <v>180</v>
      </c>
      <c r="B71" s="33"/>
      <c r="C71">
        <v>150</v>
      </c>
      <c r="D71">
        <v>136</v>
      </c>
      <c r="E71" s="35">
        <v>148</v>
      </c>
      <c r="X71" s="18"/>
      <c r="Y71" s="34">
        <f t="shared" si="0"/>
        <v>145</v>
      </c>
      <c r="Z71">
        <f t="shared" si="1"/>
        <v>35</v>
      </c>
      <c r="AA71">
        <f t="shared" si="2"/>
        <v>6.18</v>
      </c>
    </row>
    <row r="72" spans="1:28" x14ac:dyDescent="0.25">
      <c r="A72">
        <v>69</v>
      </c>
      <c r="B72" s="33"/>
      <c r="C72">
        <v>48</v>
      </c>
      <c r="D72">
        <v>64</v>
      </c>
      <c r="E72" s="35">
        <v>90</v>
      </c>
      <c r="X72" s="18"/>
      <c r="Y72" s="34">
        <f t="shared" si="0"/>
        <v>67</v>
      </c>
      <c r="Z72">
        <f t="shared" si="1"/>
        <v>2</v>
      </c>
      <c r="AA72">
        <f t="shared" si="2"/>
        <v>17.309999999999999</v>
      </c>
    </row>
    <row r="73" spans="1:28" x14ac:dyDescent="0.25">
      <c r="A73">
        <v>81</v>
      </c>
      <c r="B73" s="33"/>
      <c r="C73">
        <v>50</v>
      </c>
      <c r="D73">
        <v>46</v>
      </c>
      <c r="E73" s="35">
        <v>50</v>
      </c>
      <c r="X73" s="18"/>
      <c r="Y73" s="34">
        <f t="shared" si="0"/>
        <v>49</v>
      </c>
      <c r="Z73">
        <f t="shared" si="1"/>
        <v>32</v>
      </c>
      <c r="AA73">
        <f t="shared" si="2"/>
        <v>1.89</v>
      </c>
    </row>
    <row r="74" spans="1:28" x14ac:dyDescent="0.25">
      <c r="A74">
        <v>58</v>
      </c>
      <c r="B74" s="33"/>
      <c r="C74">
        <v>48</v>
      </c>
      <c r="D74">
        <v>50</v>
      </c>
      <c r="E74" s="35">
        <v>71</v>
      </c>
      <c r="X74" s="18"/>
      <c r="Y74" s="34">
        <f t="shared" si="0"/>
        <v>56</v>
      </c>
      <c r="Z74">
        <f t="shared" si="1"/>
        <v>2</v>
      </c>
      <c r="AA74">
        <f t="shared" si="2"/>
        <v>10.4</v>
      </c>
    </row>
    <row r="75" spans="1:28" x14ac:dyDescent="0.25">
      <c r="A75">
        <v>112</v>
      </c>
      <c r="B75" s="33"/>
      <c r="C75">
        <v>60</v>
      </c>
      <c r="D75">
        <v>75</v>
      </c>
      <c r="E75" s="35">
        <v>98</v>
      </c>
      <c r="X75" s="18"/>
      <c r="Y75" s="34">
        <f t="shared" si="0"/>
        <v>78</v>
      </c>
      <c r="Z75">
        <f t="shared" si="1"/>
        <v>34</v>
      </c>
      <c r="AA75">
        <f t="shared" si="2"/>
        <v>15.63</v>
      </c>
    </row>
    <row r="76" spans="1:28" x14ac:dyDescent="0.25">
      <c r="A76">
        <v>88</v>
      </c>
      <c r="B76" s="33"/>
      <c r="C76">
        <v>43</v>
      </c>
      <c r="D76">
        <v>45</v>
      </c>
      <c r="E76" s="35">
        <v>188</v>
      </c>
      <c r="X76" s="18"/>
      <c r="Y76" s="34">
        <f t="shared" si="0"/>
        <v>92</v>
      </c>
      <c r="Z76">
        <f t="shared" si="1"/>
        <v>4</v>
      </c>
      <c r="AA76">
        <f t="shared" si="2"/>
        <v>67.89</v>
      </c>
    </row>
    <row r="77" spans="1:28" x14ac:dyDescent="0.25">
      <c r="A77">
        <v>151</v>
      </c>
      <c r="B77" s="33"/>
      <c r="C77">
        <v>134</v>
      </c>
      <c r="D77">
        <v>143</v>
      </c>
      <c r="E77" s="35">
        <v>160</v>
      </c>
      <c r="X77" s="18"/>
      <c r="Y77" s="34">
        <f t="shared" si="0"/>
        <v>146</v>
      </c>
      <c r="Z77">
        <f t="shared" si="1"/>
        <v>5</v>
      </c>
      <c r="AA77">
        <f t="shared" si="2"/>
        <v>10.78</v>
      </c>
    </row>
    <row r="78" spans="1:28" x14ac:dyDescent="0.25">
      <c r="A78">
        <v>194</v>
      </c>
      <c r="B78" s="33"/>
      <c r="C78">
        <v>178</v>
      </c>
      <c r="D78">
        <v>149</v>
      </c>
      <c r="E78" s="35">
        <v>212</v>
      </c>
      <c r="X78" s="18"/>
      <c r="Y78" s="34">
        <f t="shared" si="0"/>
        <v>180</v>
      </c>
      <c r="Z78">
        <f t="shared" si="1"/>
        <v>14</v>
      </c>
      <c r="AA78">
        <f t="shared" si="2"/>
        <v>25.75</v>
      </c>
    </row>
    <row r="79" spans="1:28" x14ac:dyDescent="0.25">
      <c r="A79">
        <v>54</v>
      </c>
      <c r="B79" s="33"/>
      <c r="C79">
        <v>43</v>
      </c>
      <c r="D79">
        <v>64</v>
      </c>
      <c r="E79" s="35">
        <v>42</v>
      </c>
      <c r="X79" s="18"/>
      <c r="Y79" s="34">
        <f t="shared" si="0"/>
        <v>50</v>
      </c>
      <c r="Z79">
        <f t="shared" si="1"/>
        <v>4</v>
      </c>
      <c r="AA79">
        <f t="shared" si="2"/>
        <v>10.14</v>
      </c>
    </row>
    <row r="80" spans="1:28" x14ac:dyDescent="0.25">
      <c r="A80">
        <v>85</v>
      </c>
      <c r="B80" s="33"/>
      <c r="C80">
        <v>54</v>
      </c>
      <c r="D80">
        <v>53</v>
      </c>
      <c r="E80" s="35">
        <v>60</v>
      </c>
      <c r="X80" s="18"/>
      <c r="Y80" s="34">
        <f t="shared" si="0"/>
        <v>56</v>
      </c>
      <c r="Z80">
        <f t="shared" si="1"/>
        <v>29</v>
      </c>
      <c r="AA80">
        <f t="shared" si="2"/>
        <v>3.09</v>
      </c>
    </row>
    <row r="81" spans="1:28" x14ac:dyDescent="0.25">
      <c r="A81">
        <v>47</v>
      </c>
      <c r="B81" s="33"/>
      <c r="C81">
        <v>45</v>
      </c>
      <c r="D81">
        <v>46</v>
      </c>
      <c r="E81" s="35">
        <v>109</v>
      </c>
      <c r="X81" s="18"/>
      <c r="Y81" s="34">
        <f t="shared" si="0"/>
        <v>67</v>
      </c>
      <c r="Z81">
        <f t="shared" si="1"/>
        <v>20</v>
      </c>
      <c r="AA81">
        <f t="shared" si="2"/>
        <v>29.94</v>
      </c>
    </row>
    <row r="82" spans="1:28" x14ac:dyDescent="0.25">
      <c r="A82">
        <v>71</v>
      </c>
      <c r="B82" s="33"/>
      <c r="C82">
        <v>93</v>
      </c>
      <c r="D82">
        <v>95</v>
      </c>
      <c r="E82" s="35">
        <v>114</v>
      </c>
      <c r="X82" s="18"/>
      <c r="Y82" s="34">
        <f t="shared" si="0"/>
        <v>101</v>
      </c>
      <c r="Z82">
        <f t="shared" si="1"/>
        <v>30</v>
      </c>
      <c r="AA82">
        <f t="shared" si="2"/>
        <v>9.4600000000000009</v>
      </c>
    </row>
    <row r="83" spans="1:28" x14ac:dyDescent="0.25">
      <c r="A83">
        <v>135</v>
      </c>
      <c r="B83" s="33"/>
      <c r="C83">
        <v>47</v>
      </c>
      <c r="D83">
        <v>93</v>
      </c>
      <c r="E83" s="35">
        <v>144</v>
      </c>
      <c r="X83" s="18"/>
      <c r="Y83" s="34">
        <f t="shared" si="0"/>
        <v>95</v>
      </c>
      <c r="Z83">
        <f t="shared" si="1"/>
        <v>40</v>
      </c>
      <c r="AA83">
        <f t="shared" si="2"/>
        <v>39.619999999999997</v>
      </c>
    </row>
    <row r="84" spans="1:28" x14ac:dyDescent="0.25">
      <c r="A84">
        <v>167</v>
      </c>
      <c r="B84" s="33"/>
      <c r="C84">
        <v>118</v>
      </c>
      <c r="D84">
        <v>142</v>
      </c>
      <c r="E84" s="35">
        <v>201</v>
      </c>
      <c r="X84" s="18"/>
      <c r="Y84" s="34">
        <f t="shared" si="0"/>
        <v>154</v>
      </c>
      <c r="Z84">
        <f t="shared" si="1"/>
        <v>13</v>
      </c>
      <c r="AA84">
        <f t="shared" si="2"/>
        <v>34.869999999999997</v>
      </c>
    </row>
    <row r="85" spans="1:28" x14ac:dyDescent="0.25">
      <c r="A85">
        <v>184</v>
      </c>
      <c r="B85" s="33"/>
      <c r="C85">
        <v>55</v>
      </c>
      <c r="D85">
        <v>81</v>
      </c>
      <c r="E85" s="35">
        <v>91</v>
      </c>
      <c r="X85" s="18"/>
      <c r="Y85" s="34">
        <f t="shared" si="0"/>
        <v>76</v>
      </c>
      <c r="Z85">
        <f t="shared" si="1"/>
        <v>108</v>
      </c>
      <c r="AA85">
        <f t="shared" si="2"/>
        <v>15.17</v>
      </c>
    </row>
    <row r="86" spans="1:28" x14ac:dyDescent="0.25">
      <c r="A86">
        <v>65</v>
      </c>
      <c r="B86" s="33"/>
      <c r="C86">
        <v>43</v>
      </c>
      <c r="D86">
        <v>68</v>
      </c>
      <c r="E86" s="35">
        <v>42</v>
      </c>
      <c r="X86" s="18"/>
      <c r="Y86" s="34">
        <f t="shared" si="0"/>
        <v>51</v>
      </c>
      <c r="Z86">
        <f t="shared" si="1"/>
        <v>14</v>
      </c>
      <c r="AA86">
        <f t="shared" si="2"/>
        <v>12.03</v>
      </c>
    </row>
    <row r="87" spans="1:28" x14ac:dyDescent="0.25">
      <c r="A87">
        <v>73</v>
      </c>
      <c r="B87" s="33"/>
      <c r="C87">
        <v>51</v>
      </c>
      <c r="D87">
        <v>48</v>
      </c>
      <c r="E87" s="35">
        <v>43</v>
      </c>
      <c r="X87" s="18"/>
      <c r="Y87" s="34">
        <f t="shared" si="0"/>
        <v>47</v>
      </c>
      <c r="Z87">
        <f t="shared" si="1"/>
        <v>26</v>
      </c>
      <c r="AA87">
        <f t="shared" si="2"/>
        <v>3.3</v>
      </c>
    </row>
    <row r="88" spans="1:28" x14ac:dyDescent="0.25">
      <c r="A88">
        <v>86</v>
      </c>
      <c r="B88" s="33"/>
      <c r="C88">
        <v>43</v>
      </c>
      <c r="D88">
        <v>47</v>
      </c>
      <c r="E88" s="35">
        <v>73</v>
      </c>
      <c r="X88" s="18"/>
      <c r="Y88" s="34">
        <f t="shared" si="0"/>
        <v>54</v>
      </c>
      <c r="Z88">
        <f t="shared" si="1"/>
        <v>32</v>
      </c>
      <c r="AA88">
        <f t="shared" si="2"/>
        <v>13.3</v>
      </c>
    </row>
    <row r="89" spans="1:28" x14ac:dyDescent="0.25">
      <c r="A89">
        <v>103</v>
      </c>
      <c r="B89" s="33"/>
      <c r="C89">
        <v>50</v>
      </c>
      <c r="D89">
        <v>50</v>
      </c>
      <c r="E89" s="35">
        <v>67</v>
      </c>
      <c r="X89" s="18"/>
      <c r="Y89" s="34">
        <f t="shared" ref="Y89:Y152" si="3">ROUND(AVERAGE(C89:X89),0)</f>
        <v>56</v>
      </c>
      <c r="Z89">
        <f t="shared" ref="Z89:Z152" si="4">ABS(Y89-A89)</f>
        <v>47</v>
      </c>
      <c r="AA89">
        <f t="shared" si="2"/>
        <v>8.01</v>
      </c>
    </row>
    <row r="90" spans="1:28" x14ac:dyDescent="0.25">
      <c r="A90">
        <v>87</v>
      </c>
      <c r="B90" s="33"/>
      <c r="C90">
        <v>68</v>
      </c>
      <c r="D90">
        <v>108</v>
      </c>
      <c r="E90" s="35">
        <v>102</v>
      </c>
      <c r="F90">
        <v>101</v>
      </c>
      <c r="X90" s="18"/>
      <c r="Y90" s="34">
        <f t="shared" si="3"/>
        <v>95</v>
      </c>
      <c r="Z90">
        <f t="shared" si="4"/>
        <v>8</v>
      </c>
      <c r="AA90">
        <f t="shared" si="2"/>
        <v>15.67</v>
      </c>
      <c r="AB90" cm="1">
        <f t="array" ref="AB90">SUMPRODUCT(--(ABS(F90:F111- A90:A111) &lt;= AC500))/22</f>
        <v>0.36363636363636365</v>
      </c>
    </row>
    <row r="91" spans="1:28" x14ac:dyDescent="0.25">
      <c r="A91">
        <v>190</v>
      </c>
      <c r="B91" s="33"/>
      <c r="C91">
        <v>135</v>
      </c>
      <c r="D91">
        <v>152</v>
      </c>
      <c r="E91" s="35">
        <v>193</v>
      </c>
      <c r="F91">
        <v>162</v>
      </c>
      <c r="X91" s="18"/>
      <c r="Y91" s="34">
        <f t="shared" si="3"/>
        <v>161</v>
      </c>
      <c r="Z91">
        <f t="shared" si="4"/>
        <v>29</v>
      </c>
      <c r="AA91">
        <f t="shared" si="2"/>
        <v>21.1</v>
      </c>
    </row>
    <row r="92" spans="1:28" x14ac:dyDescent="0.25">
      <c r="A92">
        <v>202</v>
      </c>
      <c r="B92" s="33"/>
      <c r="C92">
        <v>174</v>
      </c>
      <c r="D92">
        <v>165</v>
      </c>
      <c r="E92" s="35">
        <v>252</v>
      </c>
      <c r="F92">
        <v>190</v>
      </c>
      <c r="X92" s="18"/>
      <c r="Y92" s="34">
        <f t="shared" si="3"/>
        <v>195</v>
      </c>
      <c r="Z92">
        <f t="shared" si="4"/>
        <v>7</v>
      </c>
      <c r="AA92">
        <f t="shared" si="2"/>
        <v>33.97</v>
      </c>
    </row>
    <row r="93" spans="1:28" x14ac:dyDescent="0.25">
      <c r="A93">
        <v>69</v>
      </c>
      <c r="B93" s="33"/>
      <c r="C93">
        <v>62</v>
      </c>
      <c r="D93">
        <v>42</v>
      </c>
      <c r="E93" s="35">
        <v>49</v>
      </c>
      <c r="F93">
        <v>45</v>
      </c>
      <c r="X93" s="18"/>
      <c r="Y93" s="34">
        <f t="shared" si="3"/>
        <v>50</v>
      </c>
      <c r="Z93">
        <f t="shared" si="4"/>
        <v>19</v>
      </c>
      <c r="AA93">
        <f t="shared" si="2"/>
        <v>7.63</v>
      </c>
    </row>
    <row r="94" spans="1:28" x14ac:dyDescent="0.25">
      <c r="A94">
        <v>83</v>
      </c>
      <c r="B94" s="33"/>
      <c r="C94">
        <v>52</v>
      </c>
      <c r="D94">
        <v>42</v>
      </c>
      <c r="E94" s="35">
        <v>63</v>
      </c>
      <c r="F94">
        <v>44</v>
      </c>
      <c r="X94" s="18"/>
      <c r="Y94" s="34">
        <f t="shared" si="3"/>
        <v>50</v>
      </c>
      <c r="Z94">
        <f t="shared" si="4"/>
        <v>33</v>
      </c>
      <c r="AA94">
        <f t="shared" si="2"/>
        <v>8.26</v>
      </c>
    </row>
    <row r="95" spans="1:28" x14ac:dyDescent="0.25">
      <c r="A95">
        <v>107</v>
      </c>
      <c r="B95" s="33"/>
      <c r="C95">
        <v>43</v>
      </c>
      <c r="D95">
        <v>50</v>
      </c>
      <c r="E95" s="35">
        <v>115</v>
      </c>
      <c r="F95">
        <v>51</v>
      </c>
      <c r="X95" s="18"/>
      <c r="Y95" s="34">
        <f t="shared" si="3"/>
        <v>65</v>
      </c>
      <c r="Z95">
        <f t="shared" si="4"/>
        <v>42</v>
      </c>
      <c r="AA95">
        <f t="shared" si="2"/>
        <v>29.18</v>
      </c>
    </row>
    <row r="96" spans="1:28" x14ac:dyDescent="0.25">
      <c r="A96">
        <v>101</v>
      </c>
      <c r="B96" s="33"/>
      <c r="C96">
        <v>43</v>
      </c>
      <c r="D96">
        <v>42</v>
      </c>
      <c r="E96" s="35">
        <v>101</v>
      </c>
      <c r="F96">
        <v>89</v>
      </c>
      <c r="X96" s="18"/>
      <c r="Y96" s="34">
        <f t="shared" si="3"/>
        <v>69</v>
      </c>
      <c r="Z96">
        <f t="shared" si="4"/>
        <v>32</v>
      </c>
      <c r="AA96">
        <f t="shared" si="2"/>
        <v>26.59</v>
      </c>
    </row>
    <row r="97" spans="1:28" x14ac:dyDescent="0.25">
      <c r="A97">
        <v>154</v>
      </c>
      <c r="B97" s="33"/>
      <c r="C97">
        <v>54</v>
      </c>
      <c r="D97">
        <v>103</v>
      </c>
      <c r="E97" s="35">
        <v>144</v>
      </c>
      <c r="F97">
        <v>130</v>
      </c>
      <c r="X97" s="18"/>
      <c r="Y97" s="34">
        <f t="shared" si="3"/>
        <v>108</v>
      </c>
      <c r="Z97">
        <f t="shared" si="4"/>
        <v>46</v>
      </c>
      <c r="AA97">
        <f t="shared" si="2"/>
        <v>34.35</v>
      </c>
    </row>
    <row r="98" spans="1:28" x14ac:dyDescent="0.25">
      <c r="A98">
        <v>181</v>
      </c>
      <c r="B98" s="33"/>
      <c r="C98">
        <v>128</v>
      </c>
      <c r="D98">
        <v>149</v>
      </c>
      <c r="E98" s="35">
        <v>207</v>
      </c>
      <c r="F98">
        <v>161</v>
      </c>
      <c r="X98" s="18"/>
      <c r="Y98" s="34">
        <f t="shared" si="3"/>
        <v>161</v>
      </c>
      <c r="Z98">
        <f t="shared" si="4"/>
        <v>20</v>
      </c>
      <c r="AA98">
        <f t="shared" si="2"/>
        <v>28.93</v>
      </c>
    </row>
    <row r="99" spans="1:28" x14ac:dyDescent="0.25">
      <c r="A99">
        <v>208</v>
      </c>
      <c r="B99" s="33"/>
      <c r="C99">
        <v>174</v>
      </c>
      <c r="D99">
        <v>132</v>
      </c>
      <c r="E99" s="35">
        <v>187</v>
      </c>
      <c r="F99">
        <v>177</v>
      </c>
      <c r="X99" s="18"/>
      <c r="Y99" s="34">
        <f t="shared" si="3"/>
        <v>168</v>
      </c>
      <c r="Z99">
        <f t="shared" si="4"/>
        <v>40</v>
      </c>
      <c r="AA99">
        <f t="shared" si="2"/>
        <v>21.05</v>
      </c>
    </row>
    <row r="100" spans="1:28" x14ac:dyDescent="0.25">
      <c r="A100">
        <v>92</v>
      </c>
      <c r="B100" s="33"/>
      <c r="C100">
        <v>64</v>
      </c>
      <c r="D100">
        <v>56</v>
      </c>
      <c r="E100" s="35">
        <v>57</v>
      </c>
      <c r="F100">
        <v>107</v>
      </c>
      <c r="X100" s="18"/>
      <c r="Y100" s="34">
        <f t="shared" si="3"/>
        <v>71</v>
      </c>
      <c r="Z100">
        <f t="shared" si="4"/>
        <v>21</v>
      </c>
      <c r="AA100">
        <f t="shared" si="2"/>
        <v>21.01</v>
      </c>
    </row>
    <row r="101" spans="1:28" x14ac:dyDescent="0.25">
      <c r="A101">
        <v>72</v>
      </c>
      <c r="B101" s="33"/>
      <c r="C101">
        <v>55</v>
      </c>
      <c r="D101">
        <v>44</v>
      </c>
      <c r="E101" s="35">
        <v>64</v>
      </c>
      <c r="F101">
        <v>73</v>
      </c>
      <c r="X101" s="18"/>
      <c r="Y101" s="34">
        <f t="shared" si="3"/>
        <v>59</v>
      </c>
      <c r="Z101">
        <f t="shared" si="4"/>
        <v>13</v>
      </c>
      <c r="AA101">
        <f t="shared" si="2"/>
        <v>10.75</v>
      </c>
    </row>
    <row r="102" spans="1:28" x14ac:dyDescent="0.25">
      <c r="A102">
        <v>85</v>
      </c>
      <c r="B102" s="33"/>
      <c r="C102">
        <v>43</v>
      </c>
      <c r="D102">
        <v>42</v>
      </c>
      <c r="E102" s="35">
        <v>87</v>
      </c>
      <c r="F102">
        <v>55</v>
      </c>
      <c r="X102" s="18"/>
      <c r="Y102" s="34">
        <f t="shared" si="3"/>
        <v>57</v>
      </c>
      <c r="Z102">
        <f t="shared" si="4"/>
        <v>28</v>
      </c>
      <c r="AA102">
        <f t="shared" si="2"/>
        <v>18.2</v>
      </c>
    </row>
    <row r="103" spans="1:28" x14ac:dyDescent="0.25">
      <c r="A103">
        <v>62</v>
      </c>
      <c r="B103" s="33"/>
      <c r="C103">
        <v>43</v>
      </c>
      <c r="D103">
        <v>43</v>
      </c>
      <c r="E103" s="35">
        <v>128</v>
      </c>
      <c r="F103">
        <v>83</v>
      </c>
      <c r="X103" s="18"/>
      <c r="Y103" s="34">
        <f t="shared" si="3"/>
        <v>74</v>
      </c>
      <c r="Z103">
        <f t="shared" si="4"/>
        <v>12</v>
      </c>
      <c r="AA103">
        <f t="shared" si="2"/>
        <v>35.07</v>
      </c>
    </row>
    <row r="104" spans="1:28" x14ac:dyDescent="0.25">
      <c r="A104">
        <v>99</v>
      </c>
      <c r="B104" s="33"/>
      <c r="C104">
        <v>72</v>
      </c>
      <c r="D104">
        <v>89</v>
      </c>
      <c r="E104" s="35">
        <v>143</v>
      </c>
      <c r="F104">
        <v>87</v>
      </c>
      <c r="X104" s="18"/>
      <c r="Y104" s="34">
        <f t="shared" si="3"/>
        <v>98</v>
      </c>
      <c r="Z104">
        <f t="shared" si="4"/>
        <v>1</v>
      </c>
      <c r="AA104">
        <f t="shared" si="2"/>
        <v>26.94</v>
      </c>
    </row>
    <row r="105" spans="1:28" x14ac:dyDescent="0.25">
      <c r="A105">
        <v>200</v>
      </c>
      <c r="B105" s="33"/>
      <c r="C105">
        <v>141</v>
      </c>
      <c r="D105">
        <v>124</v>
      </c>
      <c r="E105" s="35">
        <v>140</v>
      </c>
      <c r="F105">
        <v>166</v>
      </c>
      <c r="X105" s="18"/>
      <c r="Y105" s="34">
        <f t="shared" si="3"/>
        <v>143</v>
      </c>
      <c r="Z105">
        <f t="shared" si="4"/>
        <v>57</v>
      </c>
      <c r="AA105">
        <f t="shared" si="2"/>
        <v>15.02</v>
      </c>
    </row>
    <row r="106" spans="1:28" x14ac:dyDescent="0.25">
      <c r="A106">
        <v>164</v>
      </c>
      <c r="B106" s="33"/>
      <c r="C106">
        <v>163</v>
      </c>
      <c r="D106">
        <v>119</v>
      </c>
      <c r="E106" s="35">
        <v>191</v>
      </c>
      <c r="F106">
        <v>177</v>
      </c>
      <c r="X106" s="18"/>
      <c r="Y106" s="34">
        <f t="shared" si="3"/>
        <v>163</v>
      </c>
      <c r="Z106">
        <f t="shared" si="4"/>
        <v>1</v>
      </c>
      <c r="AA106">
        <f t="shared" si="2"/>
        <v>27</v>
      </c>
    </row>
    <row r="107" spans="1:28" x14ac:dyDescent="0.25">
      <c r="A107">
        <v>115</v>
      </c>
      <c r="B107" s="33"/>
      <c r="C107">
        <v>65</v>
      </c>
      <c r="D107">
        <v>47</v>
      </c>
      <c r="E107" s="35">
        <v>55</v>
      </c>
      <c r="F107">
        <v>55</v>
      </c>
      <c r="X107" s="18"/>
      <c r="Y107" s="34">
        <f t="shared" si="3"/>
        <v>56</v>
      </c>
      <c r="Z107">
        <f t="shared" si="4"/>
        <v>59</v>
      </c>
      <c r="AA107">
        <f t="shared" si="2"/>
        <v>6.38</v>
      </c>
    </row>
    <row r="108" spans="1:28" x14ac:dyDescent="0.25">
      <c r="A108">
        <v>61</v>
      </c>
      <c r="B108" s="33"/>
      <c r="C108">
        <v>51</v>
      </c>
      <c r="D108">
        <v>51</v>
      </c>
      <c r="E108" s="35">
        <v>64</v>
      </c>
      <c r="F108">
        <v>97</v>
      </c>
      <c r="X108" s="18"/>
      <c r="Y108" s="34">
        <f t="shared" si="3"/>
        <v>66</v>
      </c>
      <c r="Z108">
        <f t="shared" si="4"/>
        <v>5</v>
      </c>
      <c r="AA108">
        <f t="shared" si="2"/>
        <v>18.809999999999999</v>
      </c>
    </row>
    <row r="109" spans="1:28" x14ac:dyDescent="0.25">
      <c r="A109">
        <v>79</v>
      </c>
      <c r="B109" s="33"/>
      <c r="C109">
        <v>80</v>
      </c>
      <c r="D109">
        <v>87</v>
      </c>
      <c r="E109" s="35">
        <v>42</v>
      </c>
      <c r="F109">
        <v>47</v>
      </c>
      <c r="X109" s="18"/>
      <c r="Y109" s="34">
        <f t="shared" si="3"/>
        <v>64</v>
      </c>
      <c r="Z109">
        <f t="shared" si="4"/>
        <v>15</v>
      </c>
      <c r="AA109">
        <f t="shared" si="2"/>
        <v>19.739999999999998</v>
      </c>
    </row>
    <row r="110" spans="1:28" x14ac:dyDescent="0.25">
      <c r="A110">
        <v>106</v>
      </c>
      <c r="B110" s="33"/>
      <c r="C110">
        <v>48</v>
      </c>
      <c r="D110">
        <v>59</v>
      </c>
      <c r="E110" s="35">
        <v>70</v>
      </c>
      <c r="F110">
        <v>105</v>
      </c>
      <c r="X110" s="18"/>
      <c r="Y110" s="34">
        <f t="shared" si="3"/>
        <v>71</v>
      </c>
      <c r="Z110">
        <f t="shared" si="4"/>
        <v>35</v>
      </c>
      <c r="AA110">
        <f t="shared" ref="AA110:AA173" si="5">ROUND(_xlfn.STDEV.P(C110:X110),2)</f>
        <v>21.38</v>
      </c>
    </row>
    <row r="111" spans="1:28" x14ac:dyDescent="0.25">
      <c r="A111">
        <v>80</v>
      </c>
      <c r="B111" s="33"/>
      <c r="C111">
        <v>53</v>
      </c>
      <c r="D111">
        <v>103</v>
      </c>
      <c r="E111" s="35">
        <v>202</v>
      </c>
      <c r="F111">
        <v>110</v>
      </c>
      <c r="X111" s="18"/>
      <c r="Y111" s="34">
        <f t="shared" si="3"/>
        <v>117</v>
      </c>
      <c r="Z111">
        <f t="shared" si="4"/>
        <v>37</v>
      </c>
      <c r="AA111">
        <f t="shared" si="5"/>
        <v>53.77</v>
      </c>
    </row>
    <row r="112" spans="1:28" x14ac:dyDescent="0.25">
      <c r="A112">
        <v>150</v>
      </c>
      <c r="B112" s="33"/>
      <c r="C112">
        <v>152</v>
      </c>
      <c r="D112">
        <v>142</v>
      </c>
      <c r="E112" s="35">
        <v>146</v>
      </c>
      <c r="F112">
        <v>158</v>
      </c>
      <c r="G112">
        <v>195</v>
      </c>
      <c r="X112" s="18"/>
      <c r="Y112" s="34">
        <f t="shared" si="3"/>
        <v>159</v>
      </c>
      <c r="Z112">
        <f t="shared" si="4"/>
        <v>9</v>
      </c>
      <c r="AA112">
        <f t="shared" si="5"/>
        <v>18.989999999999998</v>
      </c>
      <c r="AB112" cm="1">
        <f t="array" ref="AB112">SUMPRODUCT(--(ABS(G112:G133- A112:A133) &lt;= AC500))/22</f>
        <v>0.13636363636363635</v>
      </c>
    </row>
    <row r="113" spans="1:27" x14ac:dyDescent="0.25">
      <c r="A113">
        <v>161</v>
      </c>
      <c r="B113" s="33"/>
      <c r="C113">
        <v>168</v>
      </c>
      <c r="D113">
        <v>151</v>
      </c>
      <c r="E113" s="35">
        <v>160</v>
      </c>
      <c r="F113">
        <v>178</v>
      </c>
      <c r="G113">
        <v>216</v>
      </c>
      <c r="X113" s="18"/>
      <c r="Y113" s="34">
        <f t="shared" si="3"/>
        <v>175</v>
      </c>
      <c r="Z113">
        <f t="shared" si="4"/>
        <v>14</v>
      </c>
      <c r="AA113">
        <f t="shared" si="5"/>
        <v>22.54</v>
      </c>
    </row>
    <row r="114" spans="1:27" x14ac:dyDescent="0.25">
      <c r="A114">
        <v>60</v>
      </c>
      <c r="B114" s="33"/>
      <c r="C114">
        <v>54</v>
      </c>
      <c r="D114">
        <v>45</v>
      </c>
      <c r="E114" s="35">
        <v>44</v>
      </c>
      <c r="F114">
        <v>110</v>
      </c>
      <c r="G114">
        <v>120</v>
      </c>
      <c r="X114" s="18"/>
      <c r="Y114" s="34">
        <f t="shared" si="3"/>
        <v>75</v>
      </c>
      <c r="Z114">
        <f t="shared" si="4"/>
        <v>15</v>
      </c>
      <c r="AA114">
        <f t="shared" si="5"/>
        <v>33.32</v>
      </c>
    </row>
    <row r="115" spans="1:27" x14ac:dyDescent="0.25">
      <c r="A115">
        <v>67</v>
      </c>
      <c r="B115" s="33"/>
      <c r="C115">
        <v>47</v>
      </c>
      <c r="D115">
        <v>41</v>
      </c>
      <c r="E115" s="35">
        <v>65</v>
      </c>
      <c r="F115">
        <v>44</v>
      </c>
      <c r="G115">
        <v>83</v>
      </c>
      <c r="X115" s="18"/>
      <c r="Y115" s="34">
        <f t="shared" si="3"/>
        <v>56</v>
      </c>
      <c r="Z115">
        <f t="shared" si="4"/>
        <v>11</v>
      </c>
      <c r="AA115">
        <f t="shared" si="5"/>
        <v>15.87</v>
      </c>
    </row>
    <row r="116" spans="1:27" x14ac:dyDescent="0.25">
      <c r="A116">
        <v>73</v>
      </c>
      <c r="B116" s="33"/>
      <c r="C116">
        <v>43</v>
      </c>
      <c r="D116">
        <v>42</v>
      </c>
      <c r="E116" s="35">
        <v>84</v>
      </c>
      <c r="F116">
        <v>53</v>
      </c>
      <c r="G116">
        <v>84</v>
      </c>
      <c r="X116" s="18"/>
      <c r="Y116" s="34">
        <f t="shared" si="3"/>
        <v>61</v>
      </c>
      <c r="Z116">
        <f t="shared" si="4"/>
        <v>12</v>
      </c>
      <c r="AA116">
        <f t="shared" si="5"/>
        <v>19.010000000000002</v>
      </c>
    </row>
    <row r="117" spans="1:27" x14ac:dyDescent="0.25">
      <c r="A117">
        <v>74</v>
      </c>
      <c r="B117" s="33"/>
      <c r="C117">
        <v>43</v>
      </c>
      <c r="D117">
        <v>44</v>
      </c>
      <c r="E117" s="35">
        <v>120</v>
      </c>
      <c r="F117">
        <v>84</v>
      </c>
      <c r="G117">
        <v>68</v>
      </c>
      <c r="X117" s="18"/>
      <c r="Y117" s="34">
        <f t="shared" si="3"/>
        <v>72</v>
      </c>
      <c r="Z117">
        <f t="shared" si="4"/>
        <v>2</v>
      </c>
      <c r="AA117">
        <f t="shared" si="5"/>
        <v>28.6</v>
      </c>
    </row>
    <row r="118" spans="1:27" x14ac:dyDescent="0.25">
      <c r="A118">
        <v>103</v>
      </c>
      <c r="B118" s="33"/>
      <c r="C118">
        <v>99</v>
      </c>
      <c r="D118">
        <v>101</v>
      </c>
      <c r="E118" s="35">
        <v>95</v>
      </c>
      <c r="F118">
        <v>88</v>
      </c>
      <c r="G118">
        <v>73</v>
      </c>
      <c r="X118" s="18"/>
      <c r="Y118" s="34">
        <f t="shared" si="3"/>
        <v>91</v>
      </c>
      <c r="Z118">
        <f t="shared" si="4"/>
        <v>12</v>
      </c>
      <c r="AA118">
        <f t="shared" si="5"/>
        <v>10.130000000000001</v>
      </c>
    </row>
    <row r="119" spans="1:27" x14ac:dyDescent="0.25">
      <c r="A119">
        <v>159</v>
      </c>
      <c r="B119" s="33"/>
      <c r="C119">
        <v>120</v>
      </c>
      <c r="D119">
        <v>127</v>
      </c>
      <c r="E119" s="35">
        <v>130</v>
      </c>
      <c r="F119">
        <v>134</v>
      </c>
      <c r="G119">
        <v>185</v>
      </c>
      <c r="X119" s="18"/>
      <c r="Y119" s="34">
        <f t="shared" si="3"/>
        <v>139</v>
      </c>
      <c r="Z119">
        <f t="shared" si="4"/>
        <v>20</v>
      </c>
      <c r="AA119">
        <f t="shared" si="5"/>
        <v>23.35</v>
      </c>
    </row>
    <row r="120" spans="1:27" x14ac:dyDescent="0.25">
      <c r="A120">
        <v>232</v>
      </c>
      <c r="B120" s="33"/>
      <c r="C120">
        <v>129</v>
      </c>
      <c r="D120">
        <v>122</v>
      </c>
      <c r="E120" s="35">
        <v>122</v>
      </c>
      <c r="F120">
        <v>143</v>
      </c>
      <c r="G120">
        <v>194</v>
      </c>
      <c r="X120" s="18"/>
      <c r="Y120" s="34">
        <f t="shared" si="3"/>
        <v>142</v>
      </c>
      <c r="Z120">
        <f t="shared" si="4"/>
        <v>90</v>
      </c>
      <c r="AA120">
        <f t="shared" si="5"/>
        <v>27.11</v>
      </c>
    </row>
    <row r="121" spans="1:27" x14ac:dyDescent="0.25">
      <c r="A121">
        <v>74</v>
      </c>
      <c r="B121" s="33"/>
      <c r="C121">
        <v>54</v>
      </c>
      <c r="D121">
        <v>61</v>
      </c>
      <c r="E121" s="35">
        <v>97</v>
      </c>
      <c r="F121">
        <v>80</v>
      </c>
      <c r="G121">
        <v>101</v>
      </c>
      <c r="X121" s="18"/>
      <c r="Y121" s="34">
        <f t="shared" si="3"/>
        <v>79</v>
      </c>
      <c r="Z121">
        <f t="shared" si="4"/>
        <v>5</v>
      </c>
      <c r="AA121">
        <f t="shared" si="5"/>
        <v>18.75</v>
      </c>
    </row>
    <row r="122" spans="1:27" x14ac:dyDescent="0.25">
      <c r="A122">
        <v>65</v>
      </c>
      <c r="B122" s="33"/>
      <c r="C122">
        <v>86</v>
      </c>
      <c r="D122">
        <v>53</v>
      </c>
      <c r="E122" s="35">
        <v>76</v>
      </c>
      <c r="F122">
        <v>75</v>
      </c>
      <c r="G122">
        <v>94</v>
      </c>
      <c r="X122" s="18"/>
      <c r="Y122" s="34">
        <f t="shared" si="3"/>
        <v>77</v>
      </c>
      <c r="Z122">
        <f t="shared" si="4"/>
        <v>12</v>
      </c>
      <c r="AA122">
        <f t="shared" si="5"/>
        <v>13.79</v>
      </c>
    </row>
    <row r="123" spans="1:27" x14ac:dyDescent="0.25">
      <c r="A123">
        <v>41</v>
      </c>
      <c r="B123" s="33"/>
      <c r="C123">
        <v>43</v>
      </c>
      <c r="D123">
        <v>46</v>
      </c>
      <c r="E123" s="35">
        <v>73</v>
      </c>
      <c r="F123">
        <v>100</v>
      </c>
      <c r="G123">
        <v>90</v>
      </c>
      <c r="X123" s="18"/>
      <c r="Y123" s="34">
        <f t="shared" si="3"/>
        <v>70</v>
      </c>
      <c r="Z123">
        <f t="shared" si="4"/>
        <v>29</v>
      </c>
      <c r="AA123">
        <f t="shared" si="5"/>
        <v>22.86</v>
      </c>
    </row>
    <row r="124" spans="1:27" x14ac:dyDescent="0.25">
      <c r="A124">
        <v>61</v>
      </c>
      <c r="B124" s="33"/>
      <c r="C124">
        <v>43</v>
      </c>
      <c r="D124">
        <v>41</v>
      </c>
      <c r="E124" s="35">
        <v>104</v>
      </c>
      <c r="F124">
        <v>51</v>
      </c>
      <c r="G124">
        <v>80</v>
      </c>
      <c r="X124" s="18"/>
      <c r="Y124" s="34">
        <f t="shared" si="3"/>
        <v>64</v>
      </c>
      <c r="Z124">
        <f t="shared" si="4"/>
        <v>3</v>
      </c>
      <c r="AA124">
        <f t="shared" si="5"/>
        <v>24.47</v>
      </c>
    </row>
    <row r="125" spans="1:27" x14ac:dyDescent="0.25">
      <c r="A125">
        <v>117</v>
      </c>
      <c r="B125" s="33"/>
      <c r="C125">
        <v>44</v>
      </c>
      <c r="D125">
        <v>63</v>
      </c>
      <c r="E125" s="35">
        <v>183</v>
      </c>
      <c r="F125">
        <v>67</v>
      </c>
      <c r="G125">
        <v>87</v>
      </c>
      <c r="X125" s="18"/>
      <c r="Y125" s="34">
        <f t="shared" si="3"/>
        <v>89</v>
      </c>
      <c r="Z125">
        <f t="shared" si="4"/>
        <v>28</v>
      </c>
      <c r="AA125">
        <f t="shared" si="5"/>
        <v>49.04</v>
      </c>
    </row>
    <row r="126" spans="1:27" x14ac:dyDescent="0.25">
      <c r="A126">
        <v>124</v>
      </c>
      <c r="B126" s="33"/>
      <c r="C126">
        <v>130</v>
      </c>
      <c r="D126">
        <v>150</v>
      </c>
      <c r="E126" s="35">
        <v>233</v>
      </c>
      <c r="F126">
        <v>154</v>
      </c>
      <c r="G126">
        <v>147</v>
      </c>
      <c r="X126" s="18"/>
      <c r="Y126" s="34">
        <f t="shared" si="3"/>
        <v>163</v>
      </c>
      <c r="Z126">
        <f t="shared" si="4"/>
        <v>39</v>
      </c>
      <c r="AA126">
        <f t="shared" si="5"/>
        <v>36.04</v>
      </c>
    </row>
    <row r="127" spans="1:27" x14ac:dyDescent="0.25">
      <c r="A127">
        <v>199</v>
      </c>
      <c r="B127" s="33"/>
      <c r="C127">
        <v>168</v>
      </c>
      <c r="D127">
        <v>148</v>
      </c>
      <c r="E127" s="35">
        <v>258</v>
      </c>
      <c r="F127">
        <v>171</v>
      </c>
      <c r="G127">
        <v>161</v>
      </c>
      <c r="X127" s="18"/>
      <c r="Y127" s="34">
        <f t="shared" si="3"/>
        <v>181</v>
      </c>
      <c r="Z127">
        <f t="shared" si="4"/>
        <v>18</v>
      </c>
      <c r="AA127">
        <f t="shared" si="5"/>
        <v>39.21</v>
      </c>
    </row>
    <row r="128" spans="1:27" x14ac:dyDescent="0.25">
      <c r="A128">
        <v>55</v>
      </c>
      <c r="B128" s="33"/>
      <c r="C128">
        <v>56</v>
      </c>
      <c r="D128">
        <v>61</v>
      </c>
      <c r="E128" s="35">
        <v>77</v>
      </c>
      <c r="F128">
        <v>117</v>
      </c>
      <c r="G128">
        <v>73</v>
      </c>
      <c r="X128" s="18"/>
      <c r="Y128" s="34">
        <f t="shared" si="3"/>
        <v>77</v>
      </c>
      <c r="Z128">
        <f t="shared" si="4"/>
        <v>22</v>
      </c>
      <c r="AA128">
        <f t="shared" si="5"/>
        <v>21.51</v>
      </c>
    </row>
    <row r="129" spans="1:28" x14ac:dyDescent="0.25">
      <c r="A129">
        <v>44</v>
      </c>
      <c r="B129" s="33"/>
      <c r="C129">
        <v>47</v>
      </c>
      <c r="D129">
        <v>51</v>
      </c>
      <c r="E129" s="35">
        <v>78</v>
      </c>
      <c r="F129">
        <v>106</v>
      </c>
      <c r="G129">
        <v>64</v>
      </c>
      <c r="X129" s="18"/>
      <c r="Y129" s="34">
        <f t="shared" si="3"/>
        <v>69</v>
      </c>
      <c r="Z129">
        <f t="shared" si="4"/>
        <v>25</v>
      </c>
      <c r="AA129">
        <f t="shared" si="5"/>
        <v>21.37</v>
      </c>
    </row>
    <row r="130" spans="1:28" x14ac:dyDescent="0.25">
      <c r="A130">
        <v>62</v>
      </c>
      <c r="B130" s="33"/>
      <c r="C130">
        <v>54</v>
      </c>
      <c r="D130">
        <v>62</v>
      </c>
      <c r="E130" s="35">
        <v>43</v>
      </c>
      <c r="F130">
        <v>81</v>
      </c>
      <c r="G130">
        <v>64</v>
      </c>
      <c r="X130" s="18"/>
      <c r="Y130" s="34">
        <f t="shared" si="3"/>
        <v>61</v>
      </c>
      <c r="Z130">
        <f t="shared" si="4"/>
        <v>1</v>
      </c>
      <c r="AA130">
        <f t="shared" si="5"/>
        <v>12.51</v>
      </c>
    </row>
    <row r="131" spans="1:28" x14ac:dyDescent="0.25">
      <c r="A131">
        <v>48</v>
      </c>
      <c r="B131" s="33"/>
      <c r="C131">
        <v>92</v>
      </c>
      <c r="D131">
        <v>103</v>
      </c>
      <c r="E131" s="35">
        <v>83</v>
      </c>
      <c r="F131">
        <v>90</v>
      </c>
      <c r="G131">
        <v>81</v>
      </c>
      <c r="X131" s="18"/>
      <c r="Y131" s="34">
        <f t="shared" si="3"/>
        <v>90</v>
      </c>
      <c r="Z131">
        <f t="shared" si="4"/>
        <v>42</v>
      </c>
      <c r="AA131">
        <f t="shared" si="5"/>
        <v>7.78</v>
      </c>
    </row>
    <row r="132" spans="1:28" x14ac:dyDescent="0.25">
      <c r="A132">
        <v>154</v>
      </c>
      <c r="B132" s="33"/>
      <c r="C132">
        <v>57</v>
      </c>
      <c r="D132">
        <v>106</v>
      </c>
      <c r="E132" s="35">
        <v>155</v>
      </c>
      <c r="F132">
        <v>132</v>
      </c>
      <c r="G132">
        <v>100</v>
      </c>
      <c r="X132" s="18"/>
      <c r="Y132" s="34">
        <f t="shared" si="3"/>
        <v>110</v>
      </c>
      <c r="Z132">
        <f t="shared" si="4"/>
        <v>44</v>
      </c>
      <c r="AA132">
        <f t="shared" si="5"/>
        <v>32.97</v>
      </c>
    </row>
    <row r="133" spans="1:28" x14ac:dyDescent="0.25">
      <c r="A133">
        <v>256</v>
      </c>
      <c r="B133" s="33"/>
      <c r="C133">
        <v>90</v>
      </c>
      <c r="D133">
        <v>117</v>
      </c>
      <c r="E133" s="35">
        <v>148</v>
      </c>
      <c r="F133">
        <v>129</v>
      </c>
      <c r="G133">
        <v>166</v>
      </c>
      <c r="X133" s="18"/>
      <c r="Y133" s="34">
        <f t="shared" si="3"/>
        <v>130</v>
      </c>
      <c r="Z133">
        <f t="shared" si="4"/>
        <v>126</v>
      </c>
      <c r="AA133">
        <f t="shared" si="5"/>
        <v>26.04</v>
      </c>
    </row>
    <row r="134" spans="1:28" x14ac:dyDescent="0.25">
      <c r="A134">
        <v>168</v>
      </c>
      <c r="B134" s="33"/>
      <c r="C134">
        <v>176</v>
      </c>
      <c r="D134">
        <v>133</v>
      </c>
      <c r="E134" s="35">
        <v>204</v>
      </c>
      <c r="F134">
        <v>158</v>
      </c>
      <c r="G134">
        <v>177</v>
      </c>
      <c r="H134">
        <v>206</v>
      </c>
      <c r="X134" s="18"/>
      <c r="Y134" s="34">
        <f t="shared" si="3"/>
        <v>176</v>
      </c>
      <c r="Z134">
        <f t="shared" si="4"/>
        <v>8</v>
      </c>
      <c r="AA134">
        <f t="shared" si="5"/>
        <v>25.36</v>
      </c>
      <c r="AB134" cm="1">
        <f t="array" ref="AB134">SUMPRODUCT(--(ABS(H134:H155- A134:A155) &lt;= AC500))/22</f>
        <v>0.31818181818181818</v>
      </c>
    </row>
    <row r="135" spans="1:28" x14ac:dyDescent="0.25">
      <c r="A135">
        <v>115</v>
      </c>
      <c r="B135" s="33"/>
      <c r="C135">
        <v>49</v>
      </c>
      <c r="D135">
        <v>65</v>
      </c>
      <c r="E135" s="35">
        <v>95</v>
      </c>
      <c r="F135">
        <v>96</v>
      </c>
      <c r="G135">
        <v>104</v>
      </c>
      <c r="H135">
        <v>60</v>
      </c>
      <c r="X135" s="18"/>
      <c r="Y135" s="34">
        <f t="shared" si="3"/>
        <v>78</v>
      </c>
      <c r="Z135">
        <f t="shared" si="4"/>
        <v>37</v>
      </c>
      <c r="AA135">
        <f t="shared" si="5"/>
        <v>20.91</v>
      </c>
    </row>
    <row r="136" spans="1:28" x14ac:dyDescent="0.25">
      <c r="A136">
        <v>0</v>
      </c>
      <c r="B136" s="33"/>
      <c r="C136">
        <v>51</v>
      </c>
      <c r="D136">
        <v>41</v>
      </c>
      <c r="E136" s="35">
        <v>57</v>
      </c>
      <c r="F136">
        <v>68</v>
      </c>
      <c r="G136">
        <v>100</v>
      </c>
      <c r="H136">
        <v>65</v>
      </c>
      <c r="X136" s="18"/>
      <c r="Y136" s="34">
        <f t="shared" si="3"/>
        <v>64</v>
      </c>
      <c r="Z136">
        <f t="shared" si="4"/>
        <v>64</v>
      </c>
      <c r="AA136">
        <f t="shared" si="5"/>
        <v>18.53</v>
      </c>
    </row>
    <row r="137" spans="1:28" x14ac:dyDescent="0.25">
      <c r="A137">
        <v>54</v>
      </c>
      <c r="B137" s="33"/>
      <c r="C137">
        <v>43</v>
      </c>
      <c r="D137">
        <v>41</v>
      </c>
      <c r="E137" s="35">
        <v>80</v>
      </c>
      <c r="F137">
        <v>63</v>
      </c>
      <c r="G137">
        <v>84</v>
      </c>
      <c r="H137">
        <v>61</v>
      </c>
      <c r="X137" s="18"/>
      <c r="Y137" s="34">
        <f t="shared" si="3"/>
        <v>62</v>
      </c>
      <c r="Z137">
        <f t="shared" si="4"/>
        <v>8</v>
      </c>
      <c r="AA137">
        <f t="shared" si="5"/>
        <v>16.39</v>
      </c>
    </row>
    <row r="138" spans="1:28" x14ac:dyDescent="0.25">
      <c r="A138">
        <v>73</v>
      </c>
      <c r="B138" s="33"/>
      <c r="C138">
        <v>43</v>
      </c>
      <c r="D138">
        <v>41</v>
      </c>
      <c r="E138" s="35">
        <v>106</v>
      </c>
      <c r="F138">
        <v>63</v>
      </c>
      <c r="G138">
        <v>80</v>
      </c>
      <c r="H138">
        <v>65</v>
      </c>
      <c r="X138" s="18"/>
      <c r="Y138" s="34">
        <f t="shared" si="3"/>
        <v>66</v>
      </c>
      <c r="Z138">
        <f t="shared" si="4"/>
        <v>7</v>
      </c>
      <c r="AA138">
        <f t="shared" si="5"/>
        <v>22.21</v>
      </c>
    </row>
    <row r="139" spans="1:28" x14ac:dyDescent="0.25">
      <c r="A139">
        <v>76</v>
      </c>
      <c r="B139" s="33"/>
      <c r="C139">
        <v>78</v>
      </c>
      <c r="D139">
        <v>120</v>
      </c>
      <c r="E139" s="35">
        <v>190</v>
      </c>
      <c r="F139">
        <v>132</v>
      </c>
      <c r="G139">
        <v>83</v>
      </c>
      <c r="H139">
        <v>140</v>
      </c>
      <c r="X139" s="18"/>
      <c r="Y139" s="34">
        <f t="shared" si="3"/>
        <v>124</v>
      </c>
      <c r="Z139">
        <f t="shared" si="4"/>
        <v>48</v>
      </c>
      <c r="AA139">
        <f t="shared" si="5"/>
        <v>37.61</v>
      </c>
    </row>
    <row r="140" spans="1:28" x14ac:dyDescent="0.25">
      <c r="A140">
        <v>163</v>
      </c>
      <c r="B140" s="33"/>
      <c r="C140">
        <v>150</v>
      </c>
      <c r="D140">
        <v>155</v>
      </c>
      <c r="E140" s="35">
        <v>170</v>
      </c>
      <c r="F140">
        <v>147</v>
      </c>
      <c r="G140">
        <v>192</v>
      </c>
      <c r="H140">
        <v>138</v>
      </c>
      <c r="X140" s="18"/>
      <c r="Y140" s="34">
        <f t="shared" si="3"/>
        <v>159</v>
      </c>
      <c r="Z140">
        <f t="shared" si="4"/>
        <v>4</v>
      </c>
      <c r="AA140">
        <f t="shared" si="5"/>
        <v>17.75</v>
      </c>
    </row>
    <row r="141" spans="1:28" x14ac:dyDescent="0.25">
      <c r="A141">
        <v>177</v>
      </c>
      <c r="B141" s="33"/>
      <c r="C141">
        <v>190</v>
      </c>
      <c r="D141">
        <v>161</v>
      </c>
      <c r="E141" s="35">
        <v>153</v>
      </c>
      <c r="F141">
        <v>142</v>
      </c>
      <c r="G141">
        <v>186</v>
      </c>
      <c r="H141">
        <v>205</v>
      </c>
      <c r="X141" s="18"/>
      <c r="Y141" s="34">
        <f t="shared" si="3"/>
        <v>173</v>
      </c>
      <c r="Z141">
        <f t="shared" si="4"/>
        <v>4</v>
      </c>
      <c r="AA141">
        <f t="shared" si="5"/>
        <v>22.31</v>
      </c>
    </row>
    <row r="142" spans="1:28" x14ac:dyDescent="0.25">
      <c r="A142">
        <v>58</v>
      </c>
      <c r="B142" s="33"/>
      <c r="C142">
        <v>43</v>
      </c>
      <c r="D142">
        <v>50</v>
      </c>
      <c r="E142" s="35">
        <v>42</v>
      </c>
      <c r="F142">
        <v>126</v>
      </c>
      <c r="G142">
        <v>145</v>
      </c>
      <c r="H142">
        <v>48</v>
      </c>
      <c r="X142" s="18"/>
      <c r="Y142" s="34">
        <f t="shared" si="3"/>
        <v>76</v>
      </c>
      <c r="Z142">
        <f t="shared" si="4"/>
        <v>18</v>
      </c>
      <c r="AA142">
        <f t="shared" si="5"/>
        <v>42.75</v>
      </c>
    </row>
    <row r="143" spans="1:28" x14ac:dyDescent="0.25">
      <c r="A143">
        <v>84</v>
      </c>
      <c r="B143" s="33"/>
      <c r="C143">
        <v>47</v>
      </c>
      <c r="D143">
        <v>51</v>
      </c>
      <c r="E143" s="35">
        <v>61</v>
      </c>
      <c r="F143">
        <v>128</v>
      </c>
      <c r="G143">
        <v>103</v>
      </c>
      <c r="H143">
        <v>48</v>
      </c>
      <c r="X143" s="18"/>
      <c r="Y143" s="34">
        <f t="shared" si="3"/>
        <v>73</v>
      </c>
      <c r="Z143">
        <f t="shared" si="4"/>
        <v>11</v>
      </c>
      <c r="AA143">
        <f t="shared" si="5"/>
        <v>31.24</v>
      </c>
    </row>
    <row r="144" spans="1:28" x14ac:dyDescent="0.25">
      <c r="A144">
        <v>61</v>
      </c>
      <c r="B144" s="33"/>
      <c r="C144">
        <v>43</v>
      </c>
      <c r="D144">
        <v>42</v>
      </c>
      <c r="E144" s="35">
        <v>83</v>
      </c>
      <c r="F144">
        <v>69</v>
      </c>
      <c r="G144">
        <v>84</v>
      </c>
      <c r="H144">
        <v>60</v>
      </c>
      <c r="X144" s="18"/>
      <c r="Y144" s="34">
        <f t="shared" si="3"/>
        <v>64</v>
      </c>
      <c r="Z144">
        <f t="shared" si="4"/>
        <v>3</v>
      </c>
      <c r="AA144">
        <f t="shared" si="5"/>
        <v>16.96</v>
      </c>
    </row>
    <row r="145" spans="1:28" x14ac:dyDescent="0.25">
      <c r="A145">
        <v>92</v>
      </c>
      <c r="B145" s="33"/>
      <c r="C145">
        <v>43</v>
      </c>
      <c r="D145">
        <v>41</v>
      </c>
      <c r="E145" s="35">
        <v>118</v>
      </c>
      <c r="F145">
        <v>46</v>
      </c>
      <c r="G145">
        <v>81</v>
      </c>
      <c r="H145">
        <v>63</v>
      </c>
      <c r="X145" s="18"/>
      <c r="Y145" s="34">
        <f t="shared" si="3"/>
        <v>65</v>
      </c>
      <c r="Z145">
        <f t="shared" si="4"/>
        <v>27</v>
      </c>
      <c r="AA145">
        <f t="shared" si="5"/>
        <v>27.35</v>
      </c>
    </row>
    <row r="146" spans="1:28" x14ac:dyDescent="0.25">
      <c r="A146">
        <v>140</v>
      </c>
      <c r="B146" s="33"/>
      <c r="C146">
        <v>63</v>
      </c>
      <c r="D146">
        <v>112</v>
      </c>
      <c r="E146" s="35">
        <v>181</v>
      </c>
      <c r="F146">
        <v>128</v>
      </c>
      <c r="G146">
        <v>83</v>
      </c>
      <c r="H146">
        <v>148</v>
      </c>
      <c r="X146" s="18"/>
      <c r="Y146" s="34">
        <f t="shared" si="3"/>
        <v>119</v>
      </c>
      <c r="Z146">
        <f t="shared" si="4"/>
        <v>21</v>
      </c>
      <c r="AA146">
        <f t="shared" si="5"/>
        <v>39.26</v>
      </c>
    </row>
    <row r="147" spans="1:28" x14ac:dyDescent="0.25">
      <c r="A147">
        <v>178</v>
      </c>
      <c r="B147" s="33"/>
      <c r="C147">
        <v>145</v>
      </c>
      <c r="D147">
        <v>124</v>
      </c>
      <c r="E147" s="35">
        <v>138</v>
      </c>
      <c r="F147">
        <v>124</v>
      </c>
      <c r="G147">
        <v>158</v>
      </c>
      <c r="H147">
        <v>196</v>
      </c>
      <c r="X147" s="18"/>
      <c r="Y147" s="34">
        <f t="shared" si="3"/>
        <v>148</v>
      </c>
      <c r="Z147">
        <f t="shared" si="4"/>
        <v>30</v>
      </c>
      <c r="AA147">
        <f t="shared" si="5"/>
        <v>24.71</v>
      </c>
    </row>
    <row r="148" spans="1:28" x14ac:dyDescent="0.25">
      <c r="A148">
        <v>231</v>
      </c>
      <c r="B148" s="33"/>
      <c r="C148">
        <v>169</v>
      </c>
      <c r="D148">
        <v>132</v>
      </c>
      <c r="E148" s="35">
        <v>229</v>
      </c>
      <c r="F148">
        <v>154</v>
      </c>
      <c r="G148">
        <v>150</v>
      </c>
      <c r="H148">
        <v>204</v>
      </c>
      <c r="X148" s="18"/>
      <c r="Y148" s="34">
        <f t="shared" si="3"/>
        <v>173</v>
      </c>
      <c r="Z148">
        <f t="shared" si="4"/>
        <v>58</v>
      </c>
      <c r="AA148">
        <f t="shared" si="5"/>
        <v>33.380000000000003</v>
      </c>
    </row>
    <row r="149" spans="1:28" x14ac:dyDescent="0.25">
      <c r="A149">
        <v>47</v>
      </c>
      <c r="B149" s="33"/>
      <c r="C149">
        <v>58</v>
      </c>
      <c r="D149">
        <v>46</v>
      </c>
      <c r="E149" s="35">
        <v>59</v>
      </c>
      <c r="F149">
        <v>86</v>
      </c>
      <c r="G149">
        <v>98</v>
      </c>
      <c r="H149">
        <v>92</v>
      </c>
      <c r="X149" s="18"/>
      <c r="Y149" s="34">
        <f t="shared" si="3"/>
        <v>73</v>
      </c>
      <c r="Z149">
        <f t="shared" si="4"/>
        <v>26</v>
      </c>
      <c r="AA149">
        <f t="shared" si="5"/>
        <v>19.600000000000001</v>
      </c>
    </row>
    <row r="150" spans="1:28" x14ac:dyDescent="0.25">
      <c r="A150">
        <v>84</v>
      </c>
      <c r="B150" s="33"/>
      <c r="C150">
        <v>49</v>
      </c>
      <c r="D150">
        <v>45</v>
      </c>
      <c r="E150" s="35">
        <v>70</v>
      </c>
      <c r="F150">
        <v>83</v>
      </c>
      <c r="G150">
        <v>81</v>
      </c>
      <c r="H150">
        <v>63</v>
      </c>
      <c r="X150" s="18"/>
      <c r="Y150" s="34">
        <f t="shared" si="3"/>
        <v>65</v>
      </c>
      <c r="Z150">
        <f t="shared" si="4"/>
        <v>19</v>
      </c>
      <c r="AA150">
        <f t="shared" si="5"/>
        <v>14.52</v>
      </c>
    </row>
    <row r="151" spans="1:28" x14ac:dyDescent="0.25">
      <c r="A151">
        <v>112</v>
      </c>
      <c r="B151" s="33"/>
      <c r="C151">
        <v>43</v>
      </c>
      <c r="D151">
        <v>42</v>
      </c>
      <c r="E151" s="35">
        <v>96</v>
      </c>
      <c r="F151">
        <v>55</v>
      </c>
      <c r="G151">
        <v>87</v>
      </c>
      <c r="H151">
        <v>74</v>
      </c>
      <c r="X151" s="18"/>
      <c r="Y151" s="34">
        <f t="shared" si="3"/>
        <v>66</v>
      </c>
      <c r="Z151">
        <f t="shared" si="4"/>
        <v>46</v>
      </c>
      <c r="AA151">
        <f t="shared" si="5"/>
        <v>20.94</v>
      </c>
    </row>
    <row r="152" spans="1:28" x14ac:dyDescent="0.25">
      <c r="A152">
        <v>104</v>
      </c>
      <c r="B152" s="33"/>
      <c r="C152">
        <v>43</v>
      </c>
      <c r="D152">
        <v>41</v>
      </c>
      <c r="E152" s="35">
        <v>121</v>
      </c>
      <c r="F152">
        <v>45</v>
      </c>
      <c r="G152">
        <v>81</v>
      </c>
      <c r="H152">
        <v>62</v>
      </c>
      <c r="X152" s="18"/>
      <c r="Y152" s="34">
        <f t="shared" si="3"/>
        <v>66</v>
      </c>
      <c r="Z152">
        <f t="shared" si="4"/>
        <v>38</v>
      </c>
      <c r="AA152">
        <f t="shared" si="5"/>
        <v>28.46</v>
      </c>
    </row>
    <row r="153" spans="1:28" x14ac:dyDescent="0.25">
      <c r="A153">
        <v>82</v>
      </c>
      <c r="B153" s="33"/>
      <c r="C153">
        <v>58</v>
      </c>
      <c r="D153">
        <v>112</v>
      </c>
      <c r="E153" s="35">
        <v>226</v>
      </c>
      <c r="F153">
        <v>129</v>
      </c>
      <c r="G153">
        <v>63</v>
      </c>
      <c r="H153">
        <v>79</v>
      </c>
      <c r="X153" s="18"/>
      <c r="Y153" s="34">
        <f t="shared" ref="Y153:Y216" si="6">ROUND(AVERAGE(C153:X153),0)</f>
        <v>111</v>
      </c>
      <c r="Z153">
        <f t="shared" ref="Z153:Z216" si="7">ABS(Y153-A153)</f>
        <v>29</v>
      </c>
      <c r="AA153">
        <f t="shared" si="5"/>
        <v>57.28</v>
      </c>
    </row>
    <row r="154" spans="1:28" x14ac:dyDescent="0.25">
      <c r="A154">
        <v>181</v>
      </c>
      <c r="B154" s="33"/>
      <c r="C154">
        <v>140</v>
      </c>
      <c r="D154">
        <v>117</v>
      </c>
      <c r="E154" s="35">
        <v>158</v>
      </c>
      <c r="F154">
        <v>126</v>
      </c>
      <c r="G154">
        <v>140</v>
      </c>
      <c r="H154">
        <v>195</v>
      </c>
      <c r="X154" s="18"/>
      <c r="Y154" s="34">
        <f t="shared" si="6"/>
        <v>146</v>
      </c>
      <c r="Z154">
        <f t="shared" si="7"/>
        <v>35</v>
      </c>
      <c r="AA154">
        <f t="shared" si="5"/>
        <v>25.36</v>
      </c>
    </row>
    <row r="155" spans="1:28" x14ac:dyDescent="0.25">
      <c r="A155">
        <v>231</v>
      </c>
      <c r="B155" s="33"/>
      <c r="C155">
        <v>169</v>
      </c>
      <c r="D155">
        <v>130</v>
      </c>
      <c r="E155" s="35">
        <v>231</v>
      </c>
      <c r="F155">
        <v>151</v>
      </c>
      <c r="G155">
        <v>142</v>
      </c>
      <c r="H155">
        <v>209</v>
      </c>
      <c r="X155" s="18"/>
      <c r="Y155" s="34">
        <f t="shared" si="6"/>
        <v>172</v>
      </c>
      <c r="Z155">
        <f t="shared" si="7"/>
        <v>59</v>
      </c>
      <c r="AA155">
        <f t="shared" si="5"/>
        <v>36.43</v>
      </c>
    </row>
    <row r="156" spans="1:28" x14ac:dyDescent="0.25">
      <c r="A156">
        <v>64</v>
      </c>
      <c r="B156" s="33"/>
      <c r="C156">
        <v>45</v>
      </c>
      <c r="D156">
        <v>54</v>
      </c>
      <c r="E156" s="35">
        <v>42</v>
      </c>
      <c r="F156">
        <v>85</v>
      </c>
      <c r="G156">
        <v>75</v>
      </c>
      <c r="H156">
        <v>85</v>
      </c>
      <c r="I156">
        <v>51</v>
      </c>
      <c r="X156" s="18"/>
      <c r="Y156" s="34">
        <f t="shared" si="6"/>
        <v>62</v>
      </c>
      <c r="Z156">
        <f t="shared" si="7"/>
        <v>2</v>
      </c>
      <c r="AA156">
        <f t="shared" si="5"/>
        <v>17.32</v>
      </c>
      <c r="AB156" cm="1">
        <f t="array" ref="AB156">SUMPRODUCT(--(ABS(I156:I177- A156:A177) &lt;= AC500))/22</f>
        <v>0.22727272727272727</v>
      </c>
    </row>
    <row r="157" spans="1:28" x14ac:dyDescent="0.25">
      <c r="A157">
        <v>59</v>
      </c>
      <c r="B157" s="33"/>
      <c r="C157">
        <v>43</v>
      </c>
      <c r="D157">
        <v>51</v>
      </c>
      <c r="E157" s="35">
        <v>64</v>
      </c>
      <c r="F157">
        <v>135</v>
      </c>
      <c r="G157">
        <v>107</v>
      </c>
      <c r="H157">
        <v>48</v>
      </c>
      <c r="I157">
        <v>90</v>
      </c>
      <c r="X157" s="18"/>
      <c r="Y157" s="34">
        <f t="shared" si="6"/>
        <v>77</v>
      </c>
      <c r="Z157">
        <f t="shared" si="7"/>
        <v>18</v>
      </c>
      <c r="AA157">
        <f t="shared" si="5"/>
        <v>32.24</v>
      </c>
    </row>
    <row r="158" spans="1:28" x14ac:dyDescent="0.25">
      <c r="A158">
        <v>53</v>
      </c>
      <c r="B158" s="33"/>
      <c r="C158">
        <v>43</v>
      </c>
      <c r="D158">
        <v>58</v>
      </c>
      <c r="E158" s="35">
        <v>61</v>
      </c>
      <c r="F158">
        <v>53</v>
      </c>
      <c r="G158">
        <v>88</v>
      </c>
      <c r="H158">
        <v>63</v>
      </c>
      <c r="I158">
        <v>59</v>
      </c>
      <c r="X158" s="18"/>
      <c r="Y158" s="34">
        <f t="shared" si="6"/>
        <v>61</v>
      </c>
      <c r="Z158">
        <f t="shared" si="7"/>
        <v>8</v>
      </c>
      <c r="AA158">
        <f t="shared" si="5"/>
        <v>12.72</v>
      </c>
    </row>
    <row r="159" spans="1:28" x14ac:dyDescent="0.25">
      <c r="A159">
        <v>116</v>
      </c>
      <c r="B159" s="33"/>
      <c r="C159">
        <v>43</v>
      </c>
      <c r="D159">
        <v>42</v>
      </c>
      <c r="E159" s="35">
        <v>116</v>
      </c>
      <c r="F159">
        <v>48</v>
      </c>
      <c r="G159">
        <v>83</v>
      </c>
      <c r="H159">
        <v>57</v>
      </c>
      <c r="I159">
        <v>86</v>
      </c>
      <c r="X159" s="18"/>
      <c r="Y159" s="34">
        <f t="shared" si="6"/>
        <v>68</v>
      </c>
      <c r="Z159">
        <f t="shared" si="7"/>
        <v>48</v>
      </c>
      <c r="AA159">
        <f t="shared" si="5"/>
        <v>25.84</v>
      </c>
    </row>
    <row r="160" spans="1:28" x14ac:dyDescent="0.25">
      <c r="A160">
        <v>84</v>
      </c>
      <c r="B160" s="33"/>
      <c r="C160">
        <v>95</v>
      </c>
      <c r="D160">
        <v>132</v>
      </c>
      <c r="E160" s="35">
        <v>185</v>
      </c>
      <c r="F160">
        <v>114</v>
      </c>
      <c r="G160">
        <v>77</v>
      </c>
      <c r="H160">
        <v>95</v>
      </c>
      <c r="I160">
        <v>103</v>
      </c>
      <c r="X160" s="18"/>
      <c r="Y160" s="34">
        <f t="shared" si="6"/>
        <v>114</v>
      </c>
      <c r="Z160">
        <f t="shared" si="7"/>
        <v>30</v>
      </c>
      <c r="AA160">
        <f t="shared" si="5"/>
        <v>32.9</v>
      </c>
    </row>
    <row r="161" spans="1:27" x14ac:dyDescent="0.25">
      <c r="A161">
        <v>135</v>
      </c>
      <c r="B161" s="33"/>
      <c r="C161">
        <v>116</v>
      </c>
      <c r="D161">
        <v>153</v>
      </c>
      <c r="E161" s="35">
        <v>57</v>
      </c>
      <c r="F161">
        <v>120</v>
      </c>
      <c r="G161">
        <v>119</v>
      </c>
      <c r="H161">
        <v>93</v>
      </c>
      <c r="I161">
        <v>183</v>
      </c>
      <c r="X161" s="18"/>
      <c r="Y161" s="34">
        <f t="shared" si="6"/>
        <v>120</v>
      </c>
      <c r="Z161">
        <f t="shared" si="7"/>
        <v>15</v>
      </c>
      <c r="AA161">
        <f t="shared" si="5"/>
        <v>37.36</v>
      </c>
    </row>
    <row r="162" spans="1:27" x14ac:dyDescent="0.25">
      <c r="A162">
        <v>158</v>
      </c>
      <c r="B162" s="33"/>
      <c r="C162">
        <v>153</v>
      </c>
      <c r="D162">
        <v>175</v>
      </c>
      <c r="E162" s="35">
        <v>185</v>
      </c>
      <c r="F162">
        <v>143</v>
      </c>
      <c r="G162">
        <v>202</v>
      </c>
      <c r="H162">
        <v>114</v>
      </c>
      <c r="I162">
        <v>181</v>
      </c>
      <c r="X162" s="18"/>
      <c r="Y162" s="34">
        <f t="shared" si="6"/>
        <v>165</v>
      </c>
      <c r="Z162">
        <f t="shared" si="7"/>
        <v>7</v>
      </c>
      <c r="AA162">
        <f t="shared" si="5"/>
        <v>27.65</v>
      </c>
    </row>
    <row r="163" spans="1:27" x14ac:dyDescent="0.25">
      <c r="A163">
        <v>63</v>
      </c>
      <c r="B163" s="33"/>
      <c r="C163">
        <v>80</v>
      </c>
      <c r="D163">
        <v>58</v>
      </c>
      <c r="E163" s="35">
        <v>90</v>
      </c>
      <c r="F163">
        <v>99</v>
      </c>
      <c r="G163">
        <v>100</v>
      </c>
      <c r="H163">
        <v>64</v>
      </c>
      <c r="I163">
        <v>166</v>
      </c>
      <c r="X163" s="18"/>
      <c r="Y163" s="34">
        <f t="shared" si="6"/>
        <v>94</v>
      </c>
      <c r="Z163">
        <f t="shared" si="7"/>
        <v>31</v>
      </c>
      <c r="AA163">
        <f t="shared" si="5"/>
        <v>33.06</v>
      </c>
    </row>
    <row r="164" spans="1:27" x14ac:dyDescent="0.25">
      <c r="A164">
        <v>84</v>
      </c>
      <c r="B164" s="33"/>
      <c r="C164">
        <v>45</v>
      </c>
      <c r="D164">
        <v>42</v>
      </c>
      <c r="E164" s="35">
        <v>71</v>
      </c>
      <c r="F164">
        <v>97</v>
      </c>
      <c r="G164">
        <v>99</v>
      </c>
      <c r="H164">
        <v>52</v>
      </c>
      <c r="I164">
        <v>49</v>
      </c>
      <c r="X164" s="18"/>
      <c r="Y164" s="34">
        <f t="shared" si="6"/>
        <v>65</v>
      </c>
      <c r="Z164">
        <f t="shared" si="7"/>
        <v>19</v>
      </c>
      <c r="AA164">
        <f t="shared" si="5"/>
        <v>22.58</v>
      </c>
    </row>
    <row r="165" spans="1:27" x14ac:dyDescent="0.25">
      <c r="A165">
        <v>39</v>
      </c>
      <c r="B165" s="33"/>
      <c r="C165">
        <v>83</v>
      </c>
      <c r="D165">
        <v>51</v>
      </c>
      <c r="E165" s="35">
        <v>77</v>
      </c>
      <c r="F165">
        <v>154</v>
      </c>
      <c r="G165">
        <v>82</v>
      </c>
      <c r="H165">
        <v>55</v>
      </c>
      <c r="I165">
        <v>138</v>
      </c>
      <c r="X165" s="18"/>
      <c r="Y165" s="34">
        <f t="shared" si="6"/>
        <v>91</v>
      </c>
      <c r="Z165">
        <f t="shared" si="7"/>
        <v>52</v>
      </c>
      <c r="AA165">
        <f t="shared" si="5"/>
        <v>36.67</v>
      </c>
    </row>
    <row r="166" spans="1:27" x14ac:dyDescent="0.25">
      <c r="A166">
        <v>65</v>
      </c>
      <c r="B166" s="33"/>
      <c r="C166">
        <v>47</v>
      </c>
      <c r="D166">
        <v>51</v>
      </c>
      <c r="E166" s="35">
        <v>102</v>
      </c>
      <c r="F166">
        <v>65</v>
      </c>
      <c r="G166">
        <v>85</v>
      </c>
      <c r="H166">
        <v>56</v>
      </c>
      <c r="I166">
        <v>63</v>
      </c>
      <c r="X166" s="18"/>
      <c r="Y166" s="34">
        <f t="shared" si="6"/>
        <v>67</v>
      </c>
      <c r="Z166">
        <f t="shared" si="7"/>
        <v>2</v>
      </c>
      <c r="AA166">
        <f t="shared" si="5"/>
        <v>18.309999999999999</v>
      </c>
    </row>
    <row r="167" spans="1:27" x14ac:dyDescent="0.25">
      <c r="A167">
        <v>39</v>
      </c>
      <c r="B167" s="33"/>
      <c r="C167">
        <v>104</v>
      </c>
      <c r="D167">
        <v>137</v>
      </c>
      <c r="E167" s="35">
        <v>194</v>
      </c>
      <c r="F167">
        <v>108</v>
      </c>
      <c r="G167">
        <v>80</v>
      </c>
      <c r="H167">
        <v>75</v>
      </c>
      <c r="I167">
        <v>90</v>
      </c>
      <c r="X167" s="18"/>
      <c r="Y167" s="34">
        <f t="shared" si="6"/>
        <v>113</v>
      </c>
      <c r="Z167">
        <f t="shared" si="7"/>
        <v>74</v>
      </c>
      <c r="AA167">
        <f t="shared" si="5"/>
        <v>38.369999999999997</v>
      </c>
    </row>
    <row r="168" spans="1:27" x14ac:dyDescent="0.25">
      <c r="A168">
        <v>219</v>
      </c>
      <c r="B168" s="33"/>
      <c r="C168">
        <v>164</v>
      </c>
      <c r="D168">
        <v>140</v>
      </c>
      <c r="E168" s="35">
        <v>143</v>
      </c>
      <c r="F168">
        <v>122</v>
      </c>
      <c r="G168">
        <v>146</v>
      </c>
      <c r="H168">
        <v>199</v>
      </c>
      <c r="I168">
        <v>176</v>
      </c>
      <c r="X168" s="18"/>
      <c r="Y168" s="34">
        <f t="shared" si="6"/>
        <v>156</v>
      </c>
      <c r="Z168">
        <f t="shared" si="7"/>
        <v>63</v>
      </c>
      <c r="AA168">
        <f t="shared" si="5"/>
        <v>23.88</v>
      </c>
    </row>
    <row r="169" spans="1:27" x14ac:dyDescent="0.25">
      <c r="A169">
        <v>255</v>
      </c>
      <c r="B169" s="33"/>
      <c r="C169">
        <v>167</v>
      </c>
      <c r="D169">
        <v>168</v>
      </c>
      <c r="E169" s="35">
        <v>181</v>
      </c>
      <c r="F169">
        <v>152</v>
      </c>
      <c r="G169">
        <v>208</v>
      </c>
      <c r="H169">
        <v>149</v>
      </c>
      <c r="I169">
        <v>177</v>
      </c>
      <c r="X169" s="18"/>
      <c r="Y169" s="34">
        <f t="shared" si="6"/>
        <v>172</v>
      </c>
      <c r="Z169">
        <f t="shared" si="7"/>
        <v>83</v>
      </c>
      <c r="AA169">
        <f t="shared" si="5"/>
        <v>18.41</v>
      </c>
    </row>
    <row r="170" spans="1:27" x14ac:dyDescent="0.25">
      <c r="A170">
        <v>78</v>
      </c>
      <c r="B170" s="33"/>
      <c r="C170">
        <v>49</v>
      </c>
      <c r="D170">
        <v>62</v>
      </c>
      <c r="E170" s="35">
        <v>97</v>
      </c>
      <c r="F170">
        <v>112</v>
      </c>
      <c r="G170">
        <v>101</v>
      </c>
      <c r="H170">
        <v>55</v>
      </c>
      <c r="I170">
        <v>125</v>
      </c>
      <c r="X170" s="18"/>
      <c r="Y170" s="34">
        <f t="shared" si="6"/>
        <v>86</v>
      </c>
      <c r="Z170">
        <f t="shared" si="7"/>
        <v>8</v>
      </c>
      <c r="AA170">
        <f t="shared" si="5"/>
        <v>27.9</v>
      </c>
    </row>
    <row r="171" spans="1:27" x14ac:dyDescent="0.25">
      <c r="A171">
        <v>30</v>
      </c>
      <c r="B171" s="33"/>
      <c r="C171">
        <v>43</v>
      </c>
      <c r="D171">
        <v>55</v>
      </c>
      <c r="E171" s="35">
        <v>52</v>
      </c>
      <c r="F171">
        <v>88</v>
      </c>
      <c r="G171">
        <v>122</v>
      </c>
      <c r="H171">
        <v>48</v>
      </c>
      <c r="I171">
        <v>52</v>
      </c>
      <c r="X171" s="18"/>
      <c r="Y171" s="34">
        <f t="shared" si="6"/>
        <v>66</v>
      </c>
      <c r="Z171">
        <f t="shared" si="7"/>
        <v>36</v>
      </c>
      <c r="AA171">
        <f t="shared" si="5"/>
        <v>26.69</v>
      </c>
    </row>
    <row r="172" spans="1:27" x14ac:dyDescent="0.25">
      <c r="A172">
        <v>31</v>
      </c>
      <c r="B172" s="33"/>
      <c r="C172">
        <v>43</v>
      </c>
      <c r="D172">
        <v>48</v>
      </c>
      <c r="E172" s="35">
        <v>82</v>
      </c>
      <c r="F172">
        <v>86</v>
      </c>
      <c r="G172">
        <v>96</v>
      </c>
      <c r="H172">
        <v>48</v>
      </c>
      <c r="I172">
        <v>54</v>
      </c>
      <c r="X172" s="18"/>
      <c r="Y172" s="34">
        <f t="shared" si="6"/>
        <v>65</v>
      </c>
      <c r="Z172">
        <f t="shared" si="7"/>
        <v>34</v>
      </c>
      <c r="AA172">
        <f t="shared" si="5"/>
        <v>20.260000000000002</v>
      </c>
    </row>
    <row r="173" spans="1:27" x14ac:dyDescent="0.25">
      <c r="A173">
        <v>71</v>
      </c>
      <c r="B173" s="33"/>
      <c r="C173">
        <v>55</v>
      </c>
      <c r="D173">
        <v>62</v>
      </c>
      <c r="E173" s="35">
        <v>98</v>
      </c>
      <c r="F173">
        <v>84</v>
      </c>
      <c r="G173">
        <v>82</v>
      </c>
      <c r="H173">
        <v>48</v>
      </c>
      <c r="I173">
        <v>64</v>
      </c>
      <c r="X173" s="18"/>
      <c r="Y173" s="34">
        <f t="shared" si="6"/>
        <v>70</v>
      </c>
      <c r="Z173">
        <f t="shared" si="7"/>
        <v>1</v>
      </c>
      <c r="AA173">
        <f t="shared" si="5"/>
        <v>16.61</v>
      </c>
    </row>
    <row r="174" spans="1:27" x14ac:dyDescent="0.25">
      <c r="A174">
        <v>95</v>
      </c>
      <c r="B174" s="33"/>
      <c r="C174">
        <v>66</v>
      </c>
      <c r="D174">
        <v>86</v>
      </c>
      <c r="E174" s="35">
        <v>213</v>
      </c>
      <c r="F174">
        <v>85</v>
      </c>
      <c r="G174">
        <v>97</v>
      </c>
      <c r="H174">
        <v>107</v>
      </c>
      <c r="I174">
        <v>111</v>
      </c>
      <c r="X174" s="18"/>
      <c r="Y174" s="34">
        <f t="shared" si="6"/>
        <v>109</v>
      </c>
      <c r="Z174">
        <f t="shared" si="7"/>
        <v>14</v>
      </c>
      <c r="AA174">
        <f t="shared" ref="AA174:AA237" si="8">ROUND(_xlfn.STDEV.P(C174:X174),2)</f>
        <v>44.6</v>
      </c>
    </row>
    <row r="175" spans="1:27" x14ac:dyDescent="0.25">
      <c r="A175">
        <v>210</v>
      </c>
      <c r="B175" s="33"/>
      <c r="C175">
        <v>163</v>
      </c>
      <c r="D175">
        <v>137</v>
      </c>
      <c r="E175" s="35">
        <v>142</v>
      </c>
      <c r="F175">
        <v>121</v>
      </c>
      <c r="G175">
        <v>140</v>
      </c>
      <c r="H175">
        <v>209</v>
      </c>
      <c r="I175">
        <v>178</v>
      </c>
      <c r="X175" s="18"/>
      <c r="Y175" s="34">
        <f t="shared" si="6"/>
        <v>156</v>
      </c>
      <c r="Z175">
        <f t="shared" si="7"/>
        <v>54</v>
      </c>
      <c r="AA175">
        <f t="shared" si="8"/>
        <v>27.72</v>
      </c>
    </row>
    <row r="176" spans="1:27" x14ac:dyDescent="0.25">
      <c r="A176">
        <v>164</v>
      </c>
      <c r="B176" s="33"/>
      <c r="C176">
        <v>164</v>
      </c>
      <c r="D176">
        <v>162</v>
      </c>
      <c r="E176" s="35">
        <v>183</v>
      </c>
      <c r="F176">
        <v>145</v>
      </c>
      <c r="G176">
        <v>187</v>
      </c>
      <c r="H176">
        <v>151</v>
      </c>
      <c r="I176">
        <v>177</v>
      </c>
      <c r="X176" s="18"/>
      <c r="Y176" s="34">
        <f t="shared" si="6"/>
        <v>167</v>
      </c>
      <c r="Z176">
        <f t="shared" si="7"/>
        <v>3</v>
      </c>
      <c r="AA176">
        <f t="shared" si="8"/>
        <v>14.78</v>
      </c>
    </row>
    <row r="177" spans="1:28" x14ac:dyDescent="0.25">
      <c r="A177">
        <v>69</v>
      </c>
      <c r="B177" s="33"/>
      <c r="C177">
        <v>53</v>
      </c>
      <c r="D177">
        <v>54</v>
      </c>
      <c r="E177" s="35">
        <v>72</v>
      </c>
      <c r="F177">
        <v>95</v>
      </c>
      <c r="G177">
        <v>104</v>
      </c>
      <c r="H177">
        <v>61</v>
      </c>
      <c r="I177">
        <v>244</v>
      </c>
      <c r="X177" s="18"/>
      <c r="Y177" s="34">
        <f t="shared" si="6"/>
        <v>98</v>
      </c>
      <c r="Z177">
        <f t="shared" si="7"/>
        <v>29</v>
      </c>
      <c r="AA177">
        <f t="shared" si="8"/>
        <v>62.53</v>
      </c>
    </row>
    <row r="178" spans="1:28" x14ac:dyDescent="0.25">
      <c r="A178">
        <v>40</v>
      </c>
      <c r="B178" s="33"/>
      <c r="C178">
        <v>44</v>
      </c>
      <c r="D178">
        <v>49</v>
      </c>
      <c r="E178" s="35">
        <v>67</v>
      </c>
      <c r="F178">
        <v>162</v>
      </c>
      <c r="G178">
        <v>107</v>
      </c>
      <c r="H178">
        <v>52</v>
      </c>
      <c r="I178">
        <v>153</v>
      </c>
      <c r="J178">
        <v>46</v>
      </c>
      <c r="X178" s="18"/>
      <c r="Y178" s="34">
        <f t="shared" si="6"/>
        <v>85</v>
      </c>
      <c r="Z178">
        <f t="shared" si="7"/>
        <v>45</v>
      </c>
      <c r="AA178">
        <f t="shared" si="8"/>
        <v>46.03</v>
      </c>
      <c r="AB178" cm="1">
        <f t="array" ref="AB178">SUMPRODUCT(--(ABS(J178:J199- A178:A199) &lt;= AC500))/22</f>
        <v>0.36363636363636365</v>
      </c>
    </row>
    <row r="179" spans="1:28" x14ac:dyDescent="0.25">
      <c r="A179">
        <v>42</v>
      </c>
      <c r="B179" s="33"/>
      <c r="C179">
        <v>52</v>
      </c>
      <c r="D179">
        <v>91</v>
      </c>
      <c r="E179" s="35">
        <v>57</v>
      </c>
      <c r="F179">
        <v>133</v>
      </c>
      <c r="G179">
        <v>84</v>
      </c>
      <c r="H179">
        <v>76</v>
      </c>
      <c r="I179">
        <v>200</v>
      </c>
      <c r="J179">
        <v>54</v>
      </c>
      <c r="X179" s="18"/>
      <c r="Y179" s="34">
        <f t="shared" si="6"/>
        <v>93</v>
      </c>
      <c r="Z179">
        <f t="shared" si="7"/>
        <v>51</v>
      </c>
      <c r="AA179">
        <f t="shared" si="8"/>
        <v>47.33</v>
      </c>
    </row>
    <row r="180" spans="1:28" x14ac:dyDescent="0.25">
      <c r="A180">
        <v>69</v>
      </c>
      <c r="B180" s="33"/>
      <c r="C180">
        <v>49</v>
      </c>
      <c r="D180">
        <v>71</v>
      </c>
      <c r="E180" s="35">
        <v>85</v>
      </c>
      <c r="F180">
        <v>62</v>
      </c>
      <c r="G180">
        <v>96</v>
      </c>
      <c r="H180">
        <v>56</v>
      </c>
      <c r="I180">
        <v>52</v>
      </c>
      <c r="J180">
        <v>47</v>
      </c>
      <c r="X180" s="18"/>
      <c r="Y180" s="34">
        <f t="shared" si="6"/>
        <v>65</v>
      </c>
      <c r="Z180">
        <f t="shared" si="7"/>
        <v>4</v>
      </c>
      <c r="AA180">
        <f t="shared" si="8"/>
        <v>16.72</v>
      </c>
    </row>
    <row r="181" spans="1:28" x14ac:dyDescent="0.25">
      <c r="A181">
        <v>89</v>
      </c>
      <c r="B181" s="33"/>
      <c r="C181">
        <v>98</v>
      </c>
      <c r="D181">
        <v>141</v>
      </c>
      <c r="E181" s="35">
        <v>162</v>
      </c>
      <c r="F181">
        <v>112</v>
      </c>
      <c r="G181">
        <v>98</v>
      </c>
      <c r="H181">
        <v>84</v>
      </c>
      <c r="I181">
        <v>83</v>
      </c>
      <c r="J181">
        <v>48</v>
      </c>
      <c r="X181" s="18"/>
      <c r="Y181" s="34">
        <f t="shared" si="6"/>
        <v>103</v>
      </c>
      <c r="Z181">
        <f t="shared" si="7"/>
        <v>14</v>
      </c>
      <c r="AA181">
        <f t="shared" si="8"/>
        <v>33.24</v>
      </c>
    </row>
    <row r="182" spans="1:28" x14ac:dyDescent="0.25">
      <c r="A182">
        <v>170</v>
      </c>
      <c r="B182" s="33"/>
      <c r="C182">
        <v>167</v>
      </c>
      <c r="D182">
        <v>174</v>
      </c>
      <c r="E182" s="35">
        <v>196</v>
      </c>
      <c r="F182">
        <v>122</v>
      </c>
      <c r="G182">
        <v>128</v>
      </c>
      <c r="H182">
        <v>146</v>
      </c>
      <c r="I182">
        <v>139</v>
      </c>
      <c r="J182">
        <v>116</v>
      </c>
      <c r="X182" s="18"/>
      <c r="Y182" s="34">
        <f t="shared" si="6"/>
        <v>149</v>
      </c>
      <c r="Z182">
        <f t="shared" si="7"/>
        <v>21</v>
      </c>
      <c r="AA182">
        <f t="shared" si="8"/>
        <v>26.28</v>
      </c>
    </row>
    <row r="183" spans="1:28" x14ac:dyDescent="0.25">
      <c r="A183">
        <v>201</v>
      </c>
      <c r="B183" s="33"/>
      <c r="C183">
        <v>207</v>
      </c>
      <c r="D183">
        <v>181</v>
      </c>
      <c r="E183" s="35">
        <v>195</v>
      </c>
      <c r="F183">
        <v>138</v>
      </c>
      <c r="G183">
        <v>171</v>
      </c>
      <c r="H183">
        <v>293</v>
      </c>
      <c r="I183">
        <v>195</v>
      </c>
      <c r="J183">
        <v>246</v>
      </c>
      <c r="X183" s="18"/>
      <c r="Y183" s="34">
        <f t="shared" si="6"/>
        <v>203</v>
      </c>
      <c r="Z183">
        <f t="shared" si="7"/>
        <v>2</v>
      </c>
      <c r="AA183">
        <f t="shared" si="8"/>
        <v>44.48</v>
      </c>
    </row>
    <row r="184" spans="1:28" x14ac:dyDescent="0.25">
      <c r="A184">
        <v>69</v>
      </c>
      <c r="B184" s="33"/>
      <c r="C184">
        <v>43</v>
      </c>
      <c r="D184">
        <v>50</v>
      </c>
      <c r="E184" s="35">
        <v>55</v>
      </c>
      <c r="F184">
        <v>157</v>
      </c>
      <c r="G184">
        <v>138</v>
      </c>
      <c r="H184">
        <v>48</v>
      </c>
      <c r="I184">
        <v>68</v>
      </c>
      <c r="J184">
        <v>46</v>
      </c>
      <c r="X184" s="18"/>
      <c r="Y184" s="34">
        <f t="shared" si="6"/>
        <v>76</v>
      </c>
      <c r="Z184">
        <f t="shared" si="7"/>
        <v>7</v>
      </c>
      <c r="AA184">
        <f t="shared" si="8"/>
        <v>42.36</v>
      </c>
    </row>
    <row r="185" spans="1:28" x14ac:dyDescent="0.25">
      <c r="A185">
        <v>37</v>
      </c>
      <c r="B185" s="33"/>
      <c r="C185">
        <v>43</v>
      </c>
      <c r="D185">
        <v>43</v>
      </c>
      <c r="E185" s="35">
        <v>71</v>
      </c>
      <c r="F185">
        <v>131</v>
      </c>
      <c r="G185">
        <v>108</v>
      </c>
      <c r="H185">
        <v>48</v>
      </c>
      <c r="I185">
        <v>66</v>
      </c>
      <c r="J185">
        <v>67</v>
      </c>
      <c r="X185" s="18"/>
      <c r="Y185" s="34">
        <f t="shared" si="6"/>
        <v>72</v>
      </c>
      <c r="Z185">
        <f t="shared" si="7"/>
        <v>35</v>
      </c>
      <c r="AA185">
        <f t="shared" si="8"/>
        <v>29.78</v>
      </c>
    </row>
    <row r="186" spans="1:28" x14ac:dyDescent="0.25">
      <c r="A186">
        <v>80</v>
      </c>
      <c r="B186" s="33"/>
      <c r="C186">
        <v>83</v>
      </c>
      <c r="D186">
        <v>53</v>
      </c>
      <c r="E186" s="35">
        <v>76</v>
      </c>
      <c r="F186">
        <v>153</v>
      </c>
      <c r="G186">
        <v>84</v>
      </c>
      <c r="H186">
        <v>48</v>
      </c>
      <c r="I186">
        <v>103</v>
      </c>
      <c r="J186">
        <v>50</v>
      </c>
      <c r="X186" s="18"/>
      <c r="Y186" s="34">
        <f t="shared" si="6"/>
        <v>81</v>
      </c>
      <c r="Z186">
        <f t="shared" si="7"/>
        <v>1</v>
      </c>
      <c r="AA186">
        <f t="shared" si="8"/>
        <v>32.67</v>
      </c>
    </row>
    <row r="187" spans="1:28" x14ac:dyDescent="0.25">
      <c r="A187">
        <v>54</v>
      </c>
      <c r="B187" s="33"/>
      <c r="C187">
        <v>96</v>
      </c>
      <c r="D187">
        <v>90</v>
      </c>
      <c r="E187" s="35">
        <v>112</v>
      </c>
      <c r="F187">
        <v>112</v>
      </c>
      <c r="G187">
        <v>77</v>
      </c>
      <c r="H187">
        <v>48</v>
      </c>
      <c r="I187">
        <v>86</v>
      </c>
      <c r="J187">
        <v>56</v>
      </c>
      <c r="X187" s="18"/>
      <c r="Y187" s="34">
        <f t="shared" si="6"/>
        <v>85</v>
      </c>
      <c r="Z187">
        <f t="shared" si="7"/>
        <v>31</v>
      </c>
      <c r="AA187">
        <f t="shared" si="8"/>
        <v>22.02</v>
      </c>
    </row>
    <row r="188" spans="1:28" x14ac:dyDescent="0.25">
      <c r="A188">
        <v>45</v>
      </c>
      <c r="B188" s="33"/>
      <c r="C188">
        <v>80</v>
      </c>
      <c r="D188">
        <v>120</v>
      </c>
      <c r="E188" s="35">
        <v>153</v>
      </c>
      <c r="F188">
        <v>103</v>
      </c>
      <c r="G188">
        <v>91</v>
      </c>
      <c r="H188">
        <v>89</v>
      </c>
      <c r="I188">
        <v>120</v>
      </c>
      <c r="J188">
        <v>51</v>
      </c>
      <c r="X188" s="18"/>
      <c r="Y188" s="34">
        <f t="shared" si="6"/>
        <v>101</v>
      </c>
      <c r="Z188">
        <f t="shared" si="7"/>
        <v>56</v>
      </c>
      <c r="AA188">
        <f t="shared" si="8"/>
        <v>28.76</v>
      </c>
    </row>
    <row r="189" spans="1:28" x14ac:dyDescent="0.25">
      <c r="A189">
        <v>106</v>
      </c>
      <c r="B189" s="33"/>
      <c r="C189">
        <v>114</v>
      </c>
      <c r="D189">
        <v>118</v>
      </c>
      <c r="E189" s="35">
        <v>126</v>
      </c>
      <c r="F189">
        <v>125</v>
      </c>
      <c r="G189">
        <v>135</v>
      </c>
      <c r="H189">
        <v>329</v>
      </c>
      <c r="I189">
        <v>337</v>
      </c>
      <c r="J189">
        <v>241</v>
      </c>
      <c r="X189" s="18"/>
      <c r="Y189" s="34">
        <f t="shared" si="6"/>
        <v>191</v>
      </c>
      <c r="Z189">
        <f t="shared" si="7"/>
        <v>85</v>
      </c>
      <c r="AA189">
        <f t="shared" si="8"/>
        <v>90.72</v>
      </c>
    </row>
    <row r="190" spans="1:28" x14ac:dyDescent="0.25">
      <c r="A190">
        <v>163</v>
      </c>
      <c r="B190" s="33"/>
      <c r="C190">
        <v>202</v>
      </c>
      <c r="D190">
        <v>203</v>
      </c>
      <c r="E190" s="35">
        <v>198</v>
      </c>
      <c r="F190">
        <v>137</v>
      </c>
      <c r="G190">
        <v>164</v>
      </c>
      <c r="H190">
        <v>268</v>
      </c>
      <c r="I190">
        <v>168</v>
      </c>
      <c r="J190">
        <v>207</v>
      </c>
      <c r="X190" s="18"/>
      <c r="Y190" s="34">
        <f t="shared" si="6"/>
        <v>193</v>
      </c>
      <c r="Z190">
        <f t="shared" si="7"/>
        <v>30</v>
      </c>
      <c r="AA190">
        <f t="shared" si="8"/>
        <v>36.450000000000003</v>
      </c>
    </row>
    <row r="191" spans="1:28" x14ac:dyDescent="0.25">
      <c r="A191">
        <v>53</v>
      </c>
      <c r="B191" s="33"/>
      <c r="C191">
        <v>43</v>
      </c>
      <c r="D191">
        <v>81</v>
      </c>
      <c r="E191" s="35">
        <v>47</v>
      </c>
      <c r="F191">
        <v>61</v>
      </c>
      <c r="G191">
        <v>141</v>
      </c>
      <c r="H191">
        <v>48</v>
      </c>
      <c r="I191">
        <v>56</v>
      </c>
      <c r="J191">
        <v>46</v>
      </c>
      <c r="X191" s="18"/>
      <c r="Y191" s="34">
        <f t="shared" si="6"/>
        <v>65</v>
      </c>
      <c r="Z191">
        <f t="shared" si="7"/>
        <v>12</v>
      </c>
      <c r="AA191">
        <f t="shared" si="8"/>
        <v>30.79</v>
      </c>
    </row>
    <row r="192" spans="1:28" x14ac:dyDescent="0.25">
      <c r="A192">
        <v>21</v>
      </c>
      <c r="B192" s="33"/>
      <c r="C192">
        <v>46</v>
      </c>
      <c r="D192">
        <v>59</v>
      </c>
      <c r="E192" s="35">
        <v>52</v>
      </c>
      <c r="F192">
        <v>147</v>
      </c>
      <c r="G192">
        <v>118</v>
      </c>
      <c r="H192">
        <v>49</v>
      </c>
      <c r="I192">
        <v>67</v>
      </c>
      <c r="J192">
        <v>46</v>
      </c>
      <c r="X192" s="18"/>
      <c r="Y192" s="34">
        <f t="shared" si="6"/>
        <v>73</v>
      </c>
      <c r="Z192">
        <f t="shared" si="7"/>
        <v>52</v>
      </c>
      <c r="AA192">
        <f t="shared" si="8"/>
        <v>35.72</v>
      </c>
    </row>
    <row r="193" spans="1:28" x14ac:dyDescent="0.25">
      <c r="A193">
        <v>47</v>
      </c>
      <c r="B193" s="33"/>
      <c r="C193">
        <v>114</v>
      </c>
      <c r="D193">
        <v>48</v>
      </c>
      <c r="E193" s="35">
        <v>44</v>
      </c>
      <c r="F193">
        <v>142</v>
      </c>
      <c r="G193">
        <v>83</v>
      </c>
      <c r="H193">
        <v>54</v>
      </c>
      <c r="I193">
        <v>209</v>
      </c>
      <c r="J193">
        <v>61</v>
      </c>
      <c r="X193" s="18"/>
      <c r="Y193" s="34">
        <f t="shared" si="6"/>
        <v>94</v>
      </c>
      <c r="Z193">
        <f t="shared" si="7"/>
        <v>47</v>
      </c>
      <c r="AA193">
        <f t="shared" si="8"/>
        <v>54.03</v>
      </c>
    </row>
    <row r="194" spans="1:28" x14ac:dyDescent="0.25">
      <c r="A194">
        <v>46</v>
      </c>
      <c r="B194" s="33"/>
      <c r="C194">
        <v>94</v>
      </c>
      <c r="D194">
        <v>65</v>
      </c>
      <c r="E194" s="35">
        <v>45</v>
      </c>
      <c r="F194">
        <v>134</v>
      </c>
      <c r="G194">
        <v>75</v>
      </c>
      <c r="H194">
        <v>58</v>
      </c>
      <c r="I194">
        <v>153</v>
      </c>
      <c r="J194">
        <v>62</v>
      </c>
      <c r="X194" s="18"/>
      <c r="Y194" s="34">
        <f t="shared" si="6"/>
        <v>86</v>
      </c>
      <c r="Z194">
        <f t="shared" si="7"/>
        <v>40</v>
      </c>
      <c r="AA194">
        <f t="shared" si="8"/>
        <v>36.159999999999997</v>
      </c>
    </row>
    <row r="195" spans="1:28" x14ac:dyDescent="0.25">
      <c r="A195">
        <v>18</v>
      </c>
      <c r="B195" s="33"/>
      <c r="C195">
        <v>62</v>
      </c>
      <c r="D195">
        <v>72</v>
      </c>
      <c r="E195" s="35">
        <v>45</v>
      </c>
      <c r="F195">
        <v>112</v>
      </c>
      <c r="G195">
        <v>80</v>
      </c>
      <c r="H195">
        <v>69</v>
      </c>
      <c r="I195">
        <v>185</v>
      </c>
      <c r="J195">
        <v>80</v>
      </c>
      <c r="X195" s="18"/>
      <c r="Y195" s="34">
        <f t="shared" si="6"/>
        <v>88</v>
      </c>
      <c r="Z195">
        <f t="shared" si="7"/>
        <v>70</v>
      </c>
      <c r="AA195">
        <f t="shared" si="8"/>
        <v>40.700000000000003</v>
      </c>
    </row>
    <row r="196" spans="1:28" x14ac:dyDescent="0.25">
      <c r="A196">
        <v>167</v>
      </c>
      <c r="B196" s="33"/>
      <c r="C196">
        <v>110</v>
      </c>
      <c r="D196">
        <v>172</v>
      </c>
      <c r="E196" s="35">
        <v>192</v>
      </c>
      <c r="F196">
        <v>110</v>
      </c>
      <c r="G196">
        <v>103</v>
      </c>
      <c r="H196">
        <v>111</v>
      </c>
      <c r="I196">
        <v>126</v>
      </c>
      <c r="J196">
        <v>58</v>
      </c>
      <c r="X196" s="18"/>
      <c r="Y196" s="34">
        <f t="shared" si="6"/>
        <v>123</v>
      </c>
      <c r="Z196">
        <f t="shared" si="7"/>
        <v>44</v>
      </c>
      <c r="AA196">
        <f t="shared" si="8"/>
        <v>39.18</v>
      </c>
    </row>
    <row r="197" spans="1:28" x14ac:dyDescent="0.25">
      <c r="A197">
        <v>208</v>
      </c>
      <c r="B197" s="33"/>
      <c r="C197">
        <v>171</v>
      </c>
      <c r="D197">
        <v>207</v>
      </c>
      <c r="E197" s="35">
        <v>225</v>
      </c>
      <c r="F197">
        <v>137</v>
      </c>
      <c r="G197">
        <v>139</v>
      </c>
      <c r="H197">
        <v>202</v>
      </c>
      <c r="I197">
        <v>167</v>
      </c>
      <c r="J197">
        <v>165</v>
      </c>
      <c r="X197" s="18"/>
      <c r="Y197" s="34">
        <f t="shared" si="6"/>
        <v>177</v>
      </c>
      <c r="Z197">
        <f t="shared" si="7"/>
        <v>31</v>
      </c>
      <c r="AA197">
        <f t="shared" si="8"/>
        <v>29.9</v>
      </c>
    </row>
    <row r="198" spans="1:28" x14ac:dyDescent="0.25">
      <c r="A198">
        <v>32</v>
      </c>
      <c r="B198" s="33"/>
      <c r="C198">
        <v>43</v>
      </c>
      <c r="D198">
        <v>60</v>
      </c>
      <c r="E198" s="35">
        <v>51</v>
      </c>
      <c r="F198">
        <v>155</v>
      </c>
      <c r="G198">
        <v>133</v>
      </c>
      <c r="H198">
        <v>50</v>
      </c>
      <c r="I198">
        <v>63</v>
      </c>
      <c r="J198">
        <v>46</v>
      </c>
      <c r="X198" s="18"/>
      <c r="Y198" s="34">
        <f t="shared" si="6"/>
        <v>75</v>
      </c>
      <c r="Z198">
        <f t="shared" si="7"/>
        <v>43</v>
      </c>
      <c r="AA198">
        <f t="shared" si="8"/>
        <v>40.619999999999997</v>
      </c>
    </row>
    <row r="199" spans="1:28" x14ac:dyDescent="0.25">
      <c r="A199">
        <v>48</v>
      </c>
      <c r="B199" s="33"/>
      <c r="C199">
        <v>47</v>
      </c>
      <c r="D199">
        <v>61</v>
      </c>
      <c r="E199" s="35">
        <v>42</v>
      </c>
      <c r="F199">
        <v>138</v>
      </c>
      <c r="G199">
        <v>82</v>
      </c>
      <c r="H199">
        <v>58</v>
      </c>
      <c r="I199">
        <v>57</v>
      </c>
      <c r="J199">
        <v>58</v>
      </c>
      <c r="X199" s="18"/>
      <c r="Y199" s="34">
        <f t="shared" si="6"/>
        <v>68</v>
      </c>
      <c r="Z199">
        <f t="shared" si="7"/>
        <v>20</v>
      </c>
      <c r="AA199">
        <f t="shared" si="8"/>
        <v>28.69</v>
      </c>
    </row>
    <row r="200" spans="1:28" x14ac:dyDescent="0.25">
      <c r="A200">
        <v>37</v>
      </c>
      <c r="B200" s="33"/>
      <c r="C200">
        <v>45</v>
      </c>
      <c r="D200">
        <v>56</v>
      </c>
      <c r="E200" s="35">
        <v>42</v>
      </c>
      <c r="F200">
        <v>123</v>
      </c>
      <c r="G200">
        <v>78</v>
      </c>
      <c r="H200">
        <v>82</v>
      </c>
      <c r="I200">
        <v>75</v>
      </c>
      <c r="J200">
        <v>65</v>
      </c>
      <c r="K200">
        <v>41</v>
      </c>
      <c r="X200" s="18"/>
      <c r="Y200" s="34">
        <f t="shared" si="6"/>
        <v>67</v>
      </c>
      <c r="Z200">
        <f t="shared" si="7"/>
        <v>30</v>
      </c>
      <c r="AA200">
        <f t="shared" si="8"/>
        <v>24.62</v>
      </c>
      <c r="AB200" cm="1">
        <f t="array" ref="AB200">SUMPRODUCT(--(ABS(K200:K221- A200:A221) &lt;= AC500))/22</f>
        <v>0.54545454545454541</v>
      </c>
    </row>
    <row r="201" spans="1:28" x14ac:dyDescent="0.25">
      <c r="A201">
        <v>88</v>
      </c>
      <c r="B201" s="33"/>
      <c r="C201">
        <v>71</v>
      </c>
      <c r="D201">
        <v>79</v>
      </c>
      <c r="E201" s="35">
        <v>112</v>
      </c>
      <c r="F201">
        <v>102</v>
      </c>
      <c r="G201">
        <v>92</v>
      </c>
      <c r="H201">
        <v>49</v>
      </c>
      <c r="I201">
        <v>65</v>
      </c>
      <c r="J201">
        <v>54</v>
      </c>
      <c r="K201">
        <v>46</v>
      </c>
      <c r="X201" s="18"/>
      <c r="Y201" s="34">
        <f t="shared" si="6"/>
        <v>74</v>
      </c>
      <c r="Z201">
        <f t="shared" si="7"/>
        <v>14</v>
      </c>
      <c r="AA201">
        <f t="shared" si="8"/>
        <v>22.3</v>
      </c>
    </row>
    <row r="202" spans="1:28" x14ac:dyDescent="0.25">
      <c r="A202">
        <v>79</v>
      </c>
      <c r="B202" s="33"/>
      <c r="C202">
        <v>90</v>
      </c>
      <c r="D202">
        <v>122</v>
      </c>
      <c r="E202" s="35">
        <v>169</v>
      </c>
      <c r="F202">
        <v>106</v>
      </c>
      <c r="G202">
        <v>100</v>
      </c>
      <c r="H202">
        <v>98</v>
      </c>
      <c r="I202">
        <v>102</v>
      </c>
      <c r="J202">
        <v>49</v>
      </c>
      <c r="K202">
        <v>89</v>
      </c>
      <c r="X202" s="18"/>
      <c r="Y202" s="34">
        <f t="shared" si="6"/>
        <v>103</v>
      </c>
      <c r="Z202">
        <f t="shared" si="7"/>
        <v>24</v>
      </c>
      <c r="AA202">
        <f t="shared" si="8"/>
        <v>29.89</v>
      </c>
    </row>
    <row r="203" spans="1:28" x14ac:dyDescent="0.25">
      <c r="A203">
        <v>150</v>
      </c>
      <c r="B203" s="33"/>
      <c r="C203">
        <v>161</v>
      </c>
      <c r="D203">
        <v>171</v>
      </c>
      <c r="E203" s="35">
        <v>182</v>
      </c>
      <c r="F203">
        <v>125</v>
      </c>
      <c r="G203">
        <v>143</v>
      </c>
      <c r="H203">
        <v>192</v>
      </c>
      <c r="I203">
        <v>152</v>
      </c>
      <c r="J203">
        <v>130</v>
      </c>
      <c r="K203">
        <v>163</v>
      </c>
      <c r="X203" s="18"/>
      <c r="Y203" s="34">
        <f t="shared" si="6"/>
        <v>158</v>
      </c>
      <c r="Z203">
        <f t="shared" si="7"/>
        <v>8</v>
      </c>
      <c r="AA203">
        <f t="shared" si="8"/>
        <v>21.26</v>
      </c>
    </row>
    <row r="204" spans="1:28" x14ac:dyDescent="0.25">
      <c r="A204">
        <v>199</v>
      </c>
      <c r="B204" s="33"/>
      <c r="C204">
        <v>164</v>
      </c>
      <c r="D204">
        <v>160</v>
      </c>
      <c r="E204" s="35">
        <v>148</v>
      </c>
      <c r="F204">
        <v>136</v>
      </c>
      <c r="G204">
        <v>163</v>
      </c>
      <c r="H204">
        <v>321</v>
      </c>
      <c r="I204">
        <v>244</v>
      </c>
      <c r="J204">
        <v>265</v>
      </c>
      <c r="K204">
        <v>195</v>
      </c>
      <c r="X204" s="18"/>
      <c r="Y204" s="34">
        <f t="shared" si="6"/>
        <v>200</v>
      </c>
      <c r="Z204">
        <f t="shared" si="7"/>
        <v>1</v>
      </c>
      <c r="AA204">
        <f t="shared" si="8"/>
        <v>59.53</v>
      </c>
    </row>
    <row r="205" spans="1:28" x14ac:dyDescent="0.25">
      <c r="A205">
        <v>94</v>
      </c>
      <c r="B205" s="33"/>
      <c r="C205">
        <v>44</v>
      </c>
      <c r="D205">
        <v>68</v>
      </c>
      <c r="E205" s="35">
        <v>42</v>
      </c>
      <c r="F205">
        <v>153</v>
      </c>
      <c r="G205">
        <v>127</v>
      </c>
      <c r="H205">
        <v>50</v>
      </c>
      <c r="I205">
        <v>59</v>
      </c>
      <c r="J205">
        <v>46</v>
      </c>
      <c r="K205">
        <v>41</v>
      </c>
      <c r="X205" s="18"/>
      <c r="Y205" s="34">
        <f t="shared" si="6"/>
        <v>70</v>
      </c>
      <c r="Z205">
        <f t="shared" si="7"/>
        <v>24</v>
      </c>
      <c r="AA205">
        <f t="shared" si="8"/>
        <v>38.79</v>
      </c>
    </row>
    <row r="206" spans="1:28" x14ac:dyDescent="0.25">
      <c r="A206">
        <v>50</v>
      </c>
      <c r="B206" s="33"/>
      <c r="C206">
        <v>45</v>
      </c>
      <c r="D206">
        <v>51</v>
      </c>
      <c r="E206" s="35">
        <v>67</v>
      </c>
      <c r="F206">
        <v>171</v>
      </c>
      <c r="G206">
        <v>99</v>
      </c>
      <c r="H206">
        <v>56</v>
      </c>
      <c r="I206">
        <v>183</v>
      </c>
      <c r="J206">
        <v>49</v>
      </c>
      <c r="K206">
        <v>58</v>
      </c>
      <c r="X206" s="18"/>
      <c r="Y206" s="34">
        <f t="shared" si="6"/>
        <v>87</v>
      </c>
      <c r="Z206">
        <f t="shared" si="7"/>
        <v>37</v>
      </c>
      <c r="AA206">
        <f t="shared" si="8"/>
        <v>50.68</v>
      </c>
    </row>
    <row r="207" spans="1:28" x14ac:dyDescent="0.25">
      <c r="A207">
        <v>58</v>
      </c>
      <c r="B207" s="33"/>
      <c r="C207">
        <v>53</v>
      </c>
      <c r="D207">
        <v>73</v>
      </c>
      <c r="E207" s="35">
        <v>70</v>
      </c>
      <c r="F207">
        <v>134</v>
      </c>
      <c r="G207">
        <v>102</v>
      </c>
      <c r="H207">
        <v>52</v>
      </c>
      <c r="I207">
        <v>98</v>
      </c>
      <c r="J207">
        <v>46</v>
      </c>
      <c r="K207">
        <v>41</v>
      </c>
      <c r="X207" s="18"/>
      <c r="Y207" s="34">
        <f t="shared" si="6"/>
        <v>74</v>
      </c>
      <c r="Z207">
        <f t="shared" si="7"/>
        <v>16</v>
      </c>
      <c r="AA207">
        <f t="shared" si="8"/>
        <v>29.39</v>
      </c>
    </row>
    <row r="208" spans="1:28" x14ac:dyDescent="0.25">
      <c r="A208">
        <v>137</v>
      </c>
      <c r="B208" s="33"/>
      <c r="C208">
        <v>54</v>
      </c>
      <c r="D208">
        <v>88</v>
      </c>
      <c r="E208" s="35">
        <v>51</v>
      </c>
      <c r="F208">
        <v>110</v>
      </c>
      <c r="G208">
        <v>97</v>
      </c>
      <c r="H208">
        <v>86</v>
      </c>
      <c r="I208">
        <v>61</v>
      </c>
      <c r="J208">
        <v>46</v>
      </c>
      <c r="K208">
        <v>41</v>
      </c>
      <c r="X208" s="18"/>
      <c r="Y208" s="34">
        <f t="shared" si="6"/>
        <v>70</v>
      </c>
      <c r="Z208">
        <f t="shared" si="7"/>
        <v>67</v>
      </c>
      <c r="AA208">
        <f t="shared" si="8"/>
        <v>23.62</v>
      </c>
    </row>
    <row r="209" spans="1:28" x14ac:dyDescent="0.25">
      <c r="A209">
        <v>82</v>
      </c>
      <c r="B209" s="33"/>
      <c r="C209">
        <v>79</v>
      </c>
      <c r="D209">
        <v>125</v>
      </c>
      <c r="E209" s="35">
        <v>164</v>
      </c>
      <c r="F209">
        <v>112</v>
      </c>
      <c r="G209">
        <v>97</v>
      </c>
      <c r="H209">
        <v>83</v>
      </c>
      <c r="I209">
        <v>102</v>
      </c>
      <c r="J209">
        <v>49</v>
      </c>
      <c r="K209">
        <v>55</v>
      </c>
      <c r="X209" s="18"/>
      <c r="Y209" s="34">
        <f t="shared" si="6"/>
        <v>96</v>
      </c>
      <c r="Z209">
        <f t="shared" si="7"/>
        <v>14</v>
      </c>
      <c r="AA209">
        <f t="shared" si="8"/>
        <v>33.51</v>
      </c>
    </row>
    <row r="210" spans="1:28" x14ac:dyDescent="0.25">
      <c r="A210">
        <v>134</v>
      </c>
      <c r="B210" s="33"/>
      <c r="C210">
        <v>120</v>
      </c>
      <c r="D210">
        <v>171</v>
      </c>
      <c r="E210" s="35">
        <v>211</v>
      </c>
      <c r="F210">
        <v>110</v>
      </c>
      <c r="G210">
        <v>106</v>
      </c>
      <c r="H210">
        <v>115</v>
      </c>
      <c r="I210">
        <v>131</v>
      </c>
      <c r="J210">
        <v>75</v>
      </c>
      <c r="K210">
        <v>167</v>
      </c>
      <c r="X210" s="18"/>
      <c r="Y210" s="34">
        <f t="shared" si="6"/>
        <v>134</v>
      </c>
      <c r="Z210">
        <f t="shared" si="7"/>
        <v>0</v>
      </c>
      <c r="AA210">
        <f t="shared" si="8"/>
        <v>39.15</v>
      </c>
    </row>
    <row r="211" spans="1:28" x14ac:dyDescent="0.25">
      <c r="A211">
        <v>189</v>
      </c>
      <c r="B211" s="33"/>
      <c r="C211">
        <v>182</v>
      </c>
      <c r="D211">
        <v>200</v>
      </c>
      <c r="E211" s="35">
        <v>195</v>
      </c>
      <c r="F211">
        <v>138</v>
      </c>
      <c r="G211">
        <v>164</v>
      </c>
      <c r="H211">
        <v>271</v>
      </c>
      <c r="I211">
        <v>177</v>
      </c>
      <c r="J211">
        <v>192</v>
      </c>
      <c r="K211">
        <v>188</v>
      </c>
      <c r="X211" s="18"/>
      <c r="Y211" s="34">
        <f t="shared" si="6"/>
        <v>190</v>
      </c>
      <c r="Z211">
        <f t="shared" si="7"/>
        <v>1</v>
      </c>
      <c r="AA211">
        <f t="shared" si="8"/>
        <v>33.840000000000003</v>
      </c>
    </row>
    <row r="212" spans="1:28" x14ac:dyDescent="0.25">
      <c r="A212">
        <v>58</v>
      </c>
      <c r="B212" s="33"/>
      <c r="C212">
        <v>43</v>
      </c>
      <c r="D212">
        <v>83</v>
      </c>
      <c r="E212" s="35">
        <v>46</v>
      </c>
      <c r="F212">
        <v>97</v>
      </c>
      <c r="G212">
        <v>163</v>
      </c>
      <c r="H212">
        <v>48</v>
      </c>
      <c r="I212">
        <v>56</v>
      </c>
      <c r="J212">
        <v>46</v>
      </c>
      <c r="K212">
        <v>41</v>
      </c>
      <c r="X212" s="18"/>
      <c r="Y212" s="34">
        <f t="shared" si="6"/>
        <v>69</v>
      </c>
      <c r="Z212">
        <f t="shared" si="7"/>
        <v>11</v>
      </c>
      <c r="AA212">
        <f t="shared" si="8"/>
        <v>37.92</v>
      </c>
    </row>
    <row r="213" spans="1:28" x14ac:dyDescent="0.25">
      <c r="A213">
        <v>53</v>
      </c>
      <c r="B213" s="33"/>
      <c r="C213">
        <v>43</v>
      </c>
      <c r="D213">
        <v>88</v>
      </c>
      <c r="E213" s="35">
        <v>44</v>
      </c>
      <c r="F213">
        <v>72</v>
      </c>
      <c r="G213">
        <v>104</v>
      </c>
      <c r="H213">
        <v>50</v>
      </c>
      <c r="I213">
        <v>49</v>
      </c>
      <c r="J213">
        <v>46</v>
      </c>
      <c r="K213">
        <v>41</v>
      </c>
      <c r="X213" s="18"/>
      <c r="Y213" s="34">
        <f t="shared" si="6"/>
        <v>60</v>
      </c>
      <c r="Z213">
        <f t="shared" si="7"/>
        <v>7</v>
      </c>
      <c r="AA213">
        <f t="shared" si="8"/>
        <v>21.57</v>
      </c>
    </row>
    <row r="214" spans="1:28" x14ac:dyDescent="0.25">
      <c r="A214">
        <v>34</v>
      </c>
      <c r="B214" s="33"/>
      <c r="C214">
        <v>56</v>
      </c>
      <c r="D214">
        <v>88</v>
      </c>
      <c r="E214" s="35">
        <v>46</v>
      </c>
      <c r="F214">
        <v>155</v>
      </c>
      <c r="G214">
        <v>78</v>
      </c>
      <c r="H214">
        <v>56</v>
      </c>
      <c r="I214">
        <v>205</v>
      </c>
      <c r="J214">
        <v>53</v>
      </c>
      <c r="K214">
        <v>46</v>
      </c>
      <c r="X214" s="18"/>
      <c r="Y214" s="34">
        <f t="shared" si="6"/>
        <v>87</v>
      </c>
      <c r="Z214">
        <f t="shared" si="7"/>
        <v>53</v>
      </c>
      <c r="AA214">
        <f t="shared" si="8"/>
        <v>52.78</v>
      </c>
    </row>
    <row r="215" spans="1:28" x14ac:dyDescent="0.25">
      <c r="A215">
        <v>60</v>
      </c>
      <c r="B215" s="33"/>
      <c r="C215">
        <v>56</v>
      </c>
      <c r="D215">
        <v>95</v>
      </c>
      <c r="E215" s="35">
        <v>92</v>
      </c>
      <c r="F215">
        <v>115</v>
      </c>
      <c r="G215">
        <v>103</v>
      </c>
      <c r="H215">
        <v>80</v>
      </c>
      <c r="I215">
        <v>206</v>
      </c>
      <c r="J215">
        <v>60</v>
      </c>
      <c r="K215">
        <v>51</v>
      </c>
      <c r="X215" s="18"/>
      <c r="Y215" s="34">
        <f t="shared" si="6"/>
        <v>95</v>
      </c>
      <c r="Z215">
        <f t="shared" si="7"/>
        <v>35</v>
      </c>
      <c r="AA215">
        <f t="shared" si="8"/>
        <v>44.35</v>
      </c>
    </row>
    <row r="216" spans="1:28" x14ac:dyDescent="0.25">
      <c r="A216">
        <v>69</v>
      </c>
      <c r="B216" s="33"/>
      <c r="C216">
        <v>54</v>
      </c>
      <c r="D216">
        <v>100</v>
      </c>
      <c r="E216" s="35">
        <v>139</v>
      </c>
      <c r="F216">
        <v>116</v>
      </c>
      <c r="G216">
        <v>112</v>
      </c>
      <c r="H216">
        <v>90</v>
      </c>
      <c r="I216">
        <v>196</v>
      </c>
      <c r="J216">
        <v>146</v>
      </c>
      <c r="K216">
        <v>56</v>
      </c>
      <c r="X216" s="18"/>
      <c r="Y216" s="34">
        <f t="shared" si="6"/>
        <v>112</v>
      </c>
      <c r="Z216">
        <f t="shared" si="7"/>
        <v>43</v>
      </c>
      <c r="AA216">
        <f t="shared" si="8"/>
        <v>42.28</v>
      </c>
    </row>
    <row r="217" spans="1:28" x14ac:dyDescent="0.25">
      <c r="A217">
        <v>170</v>
      </c>
      <c r="B217" s="33"/>
      <c r="C217">
        <v>101</v>
      </c>
      <c r="D217">
        <v>151</v>
      </c>
      <c r="E217" s="35">
        <v>185</v>
      </c>
      <c r="F217">
        <v>128</v>
      </c>
      <c r="G217">
        <v>109</v>
      </c>
      <c r="H217">
        <v>101</v>
      </c>
      <c r="I217">
        <v>188</v>
      </c>
      <c r="J217">
        <v>182</v>
      </c>
      <c r="K217">
        <v>123</v>
      </c>
      <c r="X217" s="18"/>
      <c r="Y217" s="34">
        <f t="shared" ref="Y217:Y280" si="9">ROUND(AVERAGE(C217:X217),0)</f>
        <v>141</v>
      </c>
      <c r="Z217">
        <f t="shared" ref="Z217:Z280" si="10">ABS(Y217-A217)</f>
        <v>29</v>
      </c>
      <c r="AA217">
        <f t="shared" si="8"/>
        <v>34.39</v>
      </c>
    </row>
    <row r="218" spans="1:28" x14ac:dyDescent="0.25">
      <c r="A218">
        <v>174</v>
      </c>
      <c r="B218" s="33"/>
      <c r="C218">
        <v>155</v>
      </c>
      <c r="D218">
        <v>198</v>
      </c>
      <c r="E218" s="35">
        <v>200</v>
      </c>
      <c r="F218">
        <v>140</v>
      </c>
      <c r="G218">
        <v>155</v>
      </c>
      <c r="H218">
        <v>238</v>
      </c>
      <c r="I218">
        <v>182</v>
      </c>
      <c r="J218">
        <v>160</v>
      </c>
      <c r="K218">
        <v>195</v>
      </c>
      <c r="X218" s="18"/>
      <c r="Y218" s="34">
        <f t="shared" si="9"/>
        <v>180</v>
      </c>
      <c r="Z218">
        <f t="shared" si="10"/>
        <v>6</v>
      </c>
      <c r="AA218">
        <f t="shared" si="8"/>
        <v>28.99</v>
      </c>
    </row>
    <row r="219" spans="1:28" x14ac:dyDescent="0.25">
      <c r="A219">
        <v>63</v>
      </c>
      <c r="B219" s="33"/>
      <c r="C219">
        <v>43</v>
      </c>
      <c r="D219">
        <v>96</v>
      </c>
      <c r="E219" s="35">
        <v>44</v>
      </c>
      <c r="F219">
        <v>95</v>
      </c>
      <c r="G219">
        <v>167</v>
      </c>
      <c r="H219">
        <v>48</v>
      </c>
      <c r="I219">
        <v>58</v>
      </c>
      <c r="J219">
        <v>46</v>
      </c>
      <c r="K219">
        <v>42</v>
      </c>
      <c r="X219" s="18"/>
      <c r="Y219" s="34">
        <f t="shared" si="9"/>
        <v>71</v>
      </c>
      <c r="Z219">
        <f t="shared" si="10"/>
        <v>8</v>
      </c>
      <c r="AA219">
        <f t="shared" si="8"/>
        <v>39.57</v>
      </c>
    </row>
    <row r="220" spans="1:28" x14ac:dyDescent="0.25">
      <c r="A220">
        <v>48</v>
      </c>
      <c r="B220" s="33"/>
      <c r="C220">
        <v>43</v>
      </c>
      <c r="D220">
        <v>75</v>
      </c>
      <c r="E220" s="35">
        <v>51</v>
      </c>
      <c r="F220">
        <v>124</v>
      </c>
      <c r="G220">
        <v>134</v>
      </c>
      <c r="H220">
        <v>48</v>
      </c>
      <c r="I220">
        <v>54</v>
      </c>
      <c r="J220">
        <v>46</v>
      </c>
      <c r="K220">
        <v>41</v>
      </c>
      <c r="X220" s="18"/>
      <c r="Y220" s="34">
        <f t="shared" si="9"/>
        <v>68</v>
      </c>
      <c r="Z220">
        <f t="shared" si="10"/>
        <v>20</v>
      </c>
      <c r="AA220">
        <f t="shared" si="8"/>
        <v>33.770000000000003</v>
      </c>
    </row>
    <row r="221" spans="1:28" x14ac:dyDescent="0.25">
      <c r="A221">
        <v>50</v>
      </c>
      <c r="B221" s="33"/>
      <c r="C221">
        <v>52</v>
      </c>
      <c r="D221">
        <v>90</v>
      </c>
      <c r="E221" s="35">
        <v>56</v>
      </c>
      <c r="F221">
        <v>107</v>
      </c>
      <c r="G221">
        <v>116</v>
      </c>
      <c r="H221">
        <v>51</v>
      </c>
      <c r="I221">
        <v>75</v>
      </c>
      <c r="J221">
        <v>46</v>
      </c>
      <c r="K221">
        <v>46</v>
      </c>
      <c r="X221" s="18"/>
      <c r="Y221" s="34">
        <f t="shared" si="9"/>
        <v>71</v>
      </c>
      <c r="Z221">
        <f t="shared" si="10"/>
        <v>21</v>
      </c>
      <c r="AA221">
        <f t="shared" si="8"/>
        <v>25.68</v>
      </c>
    </row>
    <row r="222" spans="1:28" x14ac:dyDescent="0.25">
      <c r="A222">
        <v>82</v>
      </c>
      <c r="B222" s="33"/>
      <c r="C222">
        <v>53</v>
      </c>
      <c r="D222">
        <v>92</v>
      </c>
      <c r="E222" s="35">
        <v>75</v>
      </c>
      <c r="F222">
        <v>69</v>
      </c>
      <c r="G222">
        <v>105</v>
      </c>
      <c r="H222">
        <v>56</v>
      </c>
      <c r="I222">
        <v>55</v>
      </c>
      <c r="J222">
        <v>46</v>
      </c>
      <c r="K222">
        <v>62</v>
      </c>
      <c r="L222">
        <v>69</v>
      </c>
      <c r="X222" s="18"/>
      <c r="Y222" s="34">
        <f t="shared" si="9"/>
        <v>68</v>
      </c>
      <c r="Z222">
        <f t="shared" si="10"/>
        <v>14</v>
      </c>
      <c r="AA222">
        <f t="shared" si="8"/>
        <v>17.47</v>
      </c>
      <c r="AB222" cm="1">
        <f t="array" ref="AB222">SUMPRODUCT(--(ABS(L222:L243- A222:A243) &lt;= AC500))/22</f>
        <v>0.36363636363636365</v>
      </c>
    </row>
    <row r="223" spans="1:28" x14ac:dyDescent="0.25">
      <c r="A223">
        <v>78</v>
      </c>
      <c r="B223" s="33"/>
      <c r="C223">
        <v>55</v>
      </c>
      <c r="D223">
        <v>110</v>
      </c>
      <c r="E223" s="35">
        <v>160</v>
      </c>
      <c r="F223">
        <v>116</v>
      </c>
      <c r="G223">
        <v>110</v>
      </c>
      <c r="H223">
        <v>82</v>
      </c>
      <c r="I223">
        <v>174</v>
      </c>
      <c r="J223">
        <v>49</v>
      </c>
      <c r="K223">
        <v>58</v>
      </c>
      <c r="L223">
        <v>67</v>
      </c>
      <c r="X223" s="18"/>
      <c r="Y223" s="34">
        <f t="shared" si="9"/>
        <v>98</v>
      </c>
      <c r="Z223">
        <f t="shared" si="10"/>
        <v>20</v>
      </c>
      <c r="AA223">
        <f t="shared" si="8"/>
        <v>41.59</v>
      </c>
    </row>
    <row r="224" spans="1:28" x14ac:dyDescent="0.25">
      <c r="A224">
        <v>100</v>
      </c>
      <c r="B224" s="33"/>
      <c r="C224">
        <v>60</v>
      </c>
      <c r="D224">
        <v>142</v>
      </c>
      <c r="E224" s="35">
        <v>186</v>
      </c>
      <c r="F224">
        <v>131</v>
      </c>
      <c r="G224">
        <v>121</v>
      </c>
      <c r="H224">
        <v>95</v>
      </c>
      <c r="I224">
        <v>205</v>
      </c>
      <c r="J224">
        <v>147</v>
      </c>
      <c r="K224">
        <v>82</v>
      </c>
      <c r="L224">
        <v>99</v>
      </c>
      <c r="X224" s="18"/>
      <c r="Y224" s="34">
        <f t="shared" si="9"/>
        <v>127</v>
      </c>
      <c r="Z224">
        <f t="shared" si="10"/>
        <v>27</v>
      </c>
      <c r="AA224">
        <f t="shared" si="8"/>
        <v>43.09</v>
      </c>
    </row>
    <row r="225" spans="1:27" x14ac:dyDescent="0.25">
      <c r="A225">
        <v>179</v>
      </c>
      <c r="B225" s="33"/>
      <c r="C225">
        <v>80</v>
      </c>
      <c r="D225">
        <v>183</v>
      </c>
      <c r="E225" s="35">
        <v>204</v>
      </c>
      <c r="F225">
        <v>158</v>
      </c>
      <c r="G225">
        <v>150</v>
      </c>
      <c r="H225">
        <v>114</v>
      </c>
      <c r="I225">
        <v>203</v>
      </c>
      <c r="J225">
        <v>120</v>
      </c>
      <c r="K225">
        <v>101</v>
      </c>
      <c r="L225">
        <v>112</v>
      </c>
      <c r="X225" s="18"/>
      <c r="Y225" s="34">
        <f t="shared" si="9"/>
        <v>143</v>
      </c>
      <c r="Z225">
        <f t="shared" si="10"/>
        <v>36</v>
      </c>
      <c r="AA225">
        <f t="shared" si="8"/>
        <v>41.54</v>
      </c>
    </row>
    <row r="226" spans="1:27" x14ac:dyDescent="0.25">
      <c r="A226">
        <v>55</v>
      </c>
      <c r="B226" s="33"/>
      <c r="C226">
        <v>43</v>
      </c>
      <c r="D226">
        <v>123</v>
      </c>
      <c r="E226" s="35">
        <v>42</v>
      </c>
      <c r="F226">
        <v>91</v>
      </c>
      <c r="G226">
        <v>154</v>
      </c>
      <c r="H226">
        <v>48</v>
      </c>
      <c r="I226">
        <v>60</v>
      </c>
      <c r="J226">
        <v>46</v>
      </c>
      <c r="K226">
        <v>65</v>
      </c>
      <c r="L226">
        <v>53</v>
      </c>
      <c r="X226" s="18"/>
      <c r="Y226" s="34">
        <f t="shared" si="9"/>
        <v>73</v>
      </c>
      <c r="Z226">
        <f t="shared" si="10"/>
        <v>18</v>
      </c>
      <c r="AA226">
        <f t="shared" si="8"/>
        <v>36.369999999999997</v>
      </c>
    </row>
    <row r="227" spans="1:27" x14ac:dyDescent="0.25">
      <c r="A227">
        <v>61</v>
      </c>
      <c r="B227" s="33"/>
      <c r="C227">
        <v>43</v>
      </c>
      <c r="D227">
        <v>129</v>
      </c>
      <c r="E227" s="35">
        <v>45</v>
      </c>
      <c r="F227">
        <v>80</v>
      </c>
      <c r="G227">
        <v>125</v>
      </c>
      <c r="H227">
        <v>48</v>
      </c>
      <c r="I227">
        <v>57</v>
      </c>
      <c r="J227">
        <v>46</v>
      </c>
      <c r="K227">
        <v>87</v>
      </c>
      <c r="L227">
        <v>65</v>
      </c>
      <c r="X227" s="18"/>
      <c r="Y227" s="34">
        <f t="shared" si="9"/>
        <v>73</v>
      </c>
      <c r="Z227">
        <f t="shared" si="10"/>
        <v>12</v>
      </c>
      <c r="AA227">
        <f t="shared" si="8"/>
        <v>30.73</v>
      </c>
    </row>
    <row r="228" spans="1:27" x14ac:dyDescent="0.25">
      <c r="A228">
        <v>58</v>
      </c>
      <c r="B228" s="33"/>
      <c r="C228">
        <v>47</v>
      </c>
      <c r="D228">
        <v>104</v>
      </c>
      <c r="E228" s="35">
        <v>50</v>
      </c>
      <c r="F228">
        <v>100</v>
      </c>
      <c r="G228">
        <v>122</v>
      </c>
      <c r="H228">
        <v>54</v>
      </c>
      <c r="I228">
        <v>111</v>
      </c>
      <c r="J228">
        <v>46</v>
      </c>
      <c r="K228">
        <v>48</v>
      </c>
      <c r="L228">
        <v>45</v>
      </c>
      <c r="X228" s="18"/>
      <c r="Y228" s="34">
        <f t="shared" si="9"/>
        <v>73</v>
      </c>
      <c r="Z228">
        <f t="shared" si="10"/>
        <v>15</v>
      </c>
      <c r="AA228">
        <f t="shared" si="8"/>
        <v>30.39</v>
      </c>
    </row>
    <row r="229" spans="1:27" x14ac:dyDescent="0.25">
      <c r="A229">
        <v>78</v>
      </c>
      <c r="B229" s="33"/>
      <c r="C229">
        <v>53</v>
      </c>
      <c r="D229">
        <v>100</v>
      </c>
      <c r="E229" s="35">
        <v>63</v>
      </c>
      <c r="F229">
        <v>113</v>
      </c>
      <c r="G229">
        <v>80</v>
      </c>
      <c r="H229">
        <v>75</v>
      </c>
      <c r="I229">
        <v>228</v>
      </c>
      <c r="J229">
        <v>96</v>
      </c>
      <c r="K229">
        <v>58</v>
      </c>
      <c r="L229">
        <v>48</v>
      </c>
      <c r="X229" s="18"/>
      <c r="Y229" s="34">
        <f t="shared" si="9"/>
        <v>91</v>
      </c>
      <c r="Z229">
        <f t="shared" si="10"/>
        <v>13</v>
      </c>
      <c r="AA229">
        <f t="shared" si="8"/>
        <v>49.9</v>
      </c>
    </row>
    <row r="230" spans="1:27" x14ac:dyDescent="0.25">
      <c r="A230">
        <v>90</v>
      </c>
      <c r="B230" s="33"/>
      <c r="C230">
        <v>54</v>
      </c>
      <c r="D230">
        <v>118</v>
      </c>
      <c r="E230" s="35">
        <v>161</v>
      </c>
      <c r="F230">
        <v>116</v>
      </c>
      <c r="G230">
        <v>113</v>
      </c>
      <c r="H230">
        <v>71</v>
      </c>
      <c r="I230">
        <v>168</v>
      </c>
      <c r="J230">
        <v>47</v>
      </c>
      <c r="K230">
        <v>55</v>
      </c>
      <c r="L230">
        <v>62</v>
      </c>
      <c r="X230" s="18"/>
      <c r="Y230" s="34">
        <f t="shared" si="9"/>
        <v>97</v>
      </c>
      <c r="Z230">
        <f t="shared" si="10"/>
        <v>7</v>
      </c>
      <c r="AA230">
        <f t="shared" si="8"/>
        <v>42.67</v>
      </c>
    </row>
    <row r="231" spans="1:27" x14ac:dyDescent="0.25">
      <c r="A231">
        <v>125</v>
      </c>
      <c r="B231" s="33"/>
      <c r="C231">
        <v>69</v>
      </c>
      <c r="D231">
        <v>162</v>
      </c>
      <c r="E231" s="35">
        <v>182</v>
      </c>
      <c r="F231">
        <v>133</v>
      </c>
      <c r="G231">
        <v>129</v>
      </c>
      <c r="H231">
        <v>97</v>
      </c>
      <c r="I231">
        <v>134</v>
      </c>
      <c r="J231">
        <v>48</v>
      </c>
      <c r="K231">
        <v>68</v>
      </c>
      <c r="L231">
        <v>94</v>
      </c>
      <c r="X231" s="18"/>
      <c r="Y231" s="34">
        <f t="shared" si="9"/>
        <v>112</v>
      </c>
      <c r="Z231">
        <f t="shared" si="10"/>
        <v>13</v>
      </c>
      <c r="AA231">
        <f t="shared" si="8"/>
        <v>41.28</v>
      </c>
    </row>
    <row r="232" spans="1:27" x14ac:dyDescent="0.25">
      <c r="A232">
        <v>207</v>
      </c>
      <c r="B232" s="33"/>
      <c r="C232">
        <v>110</v>
      </c>
      <c r="D232">
        <v>180</v>
      </c>
      <c r="E232" s="35">
        <v>195</v>
      </c>
      <c r="F232">
        <v>145</v>
      </c>
      <c r="G232">
        <v>130</v>
      </c>
      <c r="H232">
        <v>124</v>
      </c>
      <c r="I232">
        <v>217</v>
      </c>
      <c r="J232">
        <v>228</v>
      </c>
      <c r="K232">
        <v>159</v>
      </c>
      <c r="L232">
        <v>192</v>
      </c>
      <c r="X232" s="18"/>
      <c r="Y232" s="34">
        <f t="shared" si="9"/>
        <v>168</v>
      </c>
      <c r="Z232">
        <f t="shared" si="10"/>
        <v>39</v>
      </c>
      <c r="AA232">
        <f t="shared" si="8"/>
        <v>38.479999999999997</v>
      </c>
    </row>
    <row r="233" spans="1:27" x14ac:dyDescent="0.25">
      <c r="A233">
        <v>90</v>
      </c>
      <c r="B233" s="33"/>
      <c r="C233">
        <v>43</v>
      </c>
      <c r="D233">
        <v>86</v>
      </c>
      <c r="E233" s="35">
        <v>45</v>
      </c>
      <c r="F233">
        <v>130</v>
      </c>
      <c r="G233">
        <v>162</v>
      </c>
      <c r="H233">
        <v>48</v>
      </c>
      <c r="I233">
        <v>56</v>
      </c>
      <c r="J233">
        <v>46</v>
      </c>
      <c r="K233">
        <v>41</v>
      </c>
      <c r="L233">
        <v>52</v>
      </c>
      <c r="X233" s="18"/>
      <c r="Y233" s="34">
        <f t="shared" si="9"/>
        <v>71</v>
      </c>
      <c r="Z233">
        <f t="shared" si="10"/>
        <v>19</v>
      </c>
      <c r="AA233">
        <f t="shared" si="8"/>
        <v>40.11</v>
      </c>
    </row>
    <row r="234" spans="1:27" x14ac:dyDescent="0.25">
      <c r="A234">
        <v>58</v>
      </c>
      <c r="B234" s="33"/>
      <c r="C234">
        <v>50</v>
      </c>
      <c r="D234">
        <v>69</v>
      </c>
      <c r="E234" s="35">
        <v>50</v>
      </c>
      <c r="F234">
        <v>185</v>
      </c>
      <c r="G234">
        <v>116</v>
      </c>
      <c r="H234">
        <v>48</v>
      </c>
      <c r="I234">
        <v>68</v>
      </c>
      <c r="J234">
        <v>46</v>
      </c>
      <c r="K234">
        <v>41</v>
      </c>
      <c r="L234">
        <v>42</v>
      </c>
      <c r="X234" s="18"/>
      <c r="Y234" s="34">
        <f t="shared" si="9"/>
        <v>72</v>
      </c>
      <c r="Z234">
        <f t="shared" si="10"/>
        <v>14</v>
      </c>
      <c r="AA234">
        <f t="shared" si="8"/>
        <v>43.37</v>
      </c>
    </row>
    <row r="235" spans="1:27" x14ac:dyDescent="0.25">
      <c r="A235">
        <v>118</v>
      </c>
      <c r="B235" s="33"/>
      <c r="C235">
        <v>46</v>
      </c>
      <c r="D235">
        <v>143</v>
      </c>
      <c r="E235" s="35">
        <v>109</v>
      </c>
      <c r="F235">
        <v>105</v>
      </c>
      <c r="G235">
        <v>102</v>
      </c>
      <c r="H235">
        <v>53</v>
      </c>
      <c r="I235">
        <v>47</v>
      </c>
      <c r="J235">
        <v>46</v>
      </c>
      <c r="K235">
        <v>50</v>
      </c>
      <c r="L235">
        <v>44</v>
      </c>
      <c r="X235" s="18"/>
      <c r="Y235" s="34">
        <f t="shared" si="9"/>
        <v>75</v>
      </c>
      <c r="Z235">
        <f t="shared" si="10"/>
        <v>43</v>
      </c>
      <c r="AA235">
        <f t="shared" si="8"/>
        <v>34.56</v>
      </c>
    </row>
    <row r="236" spans="1:27" x14ac:dyDescent="0.25">
      <c r="A236">
        <v>92</v>
      </c>
      <c r="B236" s="33"/>
      <c r="C236">
        <v>51</v>
      </c>
      <c r="D236">
        <v>100</v>
      </c>
      <c r="E236" s="35">
        <v>116</v>
      </c>
      <c r="F236">
        <v>106</v>
      </c>
      <c r="G236">
        <v>104</v>
      </c>
      <c r="H236">
        <v>72</v>
      </c>
      <c r="I236">
        <v>173</v>
      </c>
      <c r="J236">
        <v>46</v>
      </c>
      <c r="K236">
        <v>49</v>
      </c>
      <c r="L236">
        <v>63</v>
      </c>
      <c r="X236" s="18"/>
      <c r="Y236" s="34">
        <f t="shared" si="9"/>
        <v>88</v>
      </c>
      <c r="Z236">
        <f t="shared" si="10"/>
        <v>4</v>
      </c>
      <c r="AA236">
        <f t="shared" si="8"/>
        <v>37.770000000000003</v>
      </c>
    </row>
    <row r="237" spans="1:27" x14ac:dyDescent="0.25">
      <c r="A237">
        <v>58</v>
      </c>
      <c r="B237" s="33"/>
      <c r="C237">
        <v>56</v>
      </c>
      <c r="D237">
        <v>131</v>
      </c>
      <c r="E237" s="35">
        <v>99</v>
      </c>
      <c r="F237">
        <v>116</v>
      </c>
      <c r="G237">
        <v>128</v>
      </c>
      <c r="H237">
        <v>81</v>
      </c>
      <c r="I237">
        <v>100</v>
      </c>
      <c r="J237">
        <v>46</v>
      </c>
      <c r="K237">
        <v>47</v>
      </c>
      <c r="L237">
        <v>78</v>
      </c>
      <c r="X237" s="18"/>
      <c r="Y237" s="34">
        <f t="shared" si="9"/>
        <v>88</v>
      </c>
      <c r="Z237">
        <f t="shared" si="10"/>
        <v>30</v>
      </c>
      <c r="AA237">
        <f t="shared" si="8"/>
        <v>30.19</v>
      </c>
    </row>
    <row r="238" spans="1:27" x14ac:dyDescent="0.25">
      <c r="A238">
        <v>160</v>
      </c>
      <c r="B238" s="33"/>
      <c r="C238">
        <v>67</v>
      </c>
      <c r="D238">
        <v>161</v>
      </c>
      <c r="E238" s="35">
        <v>164</v>
      </c>
      <c r="F238">
        <v>114</v>
      </c>
      <c r="G238">
        <v>124</v>
      </c>
      <c r="H238">
        <v>112</v>
      </c>
      <c r="I238">
        <v>119</v>
      </c>
      <c r="J238">
        <v>46</v>
      </c>
      <c r="K238">
        <v>58</v>
      </c>
      <c r="L238">
        <v>119</v>
      </c>
      <c r="X238" s="18"/>
      <c r="Y238" s="34">
        <f t="shared" si="9"/>
        <v>108</v>
      </c>
      <c r="Z238">
        <f t="shared" si="10"/>
        <v>52</v>
      </c>
      <c r="AA238">
        <f t="shared" ref="AA238:AA301" si="11">ROUND(_xlfn.STDEV.P(C238:X238),2)</f>
        <v>38.1</v>
      </c>
    </row>
    <row r="239" spans="1:27" x14ac:dyDescent="0.25">
      <c r="A239">
        <v>203</v>
      </c>
      <c r="B239" s="33"/>
      <c r="C239">
        <v>86</v>
      </c>
      <c r="D239">
        <v>164</v>
      </c>
      <c r="E239" s="35">
        <v>191</v>
      </c>
      <c r="F239">
        <v>148</v>
      </c>
      <c r="G239">
        <v>156</v>
      </c>
      <c r="H239">
        <v>270</v>
      </c>
      <c r="I239">
        <v>216</v>
      </c>
      <c r="J239">
        <v>216</v>
      </c>
      <c r="K239">
        <v>128</v>
      </c>
      <c r="L239">
        <v>161</v>
      </c>
      <c r="X239" s="18"/>
      <c r="Y239" s="34">
        <f t="shared" si="9"/>
        <v>174</v>
      </c>
      <c r="Z239">
        <f t="shared" si="10"/>
        <v>29</v>
      </c>
      <c r="AA239">
        <f t="shared" si="11"/>
        <v>49.15</v>
      </c>
    </row>
    <row r="240" spans="1:27" x14ac:dyDescent="0.25">
      <c r="A240">
        <v>78</v>
      </c>
      <c r="B240" s="33"/>
      <c r="C240">
        <v>43</v>
      </c>
      <c r="D240">
        <v>111</v>
      </c>
      <c r="E240" s="35">
        <v>49</v>
      </c>
      <c r="F240">
        <v>72</v>
      </c>
      <c r="G240">
        <v>160</v>
      </c>
      <c r="H240">
        <v>48</v>
      </c>
      <c r="I240">
        <v>57</v>
      </c>
      <c r="J240">
        <v>46</v>
      </c>
      <c r="K240">
        <v>43</v>
      </c>
      <c r="L240">
        <v>64</v>
      </c>
      <c r="X240" s="18"/>
      <c r="Y240" s="34">
        <f t="shared" si="9"/>
        <v>69</v>
      </c>
      <c r="Z240">
        <f t="shared" si="10"/>
        <v>9</v>
      </c>
      <c r="AA240">
        <f t="shared" si="11"/>
        <v>35.979999999999997</v>
      </c>
    </row>
    <row r="241" spans="1:28" x14ac:dyDescent="0.25">
      <c r="A241">
        <v>22</v>
      </c>
      <c r="B241" s="33"/>
      <c r="C241">
        <v>50</v>
      </c>
      <c r="D241">
        <v>78</v>
      </c>
      <c r="E241" s="35">
        <v>48</v>
      </c>
      <c r="F241">
        <v>164</v>
      </c>
      <c r="G241">
        <v>113</v>
      </c>
      <c r="H241">
        <v>49</v>
      </c>
      <c r="I241">
        <v>70</v>
      </c>
      <c r="J241">
        <v>46</v>
      </c>
      <c r="K241">
        <v>41</v>
      </c>
      <c r="L241">
        <v>46</v>
      </c>
      <c r="X241" s="18"/>
      <c r="Y241" s="34">
        <f t="shared" si="9"/>
        <v>71</v>
      </c>
      <c r="Z241">
        <f t="shared" si="10"/>
        <v>49</v>
      </c>
      <c r="AA241">
        <f t="shared" si="11"/>
        <v>37.5</v>
      </c>
    </row>
    <row r="242" spans="1:28" x14ac:dyDescent="0.25">
      <c r="A242">
        <v>67</v>
      </c>
      <c r="B242" s="33"/>
      <c r="C242">
        <v>50</v>
      </c>
      <c r="D242">
        <v>94</v>
      </c>
      <c r="E242" s="35">
        <v>59</v>
      </c>
      <c r="F242">
        <v>95</v>
      </c>
      <c r="G242">
        <v>116</v>
      </c>
      <c r="H242">
        <v>49</v>
      </c>
      <c r="I242">
        <v>54</v>
      </c>
      <c r="J242">
        <v>46</v>
      </c>
      <c r="K242">
        <v>47</v>
      </c>
      <c r="L242">
        <v>51</v>
      </c>
      <c r="X242" s="18"/>
      <c r="Y242" s="34">
        <f t="shared" si="9"/>
        <v>66</v>
      </c>
      <c r="Z242">
        <f t="shared" si="10"/>
        <v>1</v>
      </c>
      <c r="AA242">
        <f t="shared" si="11"/>
        <v>24.18</v>
      </c>
    </row>
    <row r="243" spans="1:28" x14ac:dyDescent="0.25">
      <c r="A243">
        <v>119</v>
      </c>
      <c r="B243" s="33"/>
      <c r="C243">
        <v>56</v>
      </c>
      <c r="D243">
        <v>107</v>
      </c>
      <c r="E243" s="35">
        <v>90</v>
      </c>
      <c r="F243">
        <v>114</v>
      </c>
      <c r="G243">
        <v>115</v>
      </c>
      <c r="H243">
        <v>63</v>
      </c>
      <c r="I243">
        <v>87</v>
      </c>
      <c r="J243">
        <v>46</v>
      </c>
      <c r="K243">
        <v>44</v>
      </c>
      <c r="L243">
        <v>67</v>
      </c>
      <c r="X243" s="18"/>
      <c r="Y243" s="34">
        <f t="shared" si="9"/>
        <v>79</v>
      </c>
      <c r="Z243">
        <f t="shared" si="10"/>
        <v>40</v>
      </c>
      <c r="AA243">
        <f t="shared" si="11"/>
        <v>25.95</v>
      </c>
    </row>
    <row r="244" spans="1:28" x14ac:dyDescent="0.25">
      <c r="A244">
        <v>135</v>
      </c>
      <c r="B244" s="33"/>
      <c r="C244">
        <v>61</v>
      </c>
      <c r="D244">
        <v>128</v>
      </c>
      <c r="E244" s="35">
        <v>139</v>
      </c>
      <c r="F244">
        <v>101</v>
      </c>
      <c r="G244">
        <v>111</v>
      </c>
      <c r="H244">
        <v>82</v>
      </c>
      <c r="I244">
        <v>84</v>
      </c>
      <c r="J244">
        <v>46</v>
      </c>
      <c r="K244">
        <v>46</v>
      </c>
      <c r="L244">
        <v>91</v>
      </c>
      <c r="M244">
        <v>125</v>
      </c>
      <c r="X244" s="18"/>
      <c r="Y244" s="34">
        <f t="shared" si="9"/>
        <v>92</v>
      </c>
      <c r="Z244">
        <f t="shared" si="10"/>
        <v>43</v>
      </c>
      <c r="AA244">
        <f t="shared" si="11"/>
        <v>30.74</v>
      </c>
      <c r="AB244" cm="1">
        <f t="array" ref="AB244">SUMPRODUCT(--(ABS(M244:M265- A244:A265) &lt;= AC500))/22</f>
        <v>0.27272727272727271</v>
      </c>
    </row>
    <row r="245" spans="1:28" x14ac:dyDescent="0.25">
      <c r="A245">
        <v>149</v>
      </c>
      <c r="B245" s="33"/>
      <c r="C245">
        <v>47</v>
      </c>
      <c r="D245">
        <v>166</v>
      </c>
      <c r="E245" s="35">
        <v>178</v>
      </c>
      <c r="F245">
        <v>128</v>
      </c>
      <c r="G245">
        <v>119</v>
      </c>
      <c r="H245">
        <v>80</v>
      </c>
      <c r="I245">
        <v>161</v>
      </c>
      <c r="J245">
        <v>49</v>
      </c>
      <c r="K245">
        <v>47</v>
      </c>
      <c r="L245">
        <v>47</v>
      </c>
      <c r="M245">
        <v>103</v>
      </c>
      <c r="X245" s="18"/>
      <c r="Y245" s="34">
        <f t="shared" si="9"/>
        <v>102</v>
      </c>
      <c r="Z245">
        <f t="shared" si="10"/>
        <v>47</v>
      </c>
      <c r="AA245">
        <f t="shared" si="11"/>
        <v>49.25</v>
      </c>
    </row>
    <row r="246" spans="1:28" x14ac:dyDescent="0.25">
      <c r="A246">
        <v>189</v>
      </c>
      <c r="B246" s="33"/>
      <c r="C246">
        <v>55</v>
      </c>
      <c r="D246">
        <v>241</v>
      </c>
      <c r="E246" s="35">
        <v>310</v>
      </c>
      <c r="F246">
        <v>184</v>
      </c>
      <c r="G246">
        <v>131</v>
      </c>
      <c r="H246">
        <v>211</v>
      </c>
      <c r="I246">
        <v>186</v>
      </c>
      <c r="J246">
        <v>65</v>
      </c>
      <c r="K246">
        <v>164</v>
      </c>
      <c r="L246">
        <v>116</v>
      </c>
      <c r="M246">
        <v>110</v>
      </c>
      <c r="X246" s="18"/>
      <c r="Y246" s="34">
        <f t="shared" si="9"/>
        <v>161</v>
      </c>
      <c r="Z246">
        <f t="shared" si="10"/>
        <v>28</v>
      </c>
      <c r="AA246">
        <f t="shared" si="11"/>
        <v>72.760000000000005</v>
      </c>
    </row>
    <row r="247" spans="1:28" x14ac:dyDescent="0.25">
      <c r="A247">
        <v>98</v>
      </c>
      <c r="B247" s="33"/>
      <c r="C247">
        <v>43</v>
      </c>
      <c r="D247">
        <v>137</v>
      </c>
      <c r="E247" s="35">
        <v>53</v>
      </c>
      <c r="F247">
        <v>115</v>
      </c>
      <c r="G247">
        <v>172</v>
      </c>
      <c r="H247">
        <v>48</v>
      </c>
      <c r="I247">
        <v>62</v>
      </c>
      <c r="J247">
        <v>46</v>
      </c>
      <c r="K247">
        <v>47</v>
      </c>
      <c r="L247">
        <v>42</v>
      </c>
      <c r="M247">
        <v>68</v>
      </c>
      <c r="X247" s="18"/>
      <c r="Y247" s="34">
        <f t="shared" si="9"/>
        <v>76</v>
      </c>
      <c r="Z247">
        <f t="shared" si="10"/>
        <v>22</v>
      </c>
      <c r="AA247">
        <f t="shared" si="11"/>
        <v>42.66</v>
      </c>
    </row>
    <row r="248" spans="1:28" x14ac:dyDescent="0.25">
      <c r="A248">
        <v>118</v>
      </c>
      <c r="B248" s="33"/>
      <c r="C248">
        <v>46</v>
      </c>
      <c r="D248">
        <v>111</v>
      </c>
      <c r="E248" s="35">
        <v>65</v>
      </c>
      <c r="F248">
        <v>116</v>
      </c>
      <c r="G248">
        <v>137</v>
      </c>
      <c r="H248">
        <v>48</v>
      </c>
      <c r="I248">
        <v>60</v>
      </c>
      <c r="J248">
        <v>46</v>
      </c>
      <c r="K248">
        <v>41</v>
      </c>
      <c r="L248">
        <v>42</v>
      </c>
      <c r="M248">
        <v>81</v>
      </c>
      <c r="X248" s="18"/>
      <c r="Y248" s="34">
        <f t="shared" si="9"/>
        <v>72</v>
      </c>
      <c r="Z248">
        <f t="shared" si="10"/>
        <v>46</v>
      </c>
      <c r="AA248">
        <f t="shared" si="11"/>
        <v>32.68</v>
      </c>
    </row>
    <row r="249" spans="1:28" x14ac:dyDescent="0.25">
      <c r="A249">
        <v>144</v>
      </c>
      <c r="B249" s="33"/>
      <c r="C249">
        <v>46</v>
      </c>
      <c r="D249">
        <v>91</v>
      </c>
      <c r="E249" s="35">
        <v>57</v>
      </c>
      <c r="F249">
        <v>114</v>
      </c>
      <c r="G249">
        <v>118</v>
      </c>
      <c r="H249">
        <v>49</v>
      </c>
      <c r="I249">
        <v>54</v>
      </c>
      <c r="J249">
        <v>46</v>
      </c>
      <c r="K249">
        <v>45</v>
      </c>
      <c r="L249">
        <v>50</v>
      </c>
      <c r="M249">
        <v>57</v>
      </c>
      <c r="X249" s="18"/>
      <c r="Y249" s="34">
        <f t="shared" si="9"/>
        <v>66</v>
      </c>
      <c r="Z249">
        <f t="shared" si="10"/>
        <v>78</v>
      </c>
      <c r="AA249">
        <f t="shared" si="11"/>
        <v>26.5</v>
      </c>
    </row>
    <row r="250" spans="1:28" x14ac:dyDescent="0.25">
      <c r="A250">
        <v>0</v>
      </c>
      <c r="B250" s="33"/>
      <c r="C250">
        <v>52</v>
      </c>
      <c r="D250">
        <v>98</v>
      </c>
      <c r="E250" s="35">
        <v>70</v>
      </c>
      <c r="F250">
        <v>86</v>
      </c>
      <c r="G250">
        <v>110</v>
      </c>
      <c r="H250">
        <v>54</v>
      </c>
      <c r="I250">
        <v>57</v>
      </c>
      <c r="J250">
        <v>46</v>
      </c>
      <c r="K250">
        <v>57</v>
      </c>
      <c r="L250">
        <v>69</v>
      </c>
      <c r="M250">
        <v>81</v>
      </c>
      <c r="X250" s="18"/>
      <c r="Y250" s="34">
        <f t="shared" si="9"/>
        <v>71</v>
      </c>
      <c r="Z250">
        <f t="shared" si="10"/>
        <v>71</v>
      </c>
      <c r="AA250">
        <f t="shared" si="11"/>
        <v>19.649999999999999</v>
      </c>
    </row>
    <row r="251" spans="1:28" x14ac:dyDescent="0.25">
      <c r="A251">
        <v>52</v>
      </c>
      <c r="B251" s="33"/>
      <c r="C251">
        <v>64</v>
      </c>
      <c r="D251">
        <v>122</v>
      </c>
      <c r="E251" s="35">
        <v>161</v>
      </c>
      <c r="F251">
        <v>116</v>
      </c>
      <c r="G251">
        <v>112</v>
      </c>
      <c r="H251">
        <v>94</v>
      </c>
      <c r="I251">
        <v>99</v>
      </c>
      <c r="J251">
        <v>46</v>
      </c>
      <c r="K251">
        <v>43</v>
      </c>
      <c r="L251">
        <v>84</v>
      </c>
      <c r="M251">
        <v>120</v>
      </c>
      <c r="X251" s="18"/>
      <c r="Y251" s="34">
        <f t="shared" si="9"/>
        <v>96</v>
      </c>
      <c r="Z251">
        <f t="shared" si="10"/>
        <v>44</v>
      </c>
      <c r="AA251">
        <f t="shared" si="11"/>
        <v>33.869999999999997</v>
      </c>
    </row>
    <row r="252" spans="1:28" x14ac:dyDescent="0.25">
      <c r="A252">
        <v>155</v>
      </c>
      <c r="B252" s="33"/>
      <c r="C252">
        <v>84</v>
      </c>
      <c r="D252">
        <v>127</v>
      </c>
      <c r="E252" s="35">
        <v>165</v>
      </c>
      <c r="F252">
        <v>128</v>
      </c>
      <c r="G252">
        <v>139</v>
      </c>
      <c r="H252">
        <v>249</v>
      </c>
      <c r="I252">
        <v>248</v>
      </c>
      <c r="J252">
        <v>142</v>
      </c>
      <c r="K252">
        <v>101</v>
      </c>
      <c r="L252">
        <v>123</v>
      </c>
      <c r="M252">
        <v>155</v>
      </c>
      <c r="X252" s="18"/>
      <c r="Y252" s="34">
        <f t="shared" si="9"/>
        <v>151</v>
      </c>
      <c r="Z252">
        <f t="shared" si="10"/>
        <v>4</v>
      </c>
      <c r="AA252">
        <f t="shared" si="11"/>
        <v>50.75</v>
      </c>
    </row>
    <row r="253" spans="1:28" x14ac:dyDescent="0.25">
      <c r="A253">
        <v>154</v>
      </c>
      <c r="B253" s="33"/>
      <c r="C253">
        <v>167</v>
      </c>
      <c r="D253">
        <v>154</v>
      </c>
      <c r="E253" s="35">
        <v>169</v>
      </c>
      <c r="F253">
        <v>144</v>
      </c>
      <c r="G253">
        <v>133</v>
      </c>
      <c r="H253">
        <v>232</v>
      </c>
      <c r="I253">
        <v>198</v>
      </c>
      <c r="J253">
        <v>206</v>
      </c>
      <c r="K253">
        <v>199</v>
      </c>
      <c r="L253">
        <v>211</v>
      </c>
      <c r="M253">
        <v>187</v>
      </c>
      <c r="X253" s="18"/>
      <c r="Y253" s="34">
        <f t="shared" si="9"/>
        <v>182</v>
      </c>
      <c r="Z253">
        <f t="shared" si="10"/>
        <v>28</v>
      </c>
      <c r="AA253">
        <f t="shared" si="11"/>
        <v>29.4</v>
      </c>
    </row>
    <row r="254" spans="1:28" x14ac:dyDescent="0.25">
      <c r="A254">
        <v>62</v>
      </c>
      <c r="B254" s="33"/>
      <c r="C254">
        <v>43</v>
      </c>
      <c r="D254">
        <v>113</v>
      </c>
      <c r="E254" s="35">
        <v>42</v>
      </c>
      <c r="F254">
        <v>66</v>
      </c>
      <c r="G254">
        <v>115</v>
      </c>
      <c r="H254">
        <v>50</v>
      </c>
      <c r="I254">
        <v>54</v>
      </c>
      <c r="J254">
        <v>46</v>
      </c>
      <c r="K254">
        <v>41</v>
      </c>
      <c r="L254">
        <v>59</v>
      </c>
      <c r="M254">
        <v>47</v>
      </c>
      <c r="X254" s="18"/>
      <c r="Y254" s="34">
        <f t="shared" si="9"/>
        <v>61</v>
      </c>
      <c r="Z254">
        <f t="shared" si="10"/>
        <v>1</v>
      </c>
      <c r="AA254">
        <f t="shared" si="11"/>
        <v>25.8</v>
      </c>
    </row>
    <row r="255" spans="1:28" x14ac:dyDescent="0.25">
      <c r="A255">
        <v>77</v>
      </c>
      <c r="B255" s="33"/>
      <c r="C255">
        <v>43</v>
      </c>
      <c r="D255">
        <v>109</v>
      </c>
      <c r="E255" s="35">
        <v>58</v>
      </c>
      <c r="F255">
        <v>73</v>
      </c>
      <c r="G255">
        <v>120</v>
      </c>
      <c r="H255">
        <v>48</v>
      </c>
      <c r="I255">
        <v>54</v>
      </c>
      <c r="J255">
        <v>46</v>
      </c>
      <c r="K255">
        <v>54</v>
      </c>
      <c r="L255">
        <v>60</v>
      </c>
      <c r="M255">
        <v>83</v>
      </c>
      <c r="X255" s="18"/>
      <c r="Y255" s="34">
        <f t="shared" si="9"/>
        <v>68</v>
      </c>
      <c r="Z255">
        <f t="shared" si="10"/>
        <v>9</v>
      </c>
      <c r="AA255">
        <f t="shared" si="11"/>
        <v>24.68</v>
      </c>
    </row>
    <row r="256" spans="1:28" x14ac:dyDescent="0.25">
      <c r="A256">
        <v>186</v>
      </c>
      <c r="B256" s="33"/>
      <c r="C256">
        <v>49</v>
      </c>
      <c r="D256">
        <v>92</v>
      </c>
      <c r="E256" s="35">
        <v>46</v>
      </c>
      <c r="F256">
        <v>143</v>
      </c>
      <c r="G256">
        <v>89</v>
      </c>
      <c r="H256">
        <v>60</v>
      </c>
      <c r="I256">
        <v>114</v>
      </c>
      <c r="J256">
        <v>55</v>
      </c>
      <c r="K256">
        <v>41</v>
      </c>
      <c r="L256">
        <v>65</v>
      </c>
      <c r="M256">
        <v>44</v>
      </c>
      <c r="X256" s="18"/>
      <c r="Y256" s="34">
        <f t="shared" si="9"/>
        <v>73</v>
      </c>
      <c r="Z256">
        <f t="shared" si="10"/>
        <v>113</v>
      </c>
      <c r="AA256">
        <f t="shared" si="11"/>
        <v>31.51</v>
      </c>
    </row>
    <row r="257" spans="1:28" x14ac:dyDescent="0.25">
      <c r="A257">
        <v>50</v>
      </c>
      <c r="B257" s="33"/>
      <c r="C257">
        <v>43</v>
      </c>
      <c r="D257">
        <v>41</v>
      </c>
      <c r="E257" s="35">
        <v>42</v>
      </c>
      <c r="F257">
        <v>53</v>
      </c>
      <c r="G257">
        <v>77</v>
      </c>
      <c r="H257">
        <v>85</v>
      </c>
      <c r="I257">
        <v>140</v>
      </c>
      <c r="J257">
        <v>114</v>
      </c>
      <c r="K257">
        <v>88</v>
      </c>
      <c r="L257">
        <v>64</v>
      </c>
      <c r="M257">
        <v>68</v>
      </c>
      <c r="X257" s="18"/>
      <c r="Y257" s="34">
        <f t="shared" si="9"/>
        <v>74</v>
      </c>
      <c r="Z257">
        <f t="shared" si="10"/>
        <v>24</v>
      </c>
      <c r="AA257">
        <f t="shared" si="11"/>
        <v>30.05</v>
      </c>
    </row>
    <row r="258" spans="1:28" x14ac:dyDescent="0.25">
      <c r="A258">
        <v>57</v>
      </c>
      <c r="B258" s="33"/>
      <c r="C258">
        <v>43</v>
      </c>
      <c r="D258">
        <v>41</v>
      </c>
      <c r="E258" s="35">
        <v>42</v>
      </c>
      <c r="F258">
        <v>89</v>
      </c>
      <c r="G258">
        <v>75</v>
      </c>
      <c r="H258">
        <v>85</v>
      </c>
      <c r="I258">
        <v>65</v>
      </c>
      <c r="J258">
        <v>49</v>
      </c>
      <c r="K258">
        <v>95</v>
      </c>
      <c r="L258">
        <v>89</v>
      </c>
      <c r="M258">
        <v>111</v>
      </c>
      <c r="X258" s="18"/>
      <c r="Y258" s="34">
        <f t="shared" si="9"/>
        <v>71</v>
      </c>
      <c r="Z258">
        <f t="shared" si="10"/>
        <v>14</v>
      </c>
      <c r="AA258">
        <f t="shared" si="11"/>
        <v>23.51</v>
      </c>
    </row>
    <row r="259" spans="1:28" x14ac:dyDescent="0.25">
      <c r="A259">
        <v>137</v>
      </c>
      <c r="B259" s="33"/>
      <c r="C259">
        <v>47</v>
      </c>
      <c r="D259">
        <v>67</v>
      </c>
      <c r="E259" s="35">
        <v>42</v>
      </c>
      <c r="F259">
        <v>53</v>
      </c>
      <c r="G259">
        <v>83</v>
      </c>
      <c r="H259">
        <v>85</v>
      </c>
      <c r="I259">
        <v>143</v>
      </c>
      <c r="J259">
        <v>138</v>
      </c>
      <c r="K259">
        <v>112</v>
      </c>
      <c r="L259">
        <v>113</v>
      </c>
      <c r="M259">
        <v>118</v>
      </c>
      <c r="X259" s="18"/>
      <c r="Y259" s="34">
        <f t="shared" si="9"/>
        <v>91</v>
      </c>
      <c r="Z259">
        <f t="shared" si="10"/>
        <v>46</v>
      </c>
      <c r="AA259">
        <f t="shared" si="11"/>
        <v>34.409999999999997</v>
      </c>
    </row>
    <row r="260" spans="1:28" x14ac:dyDescent="0.25">
      <c r="A260">
        <v>147</v>
      </c>
      <c r="B260" s="33"/>
      <c r="C260">
        <v>51</v>
      </c>
      <c r="D260">
        <v>84</v>
      </c>
      <c r="E260" s="35">
        <v>42</v>
      </c>
      <c r="F260">
        <v>90</v>
      </c>
      <c r="G260">
        <v>97</v>
      </c>
      <c r="H260">
        <v>102</v>
      </c>
      <c r="I260">
        <v>127</v>
      </c>
      <c r="J260">
        <v>74</v>
      </c>
      <c r="K260">
        <v>166</v>
      </c>
      <c r="L260">
        <v>149</v>
      </c>
      <c r="M260">
        <v>161</v>
      </c>
      <c r="X260" s="18"/>
      <c r="Y260" s="34">
        <f t="shared" si="9"/>
        <v>104</v>
      </c>
      <c r="Z260">
        <f t="shared" si="10"/>
        <v>43</v>
      </c>
      <c r="AA260">
        <f t="shared" si="11"/>
        <v>40.28</v>
      </c>
    </row>
    <row r="261" spans="1:28" x14ac:dyDescent="0.25">
      <c r="A261">
        <v>26</v>
      </c>
      <c r="B261" s="33"/>
      <c r="C261">
        <v>43</v>
      </c>
      <c r="D261">
        <v>52</v>
      </c>
      <c r="E261" s="35">
        <v>42</v>
      </c>
      <c r="F261">
        <v>114</v>
      </c>
      <c r="G261">
        <v>136</v>
      </c>
      <c r="H261">
        <v>56</v>
      </c>
      <c r="I261">
        <v>58</v>
      </c>
      <c r="J261">
        <v>47</v>
      </c>
      <c r="K261">
        <v>81</v>
      </c>
      <c r="L261">
        <v>46</v>
      </c>
      <c r="M261">
        <v>59</v>
      </c>
      <c r="X261" s="18"/>
      <c r="Y261" s="34">
        <f t="shared" si="9"/>
        <v>67</v>
      </c>
      <c r="Z261">
        <f t="shared" si="10"/>
        <v>41</v>
      </c>
      <c r="AA261">
        <f t="shared" si="11"/>
        <v>29.69</v>
      </c>
    </row>
    <row r="262" spans="1:28" x14ac:dyDescent="0.25">
      <c r="A262">
        <v>38</v>
      </c>
      <c r="B262" s="33"/>
      <c r="C262">
        <v>43</v>
      </c>
      <c r="D262">
        <v>41</v>
      </c>
      <c r="E262" s="35">
        <v>42</v>
      </c>
      <c r="F262">
        <v>64</v>
      </c>
      <c r="G262">
        <v>110</v>
      </c>
      <c r="H262">
        <v>72</v>
      </c>
      <c r="I262">
        <v>128</v>
      </c>
      <c r="J262">
        <v>61</v>
      </c>
      <c r="K262">
        <v>42</v>
      </c>
      <c r="L262">
        <v>55</v>
      </c>
      <c r="M262">
        <v>51</v>
      </c>
      <c r="X262" s="18"/>
      <c r="Y262" s="34">
        <f t="shared" si="9"/>
        <v>64</v>
      </c>
      <c r="Z262">
        <f t="shared" si="10"/>
        <v>26</v>
      </c>
      <c r="AA262">
        <f t="shared" si="11"/>
        <v>27.75</v>
      </c>
    </row>
    <row r="263" spans="1:28" x14ac:dyDescent="0.25">
      <c r="A263">
        <v>46</v>
      </c>
      <c r="B263" s="33"/>
      <c r="C263">
        <v>43</v>
      </c>
      <c r="D263">
        <v>45</v>
      </c>
      <c r="E263" s="35">
        <v>42</v>
      </c>
      <c r="F263">
        <v>118</v>
      </c>
      <c r="G263">
        <v>87</v>
      </c>
      <c r="H263">
        <v>54</v>
      </c>
      <c r="I263">
        <v>53</v>
      </c>
      <c r="J263">
        <v>47</v>
      </c>
      <c r="K263">
        <v>85</v>
      </c>
      <c r="L263">
        <v>58</v>
      </c>
      <c r="M263">
        <v>70</v>
      </c>
      <c r="X263" s="18"/>
      <c r="Y263" s="34">
        <f t="shared" si="9"/>
        <v>64</v>
      </c>
      <c r="Z263">
        <f t="shared" si="10"/>
        <v>18</v>
      </c>
      <c r="AA263">
        <f t="shared" si="11"/>
        <v>22.87</v>
      </c>
    </row>
    <row r="264" spans="1:28" x14ac:dyDescent="0.25">
      <c r="A264">
        <v>49</v>
      </c>
      <c r="B264" s="33"/>
      <c r="C264">
        <v>43</v>
      </c>
      <c r="D264">
        <v>43</v>
      </c>
      <c r="E264" s="35">
        <v>42</v>
      </c>
      <c r="F264">
        <v>119</v>
      </c>
      <c r="G264">
        <v>73</v>
      </c>
      <c r="H264">
        <v>80</v>
      </c>
      <c r="I264">
        <v>52</v>
      </c>
      <c r="J264">
        <v>48</v>
      </c>
      <c r="K264">
        <v>98</v>
      </c>
      <c r="L264">
        <v>97</v>
      </c>
      <c r="M264">
        <v>123</v>
      </c>
      <c r="X264" s="18"/>
      <c r="Y264" s="34">
        <f t="shared" si="9"/>
        <v>74</v>
      </c>
      <c r="Z264">
        <f t="shared" si="10"/>
        <v>25</v>
      </c>
      <c r="AA264">
        <f t="shared" si="11"/>
        <v>29.65</v>
      </c>
    </row>
    <row r="265" spans="1:28" x14ac:dyDescent="0.25">
      <c r="A265">
        <v>53</v>
      </c>
      <c r="B265" s="33"/>
      <c r="C265">
        <v>43</v>
      </c>
      <c r="D265">
        <v>41</v>
      </c>
      <c r="E265" s="35">
        <v>42</v>
      </c>
      <c r="F265">
        <v>106</v>
      </c>
      <c r="G265">
        <v>72</v>
      </c>
      <c r="H265">
        <v>98</v>
      </c>
      <c r="I265">
        <v>62</v>
      </c>
      <c r="J265">
        <v>48</v>
      </c>
      <c r="K265">
        <v>117</v>
      </c>
      <c r="L265">
        <v>106</v>
      </c>
      <c r="M265">
        <v>123</v>
      </c>
      <c r="X265" s="18"/>
      <c r="Y265" s="34">
        <f t="shared" si="9"/>
        <v>78</v>
      </c>
      <c r="Z265">
        <f t="shared" si="10"/>
        <v>25</v>
      </c>
      <c r="AA265">
        <f t="shared" si="11"/>
        <v>31.04</v>
      </c>
    </row>
    <row r="266" spans="1:28" x14ac:dyDescent="0.25">
      <c r="A266">
        <v>73</v>
      </c>
      <c r="B266" s="33"/>
      <c r="C266">
        <v>43</v>
      </c>
      <c r="D266">
        <v>41</v>
      </c>
      <c r="E266" s="35">
        <v>42</v>
      </c>
      <c r="F266">
        <v>99</v>
      </c>
      <c r="G266">
        <v>66</v>
      </c>
      <c r="H266">
        <v>98</v>
      </c>
      <c r="I266">
        <v>64</v>
      </c>
      <c r="J266">
        <v>52</v>
      </c>
      <c r="K266">
        <v>127</v>
      </c>
      <c r="L266">
        <v>111</v>
      </c>
      <c r="M266">
        <v>156</v>
      </c>
      <c r="N266">
        <v>120</v>
      </c>
      <c r="X266" s="18"/>
      <c r="Y266" s="34">
        <f t="shared" si="9"/>
        <v>85</v>
      </c>
      <c r="Z266">
        <f t="shared" si="10"/>
        <v>12</v>
      </c>
      <c r="AA266">
        <f t="shared" si="11"/>
        <v>37.090000000000003</v>
      </c>
      <c r="AB266" cm="1">
        <f t="array" ref="AB266">SUMPRODUCT(--(ABS(N266:N287- A266:A287) &lt;= AC500))/22</f>
        <v>0.31818181818181818</v>
      </c>
    </row>
    <row r="267" spans="1:28" x14ac:dyDescent="0.25">
      <c r="A267">
        <v>200</v>
      </c>
      <c r="B267" s="33"/>
      <c r="C267">
        <v>69</v>
      </c>
      <c r="D267">
        <v>224</v>
      </c>
      <c r="E267" s="35">
        <v>127</v>
      </c>
      <c r="F267">
        <v>119</v>
      </c>
      <c r="G267">
        <v>169</v>
      </c>
      <c r="H267">
        <v>154</v>
      </c>
      <c r="I267">
        <v>97</v>
      </c>
      <c r="J267">
        <v>176</v>
      </c>
      <c r="K267">
        <v>139</v>
      </c>
      <c r="L267">
        <v>73</v>
      </c>
      <c r="M267">
        <v>80</v>
      </c>
      <c r="N267">
        <v>151</v>
      </c>
      <c r="X267" s="18"/>
      <c r="Y267" s="34">
        <f t="shared" si="9"/>
        <v>132</v>
      </c>
      <c r="Z267">
        <f t="shared" si="10"/>
        <v>68</v>
      </c>
      <c r="AA267">
        <f t="shared" si="11"/>
        <v>44.94</v>
      </c>
    </row>
    <row r="268" spans="1:28" x14ac:dyDescent="0.25">
      <c r="A268">
        <v>38</v>
      </c>
      <c r="B268" s="33"/>
      <c r="C268">
        <v>43</v>
      </c>
      <c r="D268">
        <v>46</v>
      </c>
      <c r="E268" s="35">
        <v>42</v>
      </c>
      <c r="F268">
        <v>96</v>
      </c>
      <c r="G268">
        <v>109</v>
      </c>
      <c r="H268">
        <v>109</v>
      </c>
      <c r="I268">
        <v>93</v>
      </c>
      <c r="J268">
        <v>57</v>
      </c>
      <c r="K268">
        <v>41</v>
      </c>
      <c r="L268">
        <v>53</v>
      </c>
      <c r="M268">
        <v>69</v>
      </c>
      <c r="N268">
        <v>47</v>
      </c>
      <c r="X268" s="18"/>
      <c r="Y268" s="34">
        <f t="shared" si="9"/>
        <v>67</v>
      </c>
      <c r="Z268">
        <f t="shared" si="10"/>
        <v>29</v>
      </c>
      <c r="AA268">
        <f t="shared" si="11"/>
        <v>25.92</v>
      </c>
    </row>
    <row r="269" spans="1:28" x14ac:dyDescent="0.25">
      <c r="A269">
        <v>16</v>
      </c>
      <c r="B269" s="33"/>
      <c r="C269">
        <v>43</v>
      </c>
      <c r="D269">
        <v>49</v>
      </c>
      <c r="E269" s="35">
        <v>42</v>
      </c>
      <c r="F269">
        <v>112</v>
      </c>
      <c r="G269">
        <v>96</v>
      </c>
      <c r="H269">
        <v>95</v>
      </c>
      <c r="I269">
        <v>77</v>
      </c>
      <c r="J269">
        <v>54</v>
      </c>
      <c r="K269">
        <v>43</v>
      </c>
      <c r="L269">
        <v>53</v>
      </c>
      <c r="M269">
        <v>92</v>
      </c>
      <c r="N269">
        <v>50</v>
      </c>
      <c r="X269" s="18"/>
      <c r="Y269" s="34">
        <f t="shared" si="9"/>
        <v>67</v>
      </c>
      <c r="Z269">
        <f t="shared" si="10"/>
        <v>51</v>
      </c>
      <c r="AA269">
        <f t="shared" si="11"/>
        <v>24.37</v>
      </c>
    </row>
    <row r="270" spans="1:28" x14ac:dyDescent="0.25">
      <c r="A270">
        <v>45</v>
      </c>
      <c r="B270" s="33"/>
      <c r="C270">
        <v>43</v>
      </c>
      <c r="D270">
        <v>52</v>
      </c>
      <c r="E270" s="35">
        <v>42</v>
      </c>
      <c r="F270">
        <v>117</v>
      </c>
      <c r="G270">
        <v>78</v>
      </c>
      <c r="H270">
        <v>81</v>
      </c>
      <c r="I270">
        <v>60</v>
      </c>
      <c r="J270">
        <v>50</v>
      </c>
      <c r="K270">
        <v>69</v>
      </c>
      <c r="L270">
        <v>46</v>
      </c>
      <c r="M270">
        <v>87</v>
      </c>
      <c r="N270">
        <v>49</v>
      </c>
      <c r="X270" s="18"/>
      <c r="Y270" s="34">
        <f t="shared" si="9"/>
        <v>65</v>
      </c>
      <c r="Z270">
        <f t="shared" si="10"/>
        <v>20</v>
      </c>
      <c r="AA270">
        <f t="shared" si="11"/>
        <v>21.75</v>
      </c>
    </row>
    <row r="271" spans="1:28" x14ac:dyDescent="0.25">
      <c r="A271">
        <v>52</v>
      </c>
      <c r="B271" s="33"/>
      <c r="C271">
        <v>43</v>
      </c>
      <c r="D271">
        <v>48</v>
      </c>
      <c r="E271" s="35">
        <v>42</v>
      </c>
      <c r="F271">
        <v>109</v>
      </c>
      <c r="G271">
        <v>76</v>
      </c>
      <c r="H271">
        <v>89</v>
      </c>
      <c r="I271">
        <v>59</v>
      </c>
      <c r="J271">
        <v>50</v>
      </c>
      <c r="K271">
        <v>63</v>
      </c>
      <c r="L271">
        <v>48</v>
      </c>
      <c r="M271">
        <v>95</v>
      </c>
      <c r="N271">
        <v>61</v>
      </c>
      <c r="X271" s="18"/>
      <c r="Y271" s="34">
        <f t="shared" si="9"/>
        <v>65</v>
      </c>
      <c r="Z271">
        <f t="shared" si="10"/>
        <v>13</v>
      </c>
      <c r="AA271">
        <f t="shared" si="11"/>
        <v>21.22</v>
      </c>
    </row>
    <row r="272" spans="1:28" x14ac:dyDescent="0.25">
      <c r="A272">
        <v>38</v>
      </c>
      <c r="B272" s="33"/>
      <c r="C272">
        <v>43</v>
      </c>
      <c r="D272">
        <v>41</v>
      </c>
      <c r="E272" s="35">
        <v>42</v>
      </c>
      <c r="F272">
        <v>79</v>
      </c>
      <c r="G272">
        <v>91</v>
      </c>
      <c r="H272">
        <v>109</v>
      </c>
      <c r="I272">
        <v>76</v>
      </c>
      <c r="J272">
        <v>73</v>
      </c>
      <c r="K272">
        <v>105</v>
      </c>
      <c r="L272">
        <v>64</v>
      </c>
      <c r="M272">
        <v>89</v>
      </c>
      <c r="N272">
        <v>72</v>
      </c>
      <c r="X272" s="18"/>
      <c r="Y272" s="34">
        <f t="shared" si="9"/>
        <v>74</v>
      </c>
      <c r="Z272">
        <f t="shared" si="10"/>
        <v>36</v>
      </c>
      <c r="AA272">
        <f t="shared" si="11"/>
        <v>22.19</v>
      </c>
    </row>
    <row r="273" spans="1:28" x14ac:dyDescent="0.25">
      <c r="A273">
        <v>176</v>
      </c>
      <c r="B273" s="33"/>
      <c r="C273">
        <v>140</v>
      </c>
      <c r="D273">
        <v>147</v>
      </c>
      <c r="E273" s="35">
        <v>121</v>
      </c>
      <c r="F273">
        <v>53</v>
      </c>
      <c r="G273">
        <v>82</v>
      </c>
      <c r="H273">
        <v>84</v>
      </c>
      <c r="I273">
        <v>162</v>
      </c>
      <c r="J273">
        <v>173</v>
      </c>
      <c r="K273">
        <v>111</v>
      </c>
      <c r="L273">
        <v>110</v>
      </c>
      <c r="M273">
        <v>106</v>
      </c>
      <c r="N273">
        <v>114</v>
      </c>
      <c r="X273" s="18"/>
      <c r="Y273" s="34">
        <f t="shared" si="9"/>
        <v>117</v>
      </c>
      <c r="Z273">
        <f t="shared" si="10"/>
        <v>59</v>
      </c>
      <c r="AA273">
        <f t="shared" si="11"/>
        <v>33.21</v>
      </c>
    </row>
    <row r="274" spans="1:28" x14ac:dyDescent="0.25">
      <c r="A274">
        <v>173</v>
      </c>
      <c r="B274" s="33"/>
      <c r="C274">
        <v>160</v>
      </c>
      <c r="D274">
        <v>207</v>
      </c>
      <c r="E274" s="35">
        <v>171</v>
      </c>
      <c r="F274">
        <v>68</v>
      </c>
      <c r="G274">
        <v>114</v>
      </c>
      <c r="H274">
        <v>97</v>
      </c>
      <c r="I274">
        <v>186</v>
      </c>
      <c r="J274">
        <v>187</v>
      </c>
      <c r="K274">
        <v>119</v>
      </c>
      <c r="L274">
        <v>131</v>
      </c>
      <c r="M274">
        <v>132</v>
      </c>
      <c r="N274">
        <v>125</v>
      </c>
      <c r="X274" s="18"/>
      <c r="Y274" s="34">
        <f t="shared" si="9"/>
        <v>141</v>
      </c>
      <c r="Z274">
        <f t="shared" si="10"/>
        <v>32</v>
      </c>
      <c r="AA274">
        <f t="shared" si="11"/>
        <v>39.450000000000003</v>
      </c>
    </row>
    <row r="275" spans="1:28" x14ac:dyDescent="0.25">
      <c r="A275">
        <v>73</v>
      </c>
      <c r="B275" s="33"/>
      <c r="C275">
        <v>43</v>
      </c>
      <c r="D275">
        <v>50</v>
      </c>
      <c r="E275" s="35">
        <v>42</v>
      </c>
      <c r="F275">
        <v>109</v>
      </c>
      <c r="G275">
        <v>140</v>
      </c>
      <c r="H275">
        <v>60</v>
      </c>
      <c r="I275">
        <v>58</v>
      </c>
      <c r="J275">
        <v>47</v>
      </c>
      <c r="K275">
        <v>66</v>
      </c>
      <c r="L275">
        <v>46</v>
      </c>
      <c r="M275">
        <v>60</v>
      </c>
      <c r="N275">
        <v>45</v>
      </c>
      <c r="X275" s="18"/>
      <c r="Y275" s="34">
        <f t="shared" si="9"/>
        <v>64</v>
      </c>
      <c r="Z275">
        <f t="shared" si="10"/>
        <v>9</v>
      </c>
      <c r="AA275">
        <f t="shared" si="11"/>
        <v>28.82</v>
      </c>
    </row>
    <row r="276" spans="1:28" x14ac:dyDescent="0.25">
      <c r="A276">
        <v>0</v>
      </c>
      <c r="B276" s="33"/>
      <c r="C276">
        <v>43</v>
      </c>
      <c r="D276">
        <v>50</v>
      </c>
      <c r="E276" s="35">
        <v>42</v>
      </c>
      <c r="F276">
        <v>113</v>
      </c>
      <c r="G276">
        <v>120</v>
      </c>
      <c r="H276">
        <v>56</v>
      </c>
      <c r="I276">
        <v>59</v>
      </c>
      <c r="J276">
        <v>48</v>
      </c>
      <c r="K276">
        <v>69</v>
      </c>
      <c r="L276">
        <v>47</v>
      </c>
      <c r="M276">
        <v>72</v>
      </c>
      <c r="N276">
        <v>45</v>
      </c>
      <c r="X276" s="18"/>
      <c r="Y276" s="34">
        <f t="shared" si="9"/>
        <v>64</v>
      </c>
      <c r="Z276">
        <f t="shared" si="10"/>
        <v>64</v>
      </c>
      <c r="AA276">
        <f t="shared" si="11"/>
        <v>25.4</v>
      </c>
    </row>
    <row r="277" spans="1:28" x14ac:dyDescent="0.25">
      <c r="A277">
        <v>19</v>
      </c>
      <c r="B277" s="33"/>
      <c r="C277">
        <v>43</v>
      </c>
      <c r="D277">
        <v>52</v>
      </c>
      <c r="E277" s="35">
        <v>42</v>
      </c>
      <c r="F277">
        <v>107</v>
      </c>
      <c r="G277">
        <v>105</v>
      </c>
      <c r="H277">
        <v>80</v>
      </c>
      <c r="I277">
        <v>61</v>
      </c>
      <c r="J277">
        <v>47</v>
      </c>
      <c r="K277">
        <v>64</v>
      </c>
      <c r="L277">
        <v>51</v>
      </c>
      <c r="M277">
        <v>80</v>
      </c>
      <c r="N277">
        <v>48</v>
      </c>
      <c r="X277" s="18"/>
      <c r="Y277" s="34">
        <f t="shared" si="9"/>
        <v>65</v>
      </c>
      <c r="Z277">
        <f t="shared" si="10"/>
        <v>46</v>
      </c>
      <c r="AA277">
        <f t="shared" si="11"/>
        <v>22.03</v>
      </c>
    </row>
    <row r="278" spans="1:28" x14ac:dyDescent="0.25">
      <c r="A278">
        <v>57</v>
      </c>
      <c r="B278" s="33"/>
      <c r="C278">
        <v>43</v>
      </c>
      <c r="D278">
        <v>45</v>
      </c>
      <c r="E278" s="35">
        <v>42</v>
      </c>
      <c r="F278">
        <v>89</v>
      </c>
      <c r="G278">
        <v>91</v>
      </c>
      <c r="H278">
        <v>85</v>
      </c>
      <c r="I278">
        <v>87</v>
      </c>
      <c r="J278">
        <v>53</v>
      </c>
      <c r="K278">
        <v>59</v>
      </c>
      <c r="L278">
        <v>51</v>
      </c>
      <c r="M278">
        <v>95</v>
      </c>
      <c r="N278">
        <v>52</v>
      </c>
      <c r="X278" s="18"/>
      <c r="Y278" s="34">
        <f t="shared" si="9"/>
        <v>66</v>
      </c>
      <c r="Z278">
        <f t="shared" si="10"/>
        <v>9</v>
      </c>
      <c r="AA278">
        <f t="shared" si="11"/>
        <v>20.38</v>
      </c>
    </row>
    <row r="279" spans="1:28" x14ac:dyDescent="0.25">
      <c r="A279">
        <v>45</v>
      </c>
      <c r="B279" s="33"/>
      <c r="C279">
        <v>43</v>
      </c>
      <c r="D279">
        <v>42</v>
      </c>
      <c r="E279" s="35">
        <v>42</v>
      </c>
      <c r="F279">
        <v>85</v>
      </c>
      <c r="G279">
        <v>85</v>
      </c>
      <c r="H279">
        <v>100</v>
      </c>
      <c r="I279">
        <v>69</v>
      </c>
      <c r="J279">
        <v>63</v>
      </c>
      <c r="K279">
        <v>100</v>
      </c>
      <c r="L279">
        <v>64</v>
      </c>
      <c r="M279">
        <v>93</v>
      </c>
      <c r="N279">
        <v>69</v>
      </c>
      <c r="X279" s="18"/>
      <c r="Y279" s="34">
        <f t="shared" si="9"/>
        <v>71</v>
      </c>
      <c r="Z279">
        <f t="shared" si="10"/>
        <v>26</v>
      </c>
      <c r="AA279">
        <f t="shared" si="11"/>
        <v>20.7</v>
      </c>
    </row>
    <row r="280" spans="1:28" x14ac:dyDescent="0.25">
      <c r="A280">
        <v>165</v>
      </c>
      <c r="B280" s="33"/>
      <c r="C280">
        <v>43</v>
      </c>
      <c r="D280">
        <v>43</v>
      </c>
      <c r="E280" s="35">
        <v>42</v>
      </c>
      <c r="F280">
        <v>105</v>
      </c>
      <c r="G280">
        <v>69</v>
      </c>
      <c r="H280">
        <v>100</v>
      </c>
      <c r="I280">
        <v>65</v>
      </c>
      <c r="J280">
        <v>48</v>
      </c>
      <c r="K280">
        <v>127</v>
      </c>
      <c r="L280">
        <v>106</v>
      </c>
      <c r="M280">
        <v>142</v>
      </c>
      <c r="N280">
        <v>78</v>
      </c>
      <c r="X280" s="18"/>
      <c r="Y280" s="34">
        <f t="shared" si="9"/>
        <v>81</v>
      </c>
      <c r="Z280">
        <f t="shared" si="10"/>
        <v>84</v>
      </c>
      <c r="AA280">
        <f t="shared" si="11"/>
        <v>33.299999999999997</v>
      </c>
    </row>
    <row r="281" spans="1:28" x14ac:dyDescent="0.25">
      <c r="A281">
        <v>196</v>
      </c>
      <c r="B281" s="33"/>
      <c r="C281">
        <v>156</v>
      </c>
      <c r="D281">
        <v>210</v>
      </c>
      <c r="E281" s="35">
        <v>172</v>
      </c>
      <c r="F281">
        <v>67</v>
      </c>
      <c r="G281">
        <v>105</v>
      </c>
      <c r="H281">
        <v>98</v>
      </c>
      <c r="I281">
        <v>186</v>
      </c>
      <c r="J281">
        <v>196</v>
      </c>
      <c r="K281">
        <v>117</v>
      </c>
      <c r="L281">
        <v>130</v>
      </c>
      <c r="M281">
        <v>133</v>
      </c>
      <c r="N281">
        <v>134</v>
      </c>
      <c r="X281" s="18"/>
      <c r="Y281" s="34">
        <f t="shared" ref="Y281:Y344" si="12">ROUND(AVERAGE(C281:X281),0)</f>
        <v>142</v>
      </c>
      <c r="Z281">
        <f t="shared" ref="Z281:Z344" si="13">ABS(Y281-A281)</f>
        <v>54</v>
      </c>
      <c r="AA281">
        <f t="shared" si="11"/>
        <v>41.25</v>
      </c>
    </row>
    <row r="282" spans="1:28" x14ac:dyDescent="0.25">
      <c r="A282">
        <v>41</v>
      </c>
      <c r="B282" s="33"/>
      <c r="C282">
        <v>43</v>
      </c>
      <c r="D282">
        <v>51</v>
      </c>
      <c r="E282" s="35">
        <v>42</v>
      </c>
      <c r="F282">
        <v>111</v>
      </c>
      <c r="G282">
        <v>130</v>
      </c>
      <c r="H282">
        <v>55</v>
      </c>
      <c r="I282">
        <v>57</v>
      </c>
      <c r="J282">
        <v>47</v>
      </c>
      <c r="K282">
        <v>84</v>
      </c>
      <c r="L282">
        <v>46</v>
      </c>
      <c r="M282">
        <v>55</v>
      </c>
      <c r="N282">
        <v>45</v>
      </c>
      <c r="X282" s="18"/>
      <c r="Y282" s="34">
        <f t="shared" si="12"/>
        <v>64</v>
      </c>
      <c r="Z282">
        <f t="shared" si="13"/>
        <v>23</v>
      </c>
      <c r="AA282">
        <f t="shared" si="11"/>
        <v>27.75</v>
      </c>
    </row>
    <row r="283" spans="1:28" x14ac:dyDescent="0.25">
      <c r="A283">
        <v>52</v>
      </c>
      <c r="B283" s="33"/>
      <c r="C283">
        <v>43</v>
      </c>
      <c r="D283">
        <v>41</v>
      </c>
      <c r="E283" s="35">
        <v>42</v>
      </c>
      <c r="F283">
        <v>63</v>
      </c>
      <c r="G283">
        <v>110</v>
      </c>
      <c r="H283">
        <v>72</v>
      </c>
      <c r="I283">
        <v>131</v>
      </c>
      <c r="J283">
        <v>64</v>
      </c>
      <c r="K283">
        <v>44</v>
      </c>
      <c r="L283">
        <v>55</v>
      </c>
      <c r="M283">
        <v>50</v>
      </c>
      <c r="N283">
        <v>45</v>
      </c>
      <c r="X283" s="18"/>
      <c r="Y283" s="34">
        <f t="shared" si="12"/>
        <v>63</v>
      </c>
      <c r="Z283">
        <f t="shared" si="13"/>
        <v>11</v>
      </c>
      <c r="AA283">
        <f t="shared" si="11"/>
        <v>27.62</v>
      </c>
    </row>
    <row r="284" spans="1:28" x14ac:dyDescent="0.25">
      <c r="A284">
        <v>48</v>
      </c>
      <c r="B284" s="33"/>
      <c r="C284">
        <v>43</v>
      </c>
      <c r="D284">
        <v>41</v>
      </c>
      <c r="E284" s="35">
        <v>42</v>
      </c>
      <c r="F284">
        <v>52</v>
      </c>
      <c r="G284">
        <v>86</v>
      </c>
      <c r="H284">
        <v>81</v>
      </c>
      <c r="I284">
        <v>152</v>
      </c>
      <c r="J284">
        <v>94</v>
      </c>
      <c r="K284">
        <v>68</v>
      </c>
      <c r="L284">
        <v>63</v>
      </c>
      <c r="M284">
        <v>49</v>
      </c>
      <c r="N284">
        <v>46</v>
      </c>
      <c r="X284" s="18"/>
      <c r="Y284" s="34">
        <f t="shared" si="12"/>
        <v>68</v>
      </c>
      <c r="Z284">
        <f t="shared" si="13"/>
        <v>20</v>
      </c>
      <c r="AA284">
        <f t="shared" si="11"/>
        <v>30.8</v>
      </c>
    </row>
    <row r="285" spans="1:28" x14ac:dyDescent="0.25">
      <c r="A285">
        <v>33</v>
      </c>
      <c r="B285" s="33"/>
      <c r="C285">
        <v>47</v>
      </c>
      <c r="D285">
        <v>41</v>
      </c>
      <c r="E285" s="35">
        <v>43</v>
      </c>
      <c r="F285">
        <v>53</v>
      </c>
      <c r="G285">
        <v>77</v>
      </c>
      <c r="H285">
        <v>73</v>
      </c>
      <c r="I285">
        <v>101</v>
      </c>
      <c r="J285">
        <v>60</v>
      </c>
      <c r="K285">
        <v>110</v>
      </c>
      <c r="L285">
        <v>95</v>
      </c>
      <c r="M285">
        <v>82</v>
      </c>
      <c r="N285">
        <v>52</v>
      </c>
      <c r="X285" s="18"/>
      <c r="Y285" s="34">
        <f t="shared" si="12"/>
        <v>70</v>
      </c>
      <c r="Z285">
        <f t="shared" si="13"/>
        <v>37</v>
      </c>
      <c r="AA285">
        <f t="shared" si="11"/>
        <v>22.72</v>
      </c>
    </row>
    <row r="286" spans="1:28" x14ac:dyDescent="0.25">
      <c r="A286">
        <v>74</v>
      </c>
      <c r="B286" s="33"/>
      <c r="C286">
        <v>43</v>
      </c>
      <c r="D286">
        <v>47</v>
      </c>
      <c r="E286" s="35">
        <v>42</v>
      </c>
      <c r="F286">
        <v>76</v>
      </c>
      <c r="G286">
        <v>67</v>
      </c>
      <c r="H286">
        <v>79</v>
      </c>
      <c r="I286">
        <v>61</v>
      </c>
      <c r="J286">
        <v>80</v>
      </c>
      <c r="K286">
        <v>100</v>
      </c>
      <c r="L286">
        <v>137</v>
      </c>
      <c r="M286">
        <v>122</v>
      </c>
      <c r="N286">
        <v>102</v>
      </c>
      <c r="X286" s="18"/>
      <c r="Y286" s="34">
        <f t="shared" si="12"/>
        <v>80</v>
      </c>
      <c r="Z286">
        <f t="shared" si="13"/>
        <v>6</v>
      </c>
      <c r="AA286">
        <f t="shared" si="11"/>
        <v>29.36</v>
      </c>
    </row>
    <row r="287" spans="1:28" x14ac:dyDescent="0.25">
      <c r="A287">
        <v>142</v>
      </c>
      <c r="B287" s="33"/>
      <c r="C287">
        <v>80</v>
      </c>
      <c r="D287">
        <v>88</v>
      </c>
      <c r="E287" s="35">
        <v>45</v>
      </c>
      <c r="F287">
        <v>47</v>
      </c>
      <c r="G287">
        <v>66</v>
      </c>
      <c r="H287">
        <v>82</v>
      </c>
      <c r="I287">
        <v>288</v>
      </c>
      <c r="J287">
        <v>237</v>
      </c>
      <c r="K287">
        <v>90</v>
      </c>
      <c r="L287">
        <v>42</v>
      </c>
      <c r="M287">
        <v>70</v>
      </c>
      <c r="N287">
        <v>116</v>
      </c>
      <c r="X287" s="18"/>
      <c r="Y287" s="34">
        <f t="shared" si="12"/>
        <v>104</v>
      </c>
      <c r="Z287">
        <f t="shared" si="13"/>
        <v>38</v>
      </c>
      <c r="AA287">
        <f t="shared" si="11"/>
        <v>74.37</v>
      </c>
    </row>
    <row r="288" spans="1:28" x14ac:dyDescent="0.25">
      <c r="A288">
        <v>174</v>
      </c>
      <c r="B288" s="33"/>
      <c r="C288">
        <v>160</v>
      </c>
      <c r="D288">
        <v>207</v>
      </c>
      <c r="E288" s="35">
        <v>172</v>
      </c>
      <c r="F288">
        <v>70</v>
      </c>
      <c r="G288">
        <v>114</v>
      </c>
      <c r="H288">
        <v>98</v>
      </c>
      <c r="I288">
        <v>190</v>
      </c>
      <c r="J288">
        <v>189</v>
      </c>
      <c r="K288">
        <v>120</v>
      </c>
      <c r="L288">
        <v>131</v>
      </c>
      <c r="M288">
        <v>132</v>
      </c>
      <c r="N288">
        <v>125</v>
      </c>
      <c r="O288">
        <v>176</v>
      </c>
      <c r="X288" s="18"/>
      <c r="Y288" s="34">
        <f t="shared" si="12"/>
        <v>145</v>
      </c>
      <c r="Z288">
        <f t="shared" si="13"/>
        <v>29</v>
      </c>
      <c r="AA288">
        <f t="shared" si="11"/>
        <v>39.130000000000003</v>
      </c>
      <c r="AB288" cm="1">
        <f t="array" ref="AB288">SUMPRODUCT(--(ABS(O288:O309- A288:A309) &lt;= AC500))/22</f>
        <v>0.54545454545454541</v>
      </c>
    </row>
    <row r="289" spans="1:27" x14ac:dyDescent="0.25">
      <c r="A289">
        <v>61</v>
      </c>
      <c r="B289" s="33"/>
      <c r="C289">
        <v>43</v>
      </c>
      <c r="D289">
        <v>46</v>
      </c>
      <c r="E289" s="35">
        <v>42</v>
      </c>
      <c r="F289">
        <v>108</v>
      </c>
      <c r="G289">
        <v>129</v>
      </c>
      <c r="H289">
        <v>55</v>
      </c>
      <c r="I289">
        <v>55</v>
      </c>
      <c r="J289">
        <v>47</v>
      </c>
      <c r="K289">
        <v>80</v>
      </c>
      <c r="L289">
        <v>46</v>
      </c>
      <c r="M289">
        <v>52</v>
      </c>
      <c r="N289">
        <v>45</v>
      </c>
      <c r="O289">
        <v>41</v>
      </c>
      <c r="X289" s="18"/>
      <c r="Y289" s="34">
        <f t="shared" si="12"/>
        <v>61</v>
      </c>
      <c r="Z289">
        <f t="shared" si="13"/>
        <v>0</v>
      </c>
      <c r="AA289">
        <f t="shared" si="11"/>
        <v>26.79</v>
      </c>
    </row>
    <row r="290" spans="1:27" x14ac:dyDescent="0.25">
      <c r="A290">
        <v>36</v>
      </c>
      <c r="B290" s="33"/>
      <c r="C290">
        <v>43</v>
      </c>
      <c r="D290">
        <v>41</v>
      </c>
      <c r="E290" s="35">
        <v>42</v>
      </c>
      <c r="F290">
        <v>76</v>
      </c>
      <c r="G290">
        <v>114</v>
      </c>
      <c r="H290">
        <v>57</v>
      </c>
      <c r="I290">
        <v>55</v>
      </c>
      <c r="J290">
        <v>49</v>
      </c>
      <c r="K290">
        <v>55</v>
      </c>
      <c r="L290">
        <v>47</v>
      </c>
      <c r="M290">
        <v>50</v>
      </c>
      <c r="N290">
        <v>45</v>
      </c>
      <c r="O290">
        <v>41</v>
      </c>
      <c r="X290" s="18"/>
      <c r="Y290" s="34">
        <f t="shared" si="12"/>
        <v>55</v>
      </c>
      <c r="Z290">
        <f t="shared" si="13"/>
        <v>19</v>
      </c>
      <c r="AA290">
        <f t="shared" si="11"/>
        <v>19.329999999999998</v>
      </c>
    </row>
    <row r="291" spans="1:27" x14ac:dyDescent="0.25">
      <c r="A291">
        <v>45</v>
      </c>
      <c r="B291" s="33"/>
      <c r="C291">
        <v>43</v>
      </c>
      <c r="D291">
        <v>41</v>
      </c>
      <c r="E291" s="35">
        <v>42</v>
      </c>
      <c r="F291">
        <v>58</v>
      </c>
      <c r="G291">
        <v>94</v>
      </c>
      <c r="H291">
        <v>72</v>
      </c>
      <c r="I291">
        <v>130</v>
      </c>
      <c r="J291">
        <v>69</v>
      </c>
      <c r="K291">
        <v>48</v>
      </c>
      <c r="L291">
        <v>52</v>
      </c>
      <c r="M291">
        <v>56</v>
      </c>
      <c r="N291">
        <v>45</v>
      </c>
      <c r="O291">
        <v>41</v>
      </c>
      <c r="X291" s="18"/>
      <c r="Y291" s="34">
        <f t="shared" si="12"/>
        <v>61</v>
      </c>
      <c r="Z291">
        <f t="shared" si="13"/>
        <v>16</v>
      </c>
      <c r="AA291">
        <f t="shared" si="11"/>
        <v>24.9</v>
      </c>
    </row>
    <row r="292" spans="1:27" x14ac:dyDescent="0.25">
      <c r="A292">
        <v>49</v>
      </c>
      <c r="B292" s="33"/>
      <c r="C292">
        <v>43</v>
      </c>
      <c r="D292">
        <v>41</v>
      </c>
      <c r="E292" s="35">
        <v>42</v>
      </c>
      <c r="F292">
        <v>67</v>
      </c>
      <c r="G292">
        <v>79</v>
      </c>
      <c r="H292">
        <v>76</v>
      </c>
      <c r="I292">
        <v>91</v>
      </c>
      <c r="J292">
        <v>58</v>
      </c>
      <c r="K292">
        <v>60</v>
      </c>
      <c r="L292">
        <v>54</v>
      </c>
      <c r="M292">
        <v>88</v>
      </c>
      <c r="N292">
        <v>54</v>
      </c>
      <c r="O292">
        <v>45</v>
      </c>
      <c r="X292" s="18"/>
      <c r="Y292" s="34">
        <f t="shared" si="12"/>
        <v>61</v>
      </c>
      <c r="Z292">
        <f t="shared" si="13"/>
        <v>12</v>
      </c>
      <c r="AA292">
        <f t="shared" si="11"/>
        <v>16.78</v>
      </c>
    </row>
    <row r="293" spans="1:27" x14ac:dyDescent="0.25">
      <c r="A293">
        <v>36</v>
      </c>
      <c r="B293" s="33"/>
      <c r="C293">
        <v>43</v>
      </c>
      <c r="D293">
        <v>48</v>
      </c>
      <c r="E293" s="35">
        <v>51</v>
      </c>
      <c r="F293">
        <v>52</v>
      </c>
      <c r="G293">
        <v>67</v>
      </c>
      <c r="H293">
        <v>91</v>
      </c>
      <c r="I293">
        <v>154</v>
      </c>
      <c r="J293">
        <v>156</v>
      </c>
      <c r="K293">
        <v>106</v>
      </c>
      <c r="L293">
        <v>93</v>
      </c>
      <c r="M293">
        <v>116</v>
      </c>
      <c r="N293">
        <v>111</v>
      </c>
      <c r="O293">
        <v>85</v>
      </c>
      <c r="X293" s="18"/>
      <c r="Y293" s="34">
        <f t="shared" si="12"/>
        <v>90</v>
      </c>
      <c r="Z293">
        <f t="shared" si="13"/>
        <v>54</v>
      </c>
      <c r="AA293">
        <f t="shared" si="11"/>
        <v>36.51</v>
      </c>
    </row>
    <row r="294" spans="1:27" x14ac:dyDescent="0.25">
      <c r="A294">
        <v>106</v>
      </c>
      <c r="B294" s="33"/>
      <c r="C294">
        <v>43</v>
      </c>
      <c r="D294">
        <v>41</v>
      </c>
      <c r="E294" s="35">
        <v>42</v>
      </c>
      <c r="F294">
        <v>103</v>
      </c>
      <c r="G294">
        <v>76</v>
      </c>
      <c r="H294">
        <v>99</v>
      </c>
      <c r="I294">
        <v>64</v>
      </c>
      <c r="J294">
        <v>49</v>
      </c>
      <c r="K294">
        <v>139</v>
      </c>
      <c r="L294">
        <v>126</v>
      </c>
      <c r="M294">
        <v>157</v>
      </c>
      <c r="N294">
        <v>110</v>
      </c>
      <c r="O294">
        <v>62</v>
      </c>
      <c r="X294" s="18"/>
      <c r="Y294" s="34">
        <f t="shared" si="12"/>
        <v>85</v>
      </c>
      <c r="Z294">
        <f t="shared" si="13"/>
        <v>21</v>
      </c>
      <c r="AA294">
        <f t="shared" si="11"/>
        <v>38.049999999999997</v>
      </c>
    </row>
    <row r="295" spans="1:27" x14ac:dyDescent="0.25">
      <c r="A295">
        <v>157</v>
      </c>
      <c r="B295" s="33"/>
      <c r="C295">
        <v>181</v>
      </c>
      <c r="D295">
        <v>207</v>
      </c>
      <c r="E295" s="35">
        <v>144</v>
      </c>
      <c r="F295">
        <v>88</v>
      </c>
      <c r="G295">
        <v>124</v>
      </c>
      <c r="H295">
        <v>108</v>
      </c>
      <c r="I295">
        <v>152</v>
      </c>
      <c r="J295">
        <v>141</v>
      </c>
      <c r="K295">
        <v>168</v>
      </c>
      <c r="L295">
        <v>161</v>
      </c>
      <c r="M295">
        <v>144</v>
      </c>
      <c r="N295">
        <v>138</v>
      </c>
      <c r="O295">
        <v>189</v>
      </c>
      <c r="X295" s="18"/>
      <c r="Y295" s="34">
        <f t="shared" si="12"/>
        <v>150</v>
      </c>
      <c r="Z295">
        <f t="shared" si="13"/>
        <v>7</v>
      </c>
      <c r="AA295">
        <f t="shared" si="11"/>
        <v>31.33</v>
      </c>
    </row>
    <row r="296" spans="1:27" x14ac:dyDescent="0.25">
      <c r="A296">
        <v>0</v>
      </c>
      <c r="B296" s="33"/>
      <c r="C296">
        <v>43</v>
      </c>
      <c r="D296">
        <v>48</v>
      </c>
      <c r="E296" s="35">
        <v>42</v>
      </c>
      <c r="F296">
        <v>109</v>
      </c>
      <c r="G296">
        <v>133</v>
      </c>
      <c r="H296">
        <v>55</v>
      </c>
      <c r="I296">
        <v>57</v>
      </c>
      <c r="J296">
        <v>47</v>
      </c>
      <c r="K296">
        <v>84</v>
      </c>
      <c r="L296">
        <v>46</v>
      </c>
      <c r="M296">
        <v>53</v>
      </c>
      <c r="N296">
        <v>45</v>
      </c>
      <c r="O296">
        <v>41</v>
      </c>
      <c r="X296" s="18"/>
      <c r="Y296" s="34">
        <f t="shared" si="12"/>
        <v>62</v>
      </c>
      <c r="Z296">
        <f t="shared" si="13"/>
        <v>62</v>
      </c>
      <c r="AA296">
        <f t="shared" si="11"/>
        <v>27.81</v>
      </c>
    </row>
    <row r="297" spans="1:27" x14ac:dyDescent="0.25">
      <c r="A297">
        <v>52</v>
      </c>
      <c r="B297" s="33"/>
      <c r="C297">
        <v>43</v>
      </c>
      <c r="D297">
        <v>54</v>
      </c>
      <c r="E297" s="35">
        <v>42</v>
      </c>
      <c r="F297">
        <v>113</v>
      </c>
      <c r="G297">
        <v>97</v>
      </c>
      <c r="H297">
        <v>51</v>
      </c>
      <c r="I297">
        <v>55</v>
      </c>
      <c r="J297">
        <v>48</v>
      </c>
      <c r="K297">
        <v>97</v>
      </c>
      <c r="L297">
        <v>49</v>
      </c>
      <c r="M297">
        <v>54</v>
      </c>
      <c r="N297">
        <v>45</v>
      </c>
      <c r="O297">
        <v>48</v>
      </c>
      <c r="X297" s="18"/>
      <c r="Y297" s="34">
        <f t="shared" si="12"/>
        <v>61</v>
      </c>
      <c r="Z297">
        <f t="shared" si="13"/>
        <v>9</v>
      </c>
      <c r="AA297">
        <f t="shared" si="11"/>
        <v>23.13</v>
      </c>
    </row>
    <row r="298" spans="1:27" x14ac:dyDescent="0.25">
      <c r="A298">
        <v>36</v>
      </c>
      <c r="B298" s="33"/>
      <c r="C298">
        <v>43</v>
      </c>
      <c r="D298">
        <v>41</v>
      </c>
      <c r="E298" s="35">
        <v>42</v>
      </c>
      <c r="F298">
        <v>60</v>
      </c>
      <c r="G298">
        <v>97</v>
      </c>
      <c r="H298">
        <v>68</v>
      </c>
      <c r="I298">
        <v>123</v>
      </c>
      <c r="J298">
        <v>62</v>
      </c>
      <c r="K298">
        <v>50</v>
      </c>
      <c r="L298">
        <v>48</v>
      </c>
      <c r="M298">
        <v>59</v>
      </c>
      <c r="N298">
        <v>45</v>
      </c>
      <c r="O298">
        <v>41</v>
      </c>
      <c r="X298" s="18"/>
      <c r="Y298" s="34">
        <f t="shared" si="12"/>
        <v>60</v>
      </c>
      <c r="Z298">
        <f t="shared" si="13"/>
        <v>24</v>
      </c>
      <c r="AA298">
        <f t="shared" si="11"/>
        <v>23.55</v>
      </c>
    </row>
    <row r="299" spans="1:27" x14ac:dyDescent="0.25">
      <c r="A299">
        <v>29</v>
      </c>
      <c r="B299" s="33"/>
      <c r="C299">
        <v>43</v>
      </c>
      <c r="D299">
        <v>41</v>
      </c>
      <c r="E299" s="35">
        <v>42</v>
      </c>
      <c r="F299">
        <v>67</v>
      </c>
      <c r="G299">
        <v>77</v>
      </c>
      <c r="H299">
        <v>80</v>
      </c>
      <c r="I299">
        <v>88</v>
      </c>
      <c r="J299">
        <v>65</v>
      </c>
      <c r="K299">
        <v>69</v>
      </c>
      <c r="L299">
        <v>62</v>
      </c>
      <c r="M299">
        <v>89</v>
      </c>
      <c r="N299">
        <v>70</v>
      </c>
      <c r="O299">
        <v>108</v>
      </c>
      <c r="X299" s="18"/>
      <c r="Y299" s="34">
        <f t="shared" si="12"/>
        <v>69</v>
      </c>
      <c r="Z299">
        <f t="shared" si="13"/>
        <v>40</v>
      </c>
      <c r="AA299">
        <f t="shared" si="11"/>
        <v>19.059999999999999</v>
      </c>
    </row>
    <row r="300" spans="1:27" x14ac:dyDescent="0.25">
      <c r="A300">
        <v>65</v>
      </c>
      <c r="B300" s="33"/>
      <c r="C300">
        <v>43</v>
      </c>
      <c r="D300">
        <v>100</v>
      </c>
      <c r="E300" s="35">
        <v>60</v>
      </c>
      <c r="F300">
        <v>72</v>
      </c>
      <c r="G300">
        <v>79</v>
      </c>
      <c r="H300">
        <v>131</v>
      </c>
      <c r="I300">
        <v>55</v>
      </c>
      <c r="J300">
        <v>101</v>
      </c>
      <c r="K300">
        <v>46</v>
      </c>
      <c r="L300">
        <v>44</v>
      </c>
      <c r="M300">
        <v>112</v>
      </c>
      <c r="N300">
        <v>55</v>
      </c>
      <c r="O300">
        <v>50</v>
      </c>
      <c r="X300" s="18"/>
      <c r="Y300" s="34">
        <f t="shared" si="12"/>
        <v>73</v>
      </c>
      <c r="Z300">
        <f t="shared" si="13"/>
        <v>8</v>
      </c>
      <c r="AA300">
        <f t="shared" si="11"/>
        <v>28.08</v>
      </c>
    </row>
    <row r="301" spans="1:27" x14ac:dyDescent="0.25">
      <c r="A301">
        <v>265</v>
      </c>
      <c r="B301" s="33"/>
      <c r="C301">
        <v>44</v>
      </c>
      <c r="D301">
        <v>114</v>
      </c>
      <c r="E301" s="35">
        <v>57</v>
      </c>
      <c r="F301">
        <v>89</v>
      </c>
      <c r="G301">
        <v>114</v>
      </c>
      <c r="H301">
        <v>158</v>
      </c>
      <c r="I301">
        <v>110</v>
      </c>
      <c r="J301">
        <v>62</v>
      </c>
      <c r="K301">
        <v>85</v>
      </c>
      <c r="L301">
        <v>49</v>
      </c>
      <c r="M301">
        <v>67</v>
      </c>
      <c r="N301">
        <v>72</v>
      </c>
      <c r="O301">
        <v>195</v>
      </c>
      <c r="X301" s="18"/>
      <c r="Y301" s="34">
        <f t="shared" si="12"/>
        <v>94</v>
      </c>
      <c r="Z301">
        <f t="shared" si="13"/>
        <v>171</v>
      </c>
      <c r="AA301">
        <f t="shared" si="11"/>
        <v>42.6</v>
      </c>
    </row>
    <row r="302" spans="1:27" x14ac:dyDescent="0.25">
      <c r="A302">
        <v>197</v>
      </c>
      <c r="B302" s="33"/>
      <c r="C302">
        <v>54</v>
      </c>
      <c r="D302">
        <v>233</v>
      </c>
      <c r="E302" s="35">
        <v>154</v>
      </c>
      <c r="F302">
        <v>159</v>
      </c>
      <c r="G302">
        <v>140</v>
      </c>
      <c r="H302">
        <v>139</v>
      </c>
      <c r="I302">
        <v>68</v>
      </c>
      <c r="J302">
        <v>109</v>
      </c>
      <c r="K302">
        <v>54</v>
      </c>
      <c r="L302">
        <v>48</v>
      </c>
      <c r="M302">
        <v>85</v>
      </c>
      <c r="N302">
        <v>117</v>
      </c>
      <c r="O302">
        <v>240</v>
      </c>
      <c r="X302" s="18"/>
      <c r="Y302" s="34">
        <f t="shared" si="12"/>
        <v>123</v>
      </c>
      <c r="Z302">
        <f t="shared" si="13"/>
        <v>74</v>
      </c>
      <c r="AA302">
        <f t="shared" ref="AA302:AA365" si="14">ROUND(_xlfn.STDEV.P(C302:X302),2)</f>
        <v>61.04</v>
      </c>
    </row>
    <row r="303" spans="1:27" x14ac:dyDescent="0.25">
      <c r="A303">
        <v>97</v>
      </c>
      <c r="B303" s="33"/>
      <c r="C303">
        <v>43</v>
      </c>
      <c r="D303">
        <v>71</v>
      </c>
      <c r="E303" s="35">
        <v>50</v>
      </c>
      <c r="F303">
        <v>64</v>
      </c>
      <c r="G303">
        <v>76</v>
      </c>
      <c r="H303">
        <v>130</v>
      </c>
      <c r="I303">
        <v>62</v>
      </c>
      <c r="J303">
        <v>53</v>
      </c>
      <c r="K303">
        <v>48</v>
      </c>
      <c r="L303">
        <v>49</v>
      </c>
      <c r="M303">
        <v>147</v>
      </c>
      <c r="N303">
        <v>70</v>
      </c>
      <c r="O303">
        <v>41</v>
      </c>
      <c r="X303" s="18"/>
      <c r="Y303" s="34">
        <f t="shared" si="12"/>
        <v>70</v>
      </c>
      <c r="Z303">
        <f t="shared" si="13"/>
        <v>27</v>
      </c>
      <c r="AA303">
        <f t="shared" si="14"/>
        <v>31.44</v>
      </c>
    </row>
    <row r="304" spans="1:27" x14ac:dyDescent="0.25">
      <c r="A304">
        <v>42</v>
      </c>
      <c r="B304" s="33"/>
      <c r="C304">
        <v>43</v>
      </c>
      <c r="D304">
        <v>91</v>
      </c>
      <c r="E304" s="35">
        <v>52</v>
      </c>
      <c r="F304">
        <v>120</v>
      </c>
      <c r="G304">
        <v>77</v>
      </c>
      <c r="H304">
        <v>158</v>
      </c>
      <c r="I304">
        <v>139</v>
      </c>
      <c r="J304">
        <v>56</v>
      </c>
      <c r="K304">
        <v>41</v>
      </c>
      <c r="L304">
        <v>53</v>
      </c>
      <c r="M304">
        <v>115</v>
      </c>
      <c r="N304">
        <v>52</v>
      </c>
      <c r="O304">
        <v>41</v>
      </c>
      <c r="X304" s="18"/>
      <c r="Y304" s="34">
        <f t="shared" si="12"/>
        <v>80</v>
      </c>
      <c r="Z304">
        <f t="shared" si="13"/>
        <v>38</v>
      </c>
      <c r="AA304">
        <f t="shared" si="14"/>
        <v>39.03</v>
      </c>
    </row>
    <row r="305" spans="1:28" x14ac:dyDescent="0.25">
      <c r="A305">
        <v>36</v>
      </c>
      <c r="B305" s="33"/>
      <c r="C305">
        <v>43</v>
      </c>
      <c r="D305">
        <v>110</v>
      </c>
      <c r="E305" s="35">
        <v>55</v>
      </c>
      <c r="F305">
        <v>120</v>
      </c>
      <c r="G305">
        <v>75</v>
      </c>
      <c r="H305">
        <v>155</v>
      </c>
      <c r="I305">
        <v>167</v>
      </c>
      <c r="J305">
        <v>54</v>
      </c>
      <c r="K305">
        <v>48</v>
      </c>
      <c r="L305">
        <v>55</v>
      </c>
      <c r="M305">
        <v>90</v>
      </c>
      <c r="N305">
        <v>52</v>
      </c>
      <c r="O305">
        <v>41</v>
      </c>
      <c r="X305" s="18"/>
      <c r="Y305" s="34">
        <f t="shared" si="12"/>
        <v>82</v>
      </c>
      <c r="Z305">
        <f t="shared" si="13"/>
        <v>46</v>
      </c>
      <c r="AA305">
        <f t="shared" si="14"/>
        <v>41.51</v>
      </c>
    </row>
    <row r="306" spans="1:28" x14ac:dyDescent="0.25">
      <c r="A306">
        <v>57</v>
      </c>
      <c r="B306" s="33"/>
      <c r="C306">
        <v>43</v>
      </c>
      <c r="D306">
        <v>74</v>
      </c>
      <c r="E306" s="35">
        <v>47</v>
      </c>
      <c r="F306">
        <v>117</v>
      </c>
      <c r="G306">
        <v>75</v>
      </c>
      <c r="H306">
        <v>121</v>
      </c>
      <c r="I306">
        <v>99</v>
      </c>
      <c r="J306">
        <v>54</v>
      </c>
      <c r="K306">
        <v>61</v>
      </c>
      <c r="L306">
        <v>52</v>
      </c>
      <c r="M306">
        <v>78</v>
      </c>
      <c r="N306">
        <v>52</v>
      </c>
      <c r="O306">
        <v>44</v>
      </c>
      <c r="X306" s="18"/>
      <c r="Y306" s="34">
        <f t="shared" si="12"/>
        <v>71</v>
      </c>
      <c r="Z306">
        <f t="shared" si="13"/>
        <v>14</v>
      </c>
      <c r="AA306">
        <f t="shared" si="14"/>
        <v>25.83</v>
      </c>
    </row>
    <row r="307" spans="1:28" x14ac:dyDescent="0.25">
      <c r="A307">
        <v>32</v>
      </c>
      <c r="B307" s="33"/>
      <c r="C307">
        <v>44</v>
      </c>
      <c r="D307">
        <v>87</v>
      </c>
      <c r="E307" s="35">
        <v>51</v>
      </c>
      <c r="F307">
        <v>95</v>
      </c>
      <c r="G307">
        <v>94</v>
      </c>
      <c r="H307">
        <v>134</v>
      </c>
      <c r="I307">
        <v>70</v>
      </c>
      <c r="J307">
        <v>54</v>
      </c>
      <c r="K307">
        <v>53</v>
      </c>
      <c r="L307">
        <v>51</v>
      </c>
      <c r="M307">
        <v>82</v>
      </c>
      <c r="N307">
        <v>56</v>
      </c>
      <c r="O307">
        <v>65</v>
      </c>
      <c r="X307" s="18"/>
      <c r="Y307" s="34">
        <f t="shared" si="12"/>
        <v>72</v>
      </c>
      <c r="Z307">
        <f t="shared" si="13"/>
        <v>40</v>
      </c>
      <c r="AA307">
        <f t="shared" si="14"/>
        <v>24.56</v>
      </c>
    </row>
    <row r="308" spans="1:28" x14ac:dyDescent="0.25">
      <c r="A308">
        <v>167</v>
      </c>
      <c r="B308" s="33"/>
      <c r="C308">
        <v>48</v>
      </c>
      <c r="D308">
        <v>118</v>
      </c>
      <c r="E308" s="35">
        <v>62</v>
      </c>
      <c r="F308">
        <v>88</v>
      </c>
      <c r="G308">
        <v>136</v>
      </c>
      <c r="H308">
        <v>143</v>
      </c>
      <c r="I308">
        <v>71</v>
      </c>
      <c r="J308">
        <v>53</v>
      </c>
      <c r="K308">
        <v>120</v>
      </c>
      <c r="L308">
        <v>54</v>
      </c>
      <c r="M308">
        <v>65</v>
      </c>
      <c r="N308">
        <v>70</v>
      </c>
      <c r="O308">
        <v>152</v>
      </c>
      <c r="X308" s="18"/>
      <c r="Y308" s="34">
        <f t="shared" si="12"/>
        <v>91</v>
      </c>
      <c r="Z308">
        <f t="shared" si="13"/>
        <v>76</v>
      </c>
      <c r="AA308">
        <f t="shared" si="14"/>
        <v>36.21</v>
      </c>
    </row>
    <row r="309" spans="1:28" x14ac:dyDescent="0.25">
      <c r="A309">
        <v>202</v>
      </c>
      <c r="B309" s="33"/>
      <c r="C309">
        <v>67</v>
      </c>
      <c r="D309">
        <v>219</v>
      </c>
      <c r="E309" s="35">
        <v>153</v>
      </c>
      <c r="F309">
        <v>140</v>
      </c>
      <c r="G309">
        <v>162</v>
      </c>
      <c r="H309">
        <v>132</v>
      </c>
      <c r="I309">
        <v>125</v>
      </c>
      <c r="J309">
        <v>204</v>
      </c>
      <c r="K309">
        <v>160</v>
      </c>
      <c r="L309">
        <v>65</v>
      </c>
      <c r="M309">
        <v>80</v>
      </c>
      <c r="N309">
        <v>155</v>
      </c>
      <c r="O309">
        <v>203</v>
      </c>
      <c r="X309" s="18"/>
      <c r="Y309" s="34">
        <f t="shared" si="12"/>
        <v>143</v>
      </c>
      <c r="Z309">
        <f t="shared" si="13"/>
        <v>59</v>
      </c>
      <c r="AA309">
        <f t="shared" si="14"/>
        <v>48.26</v>
      </c>
    </row>
    <row r="310" spans="1:28" x14ac:dyDescent="0.25">
      <c r="A310">
        <v>23</v>
      </c>
      <c r="B310" s="33"/>
      <c r="C310">
        <v>43</v>
      </c>
      <c r="D310">
        <v>61</v>
      </c>
      <c r="E310" s="35">
        <v>42</v>
      </c>
      <c r="F310">
        <v>113</v>
      </c>
      <c r="G310">
        <v>77</v>
      </c>
      <c r="H310">
        <v>83</v>
      </c>
      <c r="I310">
        <v>65</v>
      </c>
      <c r="J310">
        <v>49</v>
      </c>
      <c r="K310">
        <v>69</v>
      </c>
      <c r="L310">
        <v>51</v>
      </c>
      <c r="M310">
        <v>60</v>
      </c>
      <c r="N310">
        <v>45</v>
      </c>
      <c r="O310">
        <v>41</v>
      </c>
      <c r="P310">
        <v>41</v>
      </c>
      <c r="X310" s="18"/>
      <c r="Y310" s="34">
        <f t="shared" si="12"/>
        <v>60</v>
      </c>
      <c r="Z310">
        <f t="shared" si="13"/>
        <v>37</v>
      </c>
      <c r="AA310">
        <f t="shared" si="14"/>
        <v>19.809999999999999</v>
      </c>
      <c r="AB310" cm="1">
        <f t="array" ref="AB310">SUMPRODUCT(--(ABS(P310:P331- A310:A331) &lt;= AC500))/22</f>
        <v>0.36363636363636365</v>
      </c>
    </row>
    <row r="311" spans="1:28" x14ac:dyDescent="0.25">
      <c r="A311">
        <v>28</v>
      </c>
      <c r="B311" s="33"/>
      <c r="C311">
        <v>43</v>
      </c>
      <c r="D311">
        <v>41</v>
      </c>
      <c r="E311" s="35">
        <v>42</v>
      </c>
      <c r="F311">
        <v>62</v>
      </c>
      <c r="G311">
        <v>114</v>
      </c>
      <c r="H311">
        <v>63</v>
      </c>
      <c r="I311">
        <v>63</v>
      </c>
      <c r="J311">
        <v>49</v>
      </c>
      <c r="K311">
        <v>51</v>
      </c>
      <c r="L311">
        <v>46</v>
      </c>
      <c r="M311">
        <v>49</v>
      </c>
      <c r="N311">
        <v>46</v>
      </c>
      <c r="O311">
        <v>41</v>
      </c>
      <c r="P311">
        <v>44</v>
      </c>
      <c r="X311" s="18"/>
      <c r="Y311" s="34">
        <f t="shared" si="12"/>
        <v>54</v>
      </c>
      <c r="Z311">
        <f t="shared" si="13"/>
        <v>26</v>
      </c>
      <c r="AA311">
        <f t="shared" si="14"/>
        <v>18.350000000000001</v>
      </c>
    </row>
    <row r="312" spans="1:28" x14ac:dyDescent="0.25">
      <c r="A312">
        <v>52</v>
      </c>
      <c r="B312" s="33"/>
      <c r="C312">
        <v>43</v>
      </c>
      <c r="D312">
        <v>41</v>
      </c>
      <c r="E312" s="35">
        <v>42</v>
      </c>
      <c r="F312">
        <v>92</v>
      </c>
      <c r="G312">
        <v>85</v>
      </c>
      <c r="H312">
        <v>54</v>
      </c>
      <c r="I312">
        <v>51</v>
      </c>
      <c r="J312">
        <v>49</v>
      </c>
      <c r="K312">
        <v>71</v>
      </c>
      <c r="L312">
        <v>69</v>
      </c>
      <c r="M312">
        <v>92</v>
      </c>
      <c r="N312">
        <v>46</v>
      </c>
      <c r="O312">
        <v>49</v>
      </c>
      <c r="P312">
        <v>68</v>
      </c>
      <c r="X312" s="18"/>
      <c r="Y312" s="34">
        <f t="shared" si="12"/>
        <v>61</v>
      </c>
      <c r="Z312">
        <f t="shared" si="13"/>
        <v>9</v>
      </c>
      <c r="AA312">
        <f t="shared" si="14"/>
        <v>17.84</v>
      </c>
    </row>
    <row r="313" spans="1:28" x14ac:dyDescent="0.25">
      <c r="A313">
        <v>44</v>
      </c>
      <c r="B313" s="33"/>
      <c r="C313">
        <v>44</v>
      </c>
      <c r="D313">
        <v>41</v>
      </c>
      <c r="E313" s="35">
        <v>42</v>
      </c>
      <c r="F313">
        <v>85</v>
      </c>
      <c r="G313">
        <v>71</v>
      </c>
      <c r="H313">
        <v>84</v>
      </c>
      <c r="I313">
        <v>58</v>
      </c>
      <c r="J313">
        <v>49</v>
      </c>
      <c r="K313">
        <v>89</v>
      </c>
      <c r="L313">
        <v>92</v>
      </c>
      <c r="M313">
        <v>103</v>
      </c>
      <c r="N313">
        <v>59</v>
      </c>
      <c r="O313">
        <v>46</v>
      </c>
      <c r="P313">
        <v>41</v>
      </c>
      <c r="X313" s="18"/>
      <c r="Y313" s="34">
        <f t="shared" si="12"/>
        <v>65</v>
      </c>
      <c r="Z313">
        <f t="shared" si="13"/>
        <v>21</v>
      </c>
      <c r="AA313">
        <f t="shared" si="14"/>
        <v>21.33</v>
      </c>
    </row>
    <row r="314" spans="1:28" x14ac:dyDescent="0.25">
      <c r="A314">
        <v>77</v>
      </c>
      <c r="B314" s="33"/>
      <c r="C314">
        <v>49</v>
      </c>
      <c r="D314">
        <v>47</v>
      </c>
      <c r="E314" s="35">
        <v>54</v>
      </c>
      <c r="F314">
        <v>54</v>
      </c>
      <c r="G314">
        <v>84</v>
      </c>
      <c r="H314">
        <v>80</v>
      </c>
      <c r="I314">
        <v>140</v>
      </c>
      <c r="J314">
        <v>94</v>
      </c>
      <c r="K314">
        <v>126</v>
      </c>
      <c r="L314">
        <v>119</v>
      </c>
      <c r="M314">
        <v>87</v>
      </c>
      <c r="N314">
        <v>109</v>
      </c>
      <c r="O314">
        <v>78</v>
      </c>
      <c r="P314">
        <v>40</v>
      </c>
      <c r="X314" s="18"/>
      <c r="Y314" s="34">
        <f t="shared" si="12"/>
        <v>83</v>
      </c>
      <c r="Z314">
        <f t="shared" si="13"/>
        <v>6</v>
      </c>
      <c r="AA314">
        <f t="shared" si="14"/>
        <v>30.73</v>
      </c>
    </row>
    <row r="315" spans="1:28" x14ac:dyDescent="0.25">
      <c r="A315">
        <v>152</v>
      </c>
      <c r="B315" s="33"/>
      <c r="C315">
        <v>121</v>
      </c>
      <c r="D315">
        <v>166</v>
      </c>
      <c r="E315" s="35">
        <v>63</v>
      </c>
      <c r="F315">
        <v>50</v>
      </c>
      <c r="G315">
        <v>82</v>
      </c>
      <c r="H315">
        <v>82</v>
      </c>
      <c r="I315">
        <v>197</v>
      </c>
      <c r="J315">
        <v>171</v>
      </c>
      <c r="K315">
        <v>90</v>
      </c>
      <c r="L315">
        <v>99</v>
      </c>
      <c r="M315">
        <v>128</v>
      </c>
      <c r="N315">
        <v>104</v>
      </c>
      <c r="O315">
        <v>139</v>
      </c>
      <c r="P315">
        <v>130</v>
      </c>
      <c r="X315" s="18"/>
      <c r="Y315" s="34">
        <f t="shared" si="12"/>
        <v>116</v>
      </c>
      <c r="Z315">
        <f t="shared" si="13"/>
        <v>36</v>
      </c>
      <c r="AA315">
        <f t="shared" si="14"/>
        <v>41.03</v>
      </c>
    </row>
    <row r="316" spans="1:28" x14ac:dyDescent="0.25">
      <c r="A316">
        <v>174</v>
      </c>
      <c r="B316" s="33"/>
      <c r="C316">
        <v>153</v>
      </c>
      <c r="D316">
        <v>208</v>
      </c>
      <c r="E316" s="35">
        <v>176</v>
      </c>
      <c r="F316">
        <v>115</v>
      </c>
      <c r="G316">
        <v>143</v>
      </c>
      <c r="H316">
        <v>130</v>
      </c>
      <c r="I316">
        <v>176</v>
      </c>
      <c r="J316">
        <v>178</v>
      </c>
      <c r="K316">
        <v>148</v>
      </c>
      <c r="L316">
        <v>146</v>
      </c>
      <c r="M316">
        <v>145</v>
      </c>
      <c r="N316">
        <v>139</v>
      </c>
      <c r="O316">
        <v>188</v>
      </c>
      <c r="P316">
        <v>185</v>
      </c>
      <c r="X316" s="18"/>
      <c r="Y316" s="34">
        <f t="shared" si="12"/>
        <v>159</v>
      </c>
      <c r="Z316">
        <f t="shared" si="13"/>
        <v>15</v>
      </c>
      <c r="AA316">
        <f t="shared" si="14"/>
        <v>25.09</v>
      </c>
    </row>
    <row r="317" spans="1:28" x14ac:dyDescent="0.25">
      <c r="A317">
        <v>39</v>
      </c>
      <c r="B317" s="33"/>
      <c r="C317">
        <v>43</v>
      </c>
      <c r="D317">
        <v>61</v>
      </c>
      <c r="E317" s="35">
        <v>42</v>
      </c>
      <c r="F317">
        <v>108</v>
      </c>
      <c r="G317">
        <v>123</v>
      </c>
      <c r="H317">
        <v>51</v>
      </c>
      <c r="I317">
        <v>59</v>
      </c>
      <c r="J317">
        <v>48</v>
      </c>
      <c r="K317">
        <v>103</v>
      </c>
      <c r="L317">
        <v>47</v>
      </c>
      <c r="M317">
        <v>51</v>
      </c>
      <c r="N317">
        <v>45</v>
      </c>
      <c r="O317">
        <v>48</v>
      </c>
      <c r="P317">
        <v>58</v>
      </c>
      <c r="X317" s="18"/>
      <c r="Y317" s="34">
        <f t="shared" si="12"/>
        <v>63</v>
      </c>
      <c r="Z317">
        <f t="shared" si="13"/>
        <v>24</v>
      </c>
      <c r="AA317">
        <f t="shared" si="14"/>
        <v>25.95</v>
      </c>
    </row>
    <row r="318" spans="1:28" x14ac:dyDescent="0.25">
      <c r="A318">
        <v>44</v>
      </c>
      <c r="B318" s="33"/>
      <c r="C318">
        <v>43</v>
      </c>
      <c r="D318">
        <v>41</v>
      </c>
      <c r="E318" s="35">
        <v>42</v>
      </c>
      <c r="F318">
        <v>83</v>
      </c>
      <c r="G318">
        <v>116</v>
      </c>
      <c r="H318">
        <v>57</v>
      </c>
      <c r="I318">
        <v>54</v>
      </c>
      <c r="J318">
        <v>47</v>
      </c>
      <c r="K318">
        <v>61</v>
      </c>
      <c r="L318">
        <v>48</v>
      </c>
      <c r="M318">
        <v>52</v>
      </c>
      <c r="N318">
        <v>45</v>
      </c>
      <c r="O318">
        <v>41</v>
      </c>
      <c r="P318">
        <v>38</v>
      </c>
      <c r="X318" s="18"/>
      <c r="Y318" s="34">
        <f t="shared" si="12"/>
        <v>55</v>
      </c>
      <c r="Z318">
        <f t="shared" si="13"/>
        <v>11</v>
      </c>
      <c r="AA318">
        <f t="shared" si="14"/>
        <v>20.29</v>
      </c>
    </row>
    <row r="319" spans="1:28" x14ac:dyDescent="0.25">
      <c r="A319">
        <v>43</v>
      </c>
      <c r="B319" s="33"/>
      <c r="C319">
        <v>43</v>
      </c>
      <c r="D319">
        <v>49</v>
      </c>
      <c r="E319" s="35">
        <v>42</v>
      </c>
      <c r="F319">
        <v>55</v>
      </c>
      <c r="G319">
        <v>61</v>
      </c>
      <c r="H319">
        <v>92</v>
      </c>
      <c r="I319">
        <v>149</v>
      </c>
      <c r="J319">
        <v>164</v>
      </c>
      <c r="K319">
        <v>67</v>
      </c>
      <c r="L319">
        <v>51</v>
      </c>
      <c r="M319">
        <v>72</v>
      </c>
      <c r="N319">
        <v>82</v>
      </c>
      <c r="O319">
        <v>45</v>
      </c>
      <c r="P319">
        <v>50</v>
      </c>
      <c r="X319" s="18"/>
      <c r="Y319" s="34">
        <f t="shared" si="12"/>
        <v>73</v>
      </c>
      <c r="Z319">
        <f t="shared" si="13"/>
        <v>30</v>
      </c>
      <c r="AA319">
        <f t="shared" si="14"/>
        <v>37.07</v>
      </c>
    </row>
    <row r="320" spans="1:28" x14ac:dyDescent="0.25">
      <c r="A320">
        <v>56</v>
      </c>
      <c r="B320" s="33"/>
      <c r="C320">
        <v>74</v>
      </c>
      <c r="D320">
        <v>49</v>
      </c>
      <c r="E320" s="35">
        <v>49</v>
      </c>
      <c r="F320">
        <v>51</v>
      </c>
      <c r="G320">
        <v>67</v>
      </c>
      <c r="H320">
        <v>77</v>
      </c>
      <c r="I320">
        <v>161</v>
      </c>
      <c r="J320">
        <v>183</v>
      </c>
      <c r="K320">
        <v>108</v>
      </c>
      <c r="L320">
        <v>98</v>
      </c>
      <c r="M320">
        <v>103</v>
      </c>
      <c r="N320">
        <v>118</v>
      </c>
      <c r="O320">
        <v>97</v>
      </c>
      <c r="P320">
        <v>73</v>
      </c>
      <c r="X320" s="18"/>
      <c r="Y320" s="34">
        <f t="shared" si="12"/>
        <v>93</v>
      </c>
      <c r="Z320">
        <f t="shared" si="13"/>
        <v>37</v>
      </c>
      <c r="AA320">
        <f t="shared" si="14"/>
        <v>38.770000000000003</v>
      </c>
    </row>
    <row r="321" spans="1:28" x14ac:dyDescent="0.25">
      <c r="A321">
        <v>47</v>
      </c>
      <c r="B321" s="33"/>
      <c r="C321">
        <v>43</v>
      </c>
      <c r="D321">
        <v>44</v>
      </c>
      <c r="E321" s="35">
        <v>47</v>
      </c>
      <c r="F321">
        <v>52</v>
      </c>
      <c r="G321">
        <v>69</v>
      </c>
      <c r="H321">
        <v>79</v>
      </c>
      <c r="I321">
        <v>144</v>
      </c>
      <c r="J321">
        <v>99</v>
      </c>
      <c r="K321">
        <v>112</v>
      </c>
      <c r="L321">
        <v>95</v>
      </c>
      <c r="M321">
        <v>112</v>
      </c>
      <c r="N321">
        <v>106</v>
      </c>
      <c r="O321">
        <v>98</v>
      </c>
      <c r="P321">
        <v>39</v>
      </c>
      <c r="X321" s="18"/>
      <c r="Y321" s="34">
        <f t="shared" si="12"/>
        <v>81</v>
      </c>
      <c r="Z321">
        <f t="shared" si="13"/>
        <v>34</v>
      </c>
      <c r="AA321">
        <f t="shared" si="14"/>
        <v>31.67</v>
      </c>
    </row>
    <row r="322" spans="1:28" x14ac:dyDescent="0.25">
      <c r="A322">
        <v>86</v>
      </c>
      <c r="B322" s="33"/>
      <c r="C322">
        <v>44</v>
      </c>
      <c r="D322">
        <v>53</v>
      </c>
      <c r="E322" s="35">
        <v>42</v>
      </c>
      <c r="F322">
        <v>85</v>
      </c>
      <c r="G322">
        <v>80</v>
      </c>
      <c r="H322">
        <v>95</v>
      </c>
      <c r="I322">
        <v>78</v>
      </c>
      <c r="J322">
        <v>52</v>
      </c>
      <c r="K322">
        <v>164</v>
      </c>
      <c r="L322">
        <v>121</v>
      </c>
      <c r="M322">
        <v>157</v>
      </c>
      <c r="N322">
        <v>126</v>
      </c>
      <c r="O322">
        <v>64</v>
      </c>
      <c r="P322">
        <v>115</v>
      </c>
      <c r="X322" s="18"/>
      <c r="Y322" s="34">
        <f t="shared" si="12"/>
        <v>91</v>
      </c>
      <c r="Z322">
        <f t="shared" si="13"/>
        <v>5</v>
      </c>
      <c r="AA322">
        <f t="shared" si="14"/>
        <v>38.76</v>
      </c>
    </row>
    <row r="323" spans="1:28" x14ac:dyDescent="0.25">
      <c r="A323">
        <v>186</v>
      </c>
      <c r="B323" s="33"/>
      <c r="C323">
        <v>185</v>
      </c>
      <c r="D323">
        <v>209</v>
      </c>
      <c r="E323" s="35">
        <v>173</v>
      </c>
      <c r="F323">
        <v>143</v>
      </c>
      <c r="G323">
        <v>166</v>
      </c>
      <c r="H323">
        <v>149</v>
      </c>
      <c r="I323">
        <v>179</v>
      </c>
      <c r="J323">
        <v>168</v>
      </c>
      <c r="K323">
        <v>153</v>
      </c>
      <c r="L323">
        <v>156</v>
      </c>
      <c r="M323">
        <v>143</v>
      </c>
      <c r="N323">
        <v>134</v>
      </c>
      <c r="O323">
        <v>178</v>
      </c>
      <c r="P323">
        <v>173</v>
      </c>
      <c r="X323" s="18"/>
      <c r="Y323" s="34">
        <f t="shared" si="12"/>
        <v>165</v>
      </c>
      <c r="Z323">
        <f t="shared" si="13"/>
        <v>21</v>
      </c>
      <c r="AA323">
        <f t="shared" si="14"/>
        <v>19.36</v>
      </c>
    </row>
    <row r="324" spans="1:28" x14ac:dyDescent="0.25">
      <c r="A324">
        <v>37</v>
      </c>
      <c r="B324" s="33"/>
      <c r="C324">
        <v>43</v>
      </c>
      <c r="D324">
        <v>41</v>
      </c>
      <c r="E324" s="35">
        <v>42</v>
      </c>
      <c r="F324">
        <v>94</v>
      </c>
      <c r="G324">
        <v>132</v>
      </c>
      <c r="H324">
        <v>59</v>
      </c>
      <c r="I324">
        <v>54</v>
      </c>
      <c r="J324">
        <v>47</v>
      </c>
      <c r="K324">
        <v>65</v>
      </c>
      <c r="L324">
        <v>46</v>
      </c>
      <c r="M324">
        <v>50</v>
      </c>
      <c r="N324">
        <v>45</v>
      </c>
      <c r="O324">
        <v>41</v>
      </c>
      <c r="P324">
        <v>63</v>
      </c>
      <c r="X324" s="18"/>
      <c r="Y324" s="34">
        <f t="shared" si="12"/>
        <v>59</v>
      </c>
      <c r="Z324">
        <f t="shared" si="13"/>
        <v>22</v>
      </c>
      <c r="AA324">
        <f t="shared" si="14"/>
        <v>24.51</v>
      </c>
    </row>
    <row r="325" spans="1:28" x14ac:dyDescent="0.25">
      <c r="A325">
        <v>50</v>
      </c>
      <c r="B325" s="33"/>
      <c r="C325">
        <v>44</v>
      </c>
      <c r="D325">
        <v>41</v>
      </c>
      <c r="E325" s="35">
        <v>52</v>
      </c>
      <c r="F325">
        <v>65</v>
      </c>
      <c r="G325">
        <v>105</v>
      </c>
      <c r="H325">
        <v>60</v>
      </c>
      <c r="I325">
        <v>51</v>
      </c>
      <c r="J325">
        <v>49</v>
      </c>
      <c r="K325">
        <v>48</v>
      </c>
      <c r="L325">
        <v>47</v>
      </c>
      <c r="M325">
        <v>49</v>
      </c>
      <c r="N325">
        <v>47</v>
      </c>
      <c r="O325">
        <v>41</v>
      </c>
      <c r="P325">
        <v>57</v>
      </c>
      <c r="X325" s="18"/>
      <c r="Y325" s="34">
        <f t="shared" si="12"/>
        <v>54</v>
      </c>
      <c r="Z325">
        <f t="shared" si="13"/>
        <v>4</v>
      </c>
      <c r="AA325">
        <f t="shared" si="14"/>
        <v>15.59</v>
      </c>
    </row>
    <row r="326" spans="1:28" x14ac:dyDescent="0.25">
      <c r="A326">
        <v>98</v>
      </c>
      <c r="B326" s="33"/>
      <c r="C326">
        <v>43</v>
      </c>
      <c r="D326">
        <v>41</v>
      </c>
      <c r="E326" s="35">
        <v>45</v>
      </c>
      <c r="F326">
        <v>56</v>
      </c>
      <c r="G326">
        <v>96</v>
      </c>
      <c r="H326">
        <v>65</v>
      </c>
      <c r="I326">
        <v>83</v>
      </c>
      <c r="J326">
        <v>49</v>
      </c>
      <c r="K326">
        <v>59</v>
      </c>
      <c r="L326">
        <v>51</v>
      </c>
      <c r="M326">
        <v>51</v>
      </c>
      <c r="N326">
        <v>47</v>
      </c>
      <c r="O326">
        <v>41</v>
      </c>
      <c r="P326">
        <v>39</v>
      </c>
      <c r="X326" s="18"/>
      <c r="Y326" s="34">
        <f t="shared" si="12"/>
        <v>55</v>
      </c>
      <c r="Z326">
        <f t="shared" si="13"/>
        <v>43</v>
      </c>
      <c r="AA326">
        <f t="shared" si="14"/>
        <v>16.05</v>
      </c>
    </row>
    <row r="327" spans="1:28" x14ac:dyDescent="0.25">
      <c r="A327">
        <v>39</v>
      </c>
      <c r="B327" s="33"/>
      <c r="C327">
        <v>43</v>
      </c>
      <c r="D327">
        <v>41</v>
      </c>
      <c r="E327" s="35">
        <v>42</v>
      </c>
      <c r="F327">
        <v>95</v>
      </c>
      <c r="G327">
        <v>85</v>
      </c>
      <c r="H327">
        <v>66</v>
      </c>
      <c r="I327">
        <v>51</v>
      </c>
      <c r="J327">
        <v>50</v>
      </c>
      <c r="K327">
        <v>98</v>
      </c>
      <c r="L327">
        <v>109</v>
      </c>
      <c r="M327">
        <v>140</v>
      </c>
      <c r="N327">
        <v>51</v>
      </c>
      <c r="O327">
        <v>53</v>
      </c>
      <c r="P327">
        <v>51</v>
      </c>
      <c r="X327" s="18"/>
      <c r="Y327" s="34">
        <f t="shared" si="12"/>
        <v>70</v>
      </c>
      <c r="Z327">
        <f t="shared" si="13"/>
        <v>31</v>
      </c>
      <c r="AA327">
        <f t="shared" si="14"/>
        <v>29.51</v>
      </c>
    </row>
    <row r="328" spans="1:28" x14ac:dyDescent="0.25">
      <c r="A328">
        <v>45</v>
      </c>
      <c r="B328" s="33"/>
      <c r="C328">
        <v>45</v>
      </c>
      <c r="D328">
        <v>41</v>
      </c>
      <c r="E328" s="35">
        <v>57</v>
      </c>
      <c r="F328">
        <v>91</v>
      </c>
      <c r="G328">
        <v>81</v>
      </c>
      <c r="H328">
        <v>93</v>
      </c>
      <c r="I328">
        <v>64</v>
      </c>
      <c r="J328">
        <v>50</v>
      </c>
      <c r="K328">
        <v>126</v>
      </c>
      <c r="L328">
        <v>127</v>
      </c>
      <c r="M328">
        <v>161</v>
      </c>
      <c r="N328">
        <v>107</v>
      </c>
      <c r="O328">
        <v>68</v>
      </c>
      <c r="P328">
        <v>71</v>
      </c>
      <c r="X328" s="18"/>
      <c r="Y328" s="34">
        <f t="shared" si="12"/>
        <v>84</v>
      </c>
      <c r="Z328">
        <f t="shared" si="13"/>
        <v>39</v>
      </c>
      <c r="AA328">
        <f t="shared" si="14"/>
        <v>34.11</v>
      </c>
    </row>
    <row r="329" spans="1:28" x14ac:dyDescent="0.25">
      <c r="A329">
        <v>116</v>
      </c>
      <c r="B329" s="33"/>
      <c r="C329">
        <v>115</v>
      </c>
      <c r="D329">
        <v>140</v>
      </c>
      <c r="E329" s="35">
        <v>58</v>
      </c>
      <c r="F329">
        <v>48</v>
      </c>
      <c r="G329">
        <v>80</v>
      </c>
      <c r="H329">
        <v>81</v>
      </c>
      <c r="I329">
        <v>175</v>
      </c>
      <c r="J329">
        <v>149</v>
      </c>
      <c r="K329">
        <v>87</v>
      </c>
      <c r="L329">
        <v>62</v>
      </c>
      <c r="M329">
        <v>101</v>
      </c>
      <c r="N329">
        <v>101</v>
      </c>
      <c r="O329">
        <v>138</v>
      </c>
      <c r="P329">
        <v>135</v>
      </c>
      <c r="X329" s="18"/>
      <c r="Y329" s="34">
        <f t="shared" si="12"/>
        <v>105</v>
      </c>
      <c r="Z329">
        <f t="shared" si="13"/>
        <v>11</v>
      </c>
      <c r="AA329">
        <f t="shared" si="14"/>
        <v>36.85</v>
      </c>
    </row>
    <row r="330" spans="1:28" x14ac:dyDescent="0.25">
      <c r="A330">
        <v>180</v>
      </c>
      <c r="B330" s="33"/>
      <c r="C330">
        <v>140</v>
      </c>
      <c r="D330">
        <v>156</v>
      </c>
      <c r="E330" s="35">
        <v>141</v>
      </c>
      <c r="F330">
        <v>87</v>
      </c>
      <c r="G330">
        <v>111</v>
      </c>
      <c r="H330">
        <v>105</v>
      </c>
      <c r="I330">
        <v>183</v>
      </c>
      <c r="J330">
        <v>165</v>
      </c>
      <c r="K330">
        <v>127</v>
      </c>
      <c r="L330">
        <v>108</v>
      </c>
      <c r="M330">
        <v>113</v>
      </c>
      <c r="N330">
        <v>122</v>
      </c>
      <c r="O330">
        <v>147</v>
      </c>
      <c r="P330">
        <v>151</v>
      </c>
      <c r="X330" s="18"/>
      <c r="Y330" s="34">
        <f t="shared" si="12"/>
        <v>133</v>
      </c>
      <c r="Z330">
        <f t="shared" si="13"/>
        <v>47</v>
      </c>
      <c r="AA330">
        <f t="shared" si="14"/>
        <v>25.7</v>
      </c>
    </row>
    <row r="331" spans="1:28" x14ac:dyDescent="0.25">
      <c r="A331">
        <v>110</v>
      </c>
      <c r="B331" s="33"/>
      <c r="C331">
        <v>43</v>
      </c>
      <c r="D331">
        <v>71</v>
      </c>
      <c r="E331" s="35">
        <v>42</v>
      </c>
      <c r="F331">
        <v>85</v>
      </c>
      <c r="G331">
        <v>79</v>
      </c>
      <c r="H331">
        <v>92</v>
      </c>
      <c r="I331">
        <v>94</v>
      </c>
      <c r="J331">
        <v>50</v>
      </c>
      <c r="K331">
        <v>51</v>
      </c>
      <c r="L331">
        <v>55</v>
      </c>
      <c r="M331">
        <v>57</v>
      </c>
      <c r="N331">
        <v>46</v>
      </c>
      <c r="O331">
        <v>41</v>
      </c>
      <c r="P331">
        <v>42</v>
      </c>
      <c r="X331" s="18"/>
      <c r="Y331" s="34">
        <f t="shared" si="12"/>
        <v>61</v>
      </c>
      <c r="Z331">
        <f t="shared" si="13"/>
        <v>49</v>
      </c>
      <c r="AA331">
        <f t="shared" si="14"/>
        <v>18.88</v>
      </c>
    </row>
    <row r="332" spans="1:28" x14ac:dyDescent="0.25">
      <c r="A332">
        <v>4</v>
      </c>
      <c r="B332" s="33"/>
      <c r="C332">
        <v>43</v>
      </c>
      <c r="D332">
        <v>53</v>
      </c>
      <c r="E332" s="35">
        <v>42</v>
      </c>
      <c r="F332">
        <v>56</v>
      </c>
      <c r="G332">
        <v>71</v>
      </c>
      <c r="H332">
        <v>91</v>
      </c>
      <c r="I332">
        <v>119</v>
      </c>
      <c r="J332">
        <v>63</v>
      </c>
      <c r="K332">
        <v>47</v>
      </c>
      <c r="L332">
        <v>45</v>
      </c>
      <c r="M332">
        <v>56</v>
      </c>
      <c r="N332">
        <v>48</v>
      </c>
      <c r="O332">
        <v>42</v>
      </c>
      <c r="P332">
        <v>41</v>
      </c>
      <c r="Q332">
        <v>41</v>
      </c>
      <c r="X332" s="18"/>
      <c r="Y332" s="34">
        <f t="shared" si="12"/>
        <v>57</v>
      </c>
      <c r="Z332">
        <f t="shared" si="13"/>
        <v>53</v>
      </c>
      <c r="AA332">
        <f t="shared" si="14"/>
        <v>21.19</v>
      </c>
      <c r="AB332" cm="1">
        <f t="array" ref="AB332">SUMPRODUCT(--(ABS(Q332:Q353- A332:A353) &lt;= AC500))/22</f>
        <v>0.40909090909090912</v>
      </c>
    </row>
    <row r="333" spans="1:28" x14ac:dyDescent="0.25">
      <c r="A333">
        <v>33</v>
      </c>
      <c r="B333" s="33"/>
      <c r="C333">
        <v>47</v>
      </c>
      <c r="D333">
        <v>48</v>
      </c>
      <c r="E333" s="35">
        <v>59</v>
      </c>
      <c r="F333">
        <v>51</v>
      </c>
      <c r="G333">
        <v>95</v>
      </c>
      <c r="H333">
        <v>78</v>
      </c>
      <c r="I333">
        <v>123</v>
      </c>
      <c r="J333">
        <v>60</v>
      </c>
      <c r="K333">
        <v>69</v>
      </c>
      <c r="L333">
        <v>71</v>
      </c>
      <c r="M333">
        <v>49</v>
      </c>
      <c r="N333">
        <v>49</v>
      </c>
      <c r="O333">
        <v>41</v>
      </c>
      <c r="P333">
        <v>44</v>
      </c>
      <c r="Q333">
        <v>64</v>
      </c>
      <c r="X333" s="18"/>
      <c r="Y333" s="34">
        <f t="shared" si="12"/>
        <v>63</v>
      </c>
      <c r="Z333">
        <f t="shared" si="13"/>
        <v>30</v>
      </c>
      <c r="AA333">
        <f t="shared" si="14"/>
        <v>21.35</v>
      </c>
    </row>
    <row r="334" spans="1:28" x14ac:dyDescent="0.25">
      <c r="A334">
        <v>57</v>
      </c>
      <c r="B334" s="33"/>
      <c r="C334">
        <v>70</v>
      </c>
      <c r="D334">
        <v>51</v>
      </c>
      <c r="E334" s="35">
        <v>45</v>
      </c>
      <c r="F334">
        <v>50</v>
      </c>
      <c r="G334">
        <v>67</v>
      </c>
      <c r="H334">
        <v>76</v>
      </c>
      <c r="I334">
        <v>155</v>
      </c>
      <c r="J334">
        <v>174</v>
      </c>
      <c r="K334">
        <v>107</v>
      </c>
      <c r="L334">
        <v>57</v>
      </c>
      <c r="M334">
        <v>65</v>
      </c>
      <c r="N334">
        <v>108</v>
      </c>
      <c r="O334">
        <v>112</v>
      </c>
      <c r="P334">
        <v>94</v>
      </c>
      <c r="Q334">
        <v>62</v>
      </c>
      <c r="X334" s="18"/>
      <c r="Y334" s="34">
        <f t="shared" si="12"/>
        <v>86</v>
      </c>
      <c r="Z334">
        <f t="shared" si="13"/>
        <v>29</v>
      </c>
      <c r="AA334">
        <f t="shared" si="14"/>
        <v>37.369999999999997</v>
      </c>
    </row>
    <row r="335" spans="1:28" x14ac:dyDescent="0.25">
      <c r="A335">
        <v>108</v>
      </c>
      <c r="B335" s="33"/>
      <c r="C335">
        <v>47</v>
      </c>
      <c r="D335">
        <v>153</v>
      </c>
      <c r="E335" s="35">
        <v>59</v>
      </c>
      <c r="F335">
        <v>78</v>
      </c>
      <c r="G335">
        <v>80</v>
      </c>
      <c r="H335">
        <v>94</v>
      </c>
      <c r="I335">
        <v>74</v>
      </c>
      <c r="J335">
        <v>171</v>
      </c>
      <c r="K335">
        <v>47</v>
      </c>
      <c r="L335">
        <v>46</v>
      </c>
      <c r="M335">
        <v>89</v>
      </c>
      <c r="N335">
        <v>67</v>
      </c>
      <c r="O335">
        <v>102</v>
      </c>
      <c r="P335">
        <v>120</v>
      </c>
      <c r="Q335">
        <v>166</v>
      </c>
      <c r="X335" s="18"/>
      <c r="Y335" s="34">
        <f t="shared" si="12"/>
        <v>93</v>
      </c>
      <c r="Z335">
        <f t="shared" si="13"/>
        <v>15</v>
      </c>
      <c r="AA335">
        <f t="shared" si="14"/>
        <v>40.72</v>
      </c>
    </row>
    <row r="336" spans="1:28" x14ac:dyDescent="0.25">
      <c r="A336">
        <v>103</v>
      </c>
      <c r="B336" s="33"/>
      <c r="C336">
        <v>127</v>
      </c>
      <c r="D336">
        <v>169</v>
      </c>
      <c r="E336" s="35">
        <v>107</v>
      </c>
      <c r="F336">
        <v>52</v>
      </c>
      <c r="G336">
        <v>95</v>
      </c>
      <c r="H336">
        <v>84</v>
      </c>
      <c r="I336">
        <v>182</v>
      </c>
      <c r="J336">
        <v>169</v>
      </c>
      <c r="K336">
        <v>108</v>
      </c>
      <c r="L336">
        <v>120</v>
      </c>
      <c r="M336">
        <v>131</v>
      </c>
      <c r="N336">
        <v>118</v>
      </c>
      <c r="O336">
        <v>140</v>
      </c>
      <c r="P336">
        <v>123</v>
      </c>
      <c r="Q336">
        <v>150</v>
      </c>
      <c r="X336" s="18"/>
      <c r="Y336" s="34">
        <f t="shared" si="12"/>
        <v>125</v>
      </c>
      <c r="Z336">
        <f t="shared" si="13"/>
        <v>22</v>
      </c>
      <c r="AA336">
        <f t="shared" si="14"/>
        <v>33.28</v>
      </c>
    </row>
    <row r="337" spans="1:27" x14ac:dyDescent="0.25">
      <c r="A337">
        <v>186</v>
      </c>
      <c r="B337" s="33"/>
      <c r="C337">
        <v>181</v>
      </c>
      <c r="D337">
        <v>203</v>
      </c>
      <c r="E337" s="35">
        <v>167</v>
      </c>
      <c r="F337">
        <v>153</v>
      </c>
      <c r="G337">
        <v>179</v>
      </c>
      <c r="H337">
        <v>154</v>
      </c>
      <c r="I337">
        <v>171</v>
      </c>
      <c r="J337">
        <v>168</v>
      </c>
      <c r="K337">
        <v>152</v>
      </c>
      <c r="L337">
        <v>158</v>
      </c>
      <c r="M337">
        <v>150</v>
      </c>
      <c r="N337">
        <v>136</v>
      </c>
      <c r="O337">
        <v>178</v>
      </c>
      <c r="P337">
        <v>174</v>
      </c>
      <c r="Q337">
        <v>186</v>
      </c>
      <c r="X337" s="18"/>
      <c r="Y337" s="34">
        <f t="shared" si="12"/>
        <v>167</v>
      </c>
      <c r="Z337">
        <f t="shared" si="13"/>
        <v>19</v>
      </c>
      <c r="AA337">
        <f t="shared" si="14"/>
        <v>16.54</v>
      </c>
    </row>
    <row r="338" spans="1:27" x14ac:dyDescent="0.25">
      <c r="A338">
        <v>46</v>
      </c>
      <c r="B338" s="33"/>
      <c r="C338">
        <v>43</v>
      </c>
      <c r="D338">
        <v>51</v>
      </c>
      <c r="E338" s="35">
        <v>42</v>
      </c>
      <c r="F338">
        <v>52</v>
      </c>
      <c r="G338">
        <v>92</v>
      </c>
      <c r="H338">
        <v>84</v>
      </c>
      <c r="I338">
        <v>128</v>
      </c>
      <c r="J338">
        <v>55</v>
      </c>
      <c r="K338">
        <v>42</v>
      </c>
      <c r="L338">
        <v>47</v>
      </c>
      <c r="M338">
        <v>51</v>
      </c>
      <c r="N338">
        <v>46</v>
      </c>
      <c r="O338">
        <v>41</v>
      </c>
      <c r="P338">
        <v>56</v>
      </c>
      <c r="Q338">
        <v>40</v>
      </c>
      <c r="X338" s="18"/>
      <c r="Y338" s="34">
        <f t="shared" si="12"/>
        <v>58</v>
      </c>
      <c r="Z338">
        <f t="shared" si="13"/>
        <v>12</v>
      </c>
      <c r="AA338">
        <f t="shared" si="14"/>
        <v>23.8</v>
      </c>
    </row>
    <row r="339" spans="1:27" x14ac:dyDescent="0.25">
      <c r="A339">
        <v>38</v>
      </c>
      <c r="B339" s="33"/>
      <c r="C339">
        <v>43</v>
      </c>
      <c r="D339">
        <v>41</v>
      </c>
      <c r="E339" s="35">
        <v>46</v>
      </c>
      <c r="F339">
        <v>50</v>
      </c>
      <c r="G339">
        <v>90</v>
      </c>
      <c r="H339">
        <v>96</v>
      </c>
      <c r="I339">
        <v>200</v>
      </c>
      <c r="J339">
        <v>127</v>
      </c>
      <c r="K339">
        <v>50</v>
      </c>
      <c r="L339">
        <v>60</v>
      </c>
      <c r="M339">
        <v>49</v>
      </c>
      <c r="N339">
        <v>45</v>
      </c>
      <c r="O339">
        <v>41</v>
      </c>
      <c r="P339">
        <v>63</v>
      </c>
      <c r="Q339">
        <v>40</v>
      </c>
      <c r="X339" s="18"/>
      <c r="Y339" s="34">
        <f t="shared" si="12"/>
        <v>69</v>
      </c>
      <c r="Z339">
        <f t="shared" si="13"/>
        <v>31</v>
      </c>
      <c r="AA339">
        <f t="shared" si="14"/>
        <v>42.52</v>
      </c>
    </row>
    <row r="340" spans="1:27" x14ac:dyDescent="0.25">
      <c r="A340">
        <v>75</v>
      </c>
      <c r="B340" s="33"/>
      <c r="C340">
        <v>43</v>
      </c>
      <c r="D340">
        <v>41</v>
      </c>
      <c r="E340" s="35">
        <v>42</v>
      </c>
      <c r="F340">
        <v>91</v>
      </c>
      <c r="G340">
        <v>95</v>
      </c>
      <c r="H340">
        <v>54</v>
      </c>
      <c r="I340">
        <v>51</v>
      </c>
      <c r="J340">
        <v>48</v>
      </c>
      <c r="K340">
        <v>71</v>
      </c>
      <c r="L340">
        <v>60</v>
      </c>
      <c r="M340">
        <v>68</v>
      </c>
      <c r="N340">
        <v>46</v>
      </c>
      <c r="O340">
        <v>42</v>
      </c>
      <c r="P340">
        <v>41</v>
      </c>
      <c r="Q340">
        <v>41</v>
      </c>
      <c r="X340" s="18"/>
      <c r="Y340" s="34">
        <f t="shared" si="12"/>
        <v>56</v>
      </c>
      <c r="Z340">
        <f t="shared" si="13"/>
        <v>19</v>
      </c>
      <c r="AA340">
        <f t="shared" si="14"/>
        <v>17.43</v>
      </c>
    </row>
    <row r="341" spans="1:27" x14ac:dyDescent="0.25">
      <c r="A341">
        <v>34</v>
      </c>
      <c r="B341" s="33"/>
      <c r="C341">
        <v>43</v>
      </c>
      <c r="D341">
        <v>41</v>
      </c>
      <c r="E341" s="35">
        <v>44</v>
      </c>
      <c r="F341">
        <v>92</v>
      </c>
      <c r="G341">
        <v>84</v>
      </c>
      <c r="H341">
        <v>62</v>
      </c>
      <c r="I341">
        <v>50</v>
      </c>
      <c r="J341">
        <v>50</v>
      </c>
      <c r="K341">
        <v>110</v>
      </c>
      <c r="L341">
        <v>130</v>
      </c>
      <c r="M341">
        <v>174</v>
      </c>
      <c r="N341">
        <v>53</v>
      </c>
      <c r="O341">
        <v>65</v>
      </c>
      <c r="P341">
        <v>69</v>
      </c>
      <c r="Q341">
        <v>44</v>
      </c>
      <c r="X341" s="18"/>
      <c r="Y341" s="34">
        <f t="shared" si="12"/>
        <v>74</v>
      </c>
      <c r="Z341">
        <f t="shared" si="13"/>
        <v>40</v>
      </c>
      <c r="AA341">
        <f t="shared" si="14"/>
        <v>37.01</v>
      </c>
    </row>
    <row r="342" spans="1:27" x14ac:dyDescent="0.25">
      <c r="A342">
        <v>35</v>
      </c>
      <c r="B342" s="33"/>
      <c r="C342">
        <v>47</v>
      </c>
      <c r="D342">
        <v>42</v>
      </c>
      <c r="E342" s="35">
        <v>56</v>
      </c>
      <c r="F342">
        <v>74</v>
      </c>
      <c r="G342">
        <v>81</v>
      </c>
      <c r="H342">
        <v>82</v>
      </c>
      <c r="I342">
        <v>81</v>
      </c>
      <c r="J342">
        <v>49</v>
      </c>
      <c r="K342">
        <v>118</v>
      </c>
      <c r="L342">
        <v>105</v>
      </c>
      <c r="M342">
        <v>131</v>
      </c>
      <c r="N342">
        <v>100</v>
      </c>
      <c r="O342">
        <v>64</v>
      </c>
      <c r="P342">
        <v>78</v>
      </c>
      <c r="Q342">
        <v>61</v>
      </c>
      <c r="X342" s="18"/>
      <c r="Y342" s="34">
        <f t="shared" si="12"/>
        <v>78</v>
      </c>
      <c r="Z342">
        <f t="shared" si="13"/>
        <v>43</v>
      </c>
      <c r="AA342">
        <f t="shared" si="14"/>
        <v>25.48</v>
      </c>
    </row>
    <row r="343" spans="1:27" x14ac:dyDescent="0.25">
      <c r="A343">
        <v>118</v>
      </c>
      <c r="B343" s="33"/>
      <c r="C343">
        <v>125</v>
      </c>
      <c r="D343">
        <v>155</v>
      </c>
      <c r="E343" s="35">
        <v>95</v>
      </c>
      <c r="F343">
        <v>55</v>
      </c>
      <c r="G343">
        <v>95</v>
      </c>
      <c r="H343">
        <v>87</v>
      </c>
      <c r="I343">
        <v>158</v>
      </c>
      <c r="J343">
        <v>135</v>
      </c>
      <c r="K343">
        <v>94</v>
      </c>
      <c r="L343">
        <v>127</v>
      </c>
      <c r="M343">
        <v>118</v>
      </c>
      <c r="N343">
        <v>92</v>
      </c>
      <c r="O343">
        <v>120</v>
      </c>
      <c r="P343">
        <v>125</v>
      </c>
      <c r="Q343">
        <v>117</v>
      </c>
      <c r="X343" s="18"/>
      <c r="Y343" s="34">
        <f t="shared" si="12"/>
        <v>113</v>
      </c>
      <c r="Z343">
        <f t="shared" si="13"/>
        <v>5</v>
      </c>
      <c r="AA343">
        <f t="shared" si="14"/>
        <v>26.25</v>
      </c>
    </row>
    <row r="344" spans="1:27" x14ac:dyDescent="0.25">
      <c r="A344">
        <v>143</v>
      </c>
      <c r="B344" s="33"/>
      <c r="C344">
        <v>159</v>
      </c>
      <c r="D344">
        <v>178</v>
      </c>
      <c r="E344" s="35">
        <v>163</v>
      </c>
      <c r="F344">
        <v>136</v>
      </c>
      <c r="G344">
        <v>148</v>
      </c>
      <c r="H344">
        <v>124</v>
      </c>
      <c r="I344">
        <v>168</v>
      </c>
      <c r="J344">
        <v>164</v>
      </c>
      <c r="K344">
        <v>144</v>
      </c>
      <c r="L344">
        <v>146</v>
      </c>
      <c r="M344">
        <v>143</v>
      </c>
      <c r="N344">
        <v>110</v>
      </c>
      <c r="O344">
        <v>168</v>
      </c>
      <c r="P344">
        <v>171</v>
      </c>
      <c r="Q344">
        <v>182</v>
      </c>
      <c r="X344" s="18"/>
      <c r="Y344" s="34">
        <f t="shared" si="12"/>
        <v>154</v>
      </c>
      <c r="Z344">
        <f t="shared" si="13"/>
        <v>11</v>
      </c>
      <c r="AA344">
        <f t="shared" si="14"/>
        <v>19.54</v>
      </c>
    </row>
    <row r="345" spans="1:27" x14ac:dyDescent="0.25">
      <c r="A345">
        <v>48</v>
      </c>
      <c r="B345" s="33"/>
      <c r="C345">
        <v>43</v>
      </c>
      <c r="D345">
        <v>63</v>
      </c>
      <c r="E345" s="35">
        <v>42</v>
      </c>
      <c r="F345">
        <v>47</v>
      </c>
      <c r="G345">
        <v>63</v>
      </c>
      <c r="H345">
        <v>99</v>
      </c>
      <c r="I345">
        <v>99</v>
      </c>
      <c r="J345">
        <v>109</v>
      </c>
      <c r="K345">
        <v>41</v>
      </c>
      <c r="L345">
        <v>56</v>
      </c>
      <c r="M345">
        <v>101</v>
      </c>
      <c r="N345">
        <v>77</v>
      </c>
      <c r="O345">
        <v>47</v>
      </c>
      <c r="P345">
        <v>112</v>
      </c>
      <c r="Q345">
        <v>46</v>
      </c>
      <c r="X345" s="18"/>
      <c r="Y345" s="34">
        <f t="shared" ref="Y345:Y408" si="15">ROUND(AVERAGE(C345:X345),0)</f>
        <v>70</v>
      </c>
      <c r="Z345">
        <f t="shared" ref="Z345:Z408" si="16">ABS(Y345-A345)</f>
        <v>22</v>
      </c>
      <c r="AA345">
        <f t="shared" si="14"/>
        <v>26.15</v>
      </c>
    </row>
    <row r="346" spans="1:27" x14ac:dyDescent="0.25">
      <c r="A346">
        <v>56</v>
      </c>
      <c r="B346" s="33"/>
      <c r="C346">
        <v>43</v>
      </c>
      <c r="D346">
        <v>41</v>
      </c>
      <c r="E346" s="35">
        <v>42</v>
      </c>
      <c r="F346">
        <v>70</v>
      </c>
      <c r="G346">
        <v>119</v>
      </c>
      <c r="H346">
        <v>58</v>
      </c>
      <c r="I346">
        <v>54</v>
      </c>
      <c r="J346">
        <v>47</v>
      </c>
      <c r="K346">
        <v>58</v>
      </c>
      <c r="L346">
        <v>47</v>
      </c>
      <c r="M346">
        <v>49</v>
      </c>
      <c r="N346">
        <v>45</v>
      </c>
      <c r="O346">
        <v>41</v>
      </c>
      <c r="P346">
        <v>38</v>
      </c>
      <c r="Q346">
        <v>38</v>
      </c>
      <c r="X346" s="18"/>
      <c r="Y346" s="34">
        <f t="shared" si="15"/>
        <v>53</v>
      </c>
      <c r="Z346">
        <f t="shared" si="16"/>
        <v>3</v>
      </c>
      <c r="AA346">
        <f t="shared" si="14"/>
        <v>19.670000000000002</v>
      </c>
    </row>
    <row r="347" spans="1:27" x14ac:dyDescent="0.25">
      <c r="A347">
        <v>46</v>
      </c>
      <c r="B347" s="33"/>
      <c r="C347">
        <v>43</v>
      </c>
      <c r="D347">
        <v>41</v>
      </c>
      <c r="E347" s="35">
        <v>43</v>
      </c>
      <c r="F347">
        <v>55</v>
      </c>
      <c r="G347">
        <v>88</v>
      </c>
      <c r="H347">
        <v>72</v>
      </c>
      <c r="I347">
        <v>152</v>
      </c>
      <c r="J347">
        <v>71</v>
      </c>
      <c r="K347">
        <v>58</v>
      </c>
      <c r="L347">
        <v>49</v>
      </c>
      <c r="M347">
        <v>51</v>
      </c>
      <c r="N347">
        <v>46</v>
      </c>
      <c r="O347">
        <v>41</v>
      </c>
      <c r="P347">
        <v>43</v>
      </c>
      <c r="Q347">
        <v>76</v>
      </c>
      <c r="X347" s="18"/>
      <c r="Y347" s="34">
        <f t="shared" si="15"/>
        <v>62</v>
      </c>
      <c r="Z347">
        <f t="shared" si="16"/>
        <v>16</v>
      </c>
      <c r="AA347">
        <f t="shared" si="14"/>
        <v>27.96</v>
      </c>
    </row>
    <row r="348" spans="1:27" x14ac:dyDescent="0.25">
      <c r="A348">
        <v>44</v>
      </c>
      <c r="B348" s="33"/>
      <c r="C348">
        <v>47</v>
      </c>
      <c r="D348">
        <v>52</v>
      </c>
      <c r="E348" s="35">
        <v>42</v>
      </c>
      <c r="F348">
        <v>56</v>
      </c>
      <c r="G348">
        <v>69</v>
      </c>
      <c r="H348">
        <v>93</v>
      </c>
      <c r="I348">
        <v>285</v>
      </c>
      <c r="J348">
        <v>162</v>
      </c>
      <c r="K348">
        <v>71</v>
      </c>
      <c r="L348">
        <v>47</v>
      </c>
      <c r="M348">
        <v>96</v>
      </c>
      <c r="N348">
        <v>127</v>
      </c>
      <c r="O348">
        <v>83</v>
      </c>
      <c r="P348">
        <v>136</v>
      </c>
      <c r="Q348">
        <v>51</v>
      </c>
      <c r="X348" s="18"/>
      <c r="Y348" s="34">
        <f t="shared" si="15"/>
        <v>94</v>
      </c>
      <c r="Z348">
        <f t="shared" si="16"/>
        <v>50</v>
      </c>
      <c r="AA348">
        <f t="shared" si="14"/>
        <v>61.87</v>
      </c>
    </row>
    <row r="349" spans="1:27" x14ac:dyDescent="0.25">
      <c r="A349">
        <v>35</v>
      </c>
      <c r="B349" s="33"/>
      <c r="C349">
        <v>90</v>
      </c>
      <c r="D349">
        <v>109</v>
      </c>
      <c r="E349" s="35">
        <v>75</v>
      </c>
      <c r="F349">
        <v>49</v>
      </c>
      <c r="G349">
        <v>89</v>
      </c>
      <c r="H349">
        <v>86</v>
      </c>
      <c r="I349">
        <v>162</v>
      </c>
      <c r="J349">
        <v>144</v>
      </c>
      <c r="K349">
        <v>112</v>
      </c>
      <c r="L349">
        <v>124</v>
      </c>
      <c r="M349">
        <v>117</v>
      </c>
      <c r="N349">
        <v>85</v>
      </c>
      <c r="O349">
        <v>126</v>
      </c>
      <c r="P349">
        <v>63</v>
      </c>
      <c r="Q349">
        <v>134</v>
      </c>
      <c r="X349" s="18"/>
      <c r="Y349" s="34">
        <f t="shared" si="15"/>
        <v>104</v>
      </c>
      <c r="Z349">
        <f t="shared" si="16"/>
        <v>69</v>
      </c>
      <c r="AA349">
        <f t="shared" si="14"/>
        <v>30.17</v>
      </c>
    </row>
    <row r="350" spans="1:27" x14ac:dyDescent="0.25">
      <c r="A350">
        <v>82</v>
      </c>
      <c r="B350" s="33"/>
      <c r="C350">
        <v>134</v>
      </c>
      <c r="D350">
        <v>153</v>
      </c>
      <c r="E350" s="35">
        <v>143</v>
      </c>
      <c r="F350">
        <v>76</v>
      </c>
      <c r="G350">
        <v>104</v>
      </c>
      <c r="H350">
        <v>103</v>
      </c>
      <c r="I350">
        <v>161</v>
      </c>
      <c r="J350">
        <v>162</v>
      </c>
      <c r="K350">
        <v>137</v>
      </c>
      <c r="L350">
        <v>137</v>
      </c>
      <c r="M350">
        <v>145</v>
      </c>
      <c r="N350">
        <v>143</v>
      </c>
      <c r="O350">
        <v>164</v>
      </c>
      <c r="P350">
        <v>161</v>
      </c>
      <c r="Q350">
        <v>174</v>
      </c>
      <c r="X350" s="18"/>
      <c r="Y350" s="34">
        <f t="shared" si="15"/>
        <v>140</v>
      </c>
      <c r="Z350">
        <f t="shared" si="16"/>
        <v>58</v>
      </c>
      <c r="AA350">
        <f t="shared" si="14"/>
        <v>25.98</v>
      </c>
    </row>
    <row r="351" spans="1:27" x14ac:dyDescent="0.25">
      <c r="A351">
        <v>101</v>
      </c>
      <c r="B351" s="33"/>
      <c r="C351">
        <v>172</v>
      </c>
      <c r="D351">
        <v>199</v>
      </c>
      <c r="E351" s="35">
        <v>167</v>
      </c>
      <c r="F351">
        <v>139</v>
      </c>
      <c r="G351">
        <v>187</v>
      </c>
      <c r="H351">
        <v>135</v>
      </c>
      <c r="I351">
        <v>165</v>
      </c>
      <c r="J351">
        <v>171</v>
      </c>
      <c r="K351">
        <v>151</v>
      </c>
      <c r="L351">
        <v>155</v>
      </c>
      <c r="M351">
        <v>154</v>
      </c>
      <c r="N351">
        <v>138</v>
      </c>
      <c r="O351">
        <v>180</v>
      </c>
      <c r="P351">
        <v>177</v>
      </c>
      <c r="Q351">
        <v>188</v>
      </c>
      <c r="X351" s="18"/>
      <c r="Y351" s="34">
        <f t="shared" si="15"/>
        <v>165</v>
      </c>
      <c r="Z351">
        <f t="shared" si="16"/>
        <v>64</v>
      </c>
      <c r="AA351">
        <f t="shared" si="14"/>
        <v>18.88</v>
      </c>
    </row>
    <row r="352" spans="1:27" x14ac:dyDescent="0.25">
      <c r="A352">
        <v>38</v>
      </c>
      <c r="B352" s="33"/>
      <c r="C352">
        <v>43</v>
      </c>
      <c r="D352">
        <v>46</v>
      </c>
      <c r="E352" s="35">
        <v>42</v>
      </c>
      <c r="F352">
        <v>95</v>
      </c>
      <c r="G352">
        <v>141</v>
      </c>
      <c r="H352">
        <v>56</v>
      </c>
      <c r="I352">
        <v>54</v>
      </c>
      <c r="J352">
        <v>47</v>
      </c>
      <c r="K352">
        <v>73</v>
      </c>
      <c r="L352">
        <v>46</v>
      </c>
      <c r="M352">
        <v>51</v>
      </c>
      <c r="N352">
        <v>45</v>
      </c>
      <c r="O352">
        <v>41</v>
      </c>
      <c r="P352">
        <v>56</v>
      </c>
      <c r="Q352">
        <v>38</v>
      </c>
      <c r="X352" s="18"/>
      <c r="Y352" s="34">
        <f t="shared" si="15"/>
        <v>58</v>
      </c>
      <c r="Z352">
        <f t="shared" si="16"/>
        <v>20</v>
      </c>
      <c r="AA352">
        <f t="shared" si="14"/>
        <v>26.21</v>
      </c>
    </row>
    <row r="353" spans="1:28" x14ac:dyDescent="0.25">
      <c r="A353">
        <v>68</v>
      </c>
      <c r="B353" s="33"/>
      <c r="C353">
        <v>43</v>
      </c>
      <c r="D353">
        <v>42</v>
      </c>
      <c r="E353" s="35">
        <v>43</v>
      </c>
      <c r="F353">
        <v>54</v>
      </c>
      <c r="G353">
        <v>92</v>
      </c>
      <c r="H353">
        <v>87</v>
      </c>
      <c r="I353">
        <v>183</v>
      </c>
      <c r="J353">
        <v>103</v>
      </c>
      <c r="K353">
        <v>53</v>
      </c>
      <c r="L353">
        <v>61</v>
      </c>
      <c r="M353">
        <v>49</v>
      </c>
      <c r="N353">
        <v>45</v>
      </c>
      <c r="O353">
        <v>41</v>
      </c>
      <c r="P353">
        <v>58</v>
      </c>
      <c r="Q353">
        <v>39</v>
      </c>
      <c r="X353" s="18"/>
      <c r="Y353" s="34">
        <f t="shared" si="15"/>
        <v>66</v>
      </c>
      <c r="Z353">
        <f t="shared" si="16"/>
        <v>2</v>
      </c>
      <c r="AA353">
        <f t="shared" si="14"/>
        <v>36.78</v>
      </c>
    </row>
    <row r="354" spans="1:28" x14ac:dyDescent="0.25">
      <c r="A354">
        <v>81</v>
      </c>
      <c r="B354" s="33"/>
      <c r="C354">
        <v>43</v>
      </c>
      <c r="D354">
        <v>46</v>
      </c>
      <c r="E354" s="35">
        <v>42</v>
      </c>
      <c r="F354">
        <v>95</v>
      </c>
      <c r="G354">
        <v>99</v>
      </c>
      <c r="H354">
        <v>53</v>
      </c>
      <c r="I354">
        <v>51</v>
      </c>
      <c r="J354">
        <v>47</v>
      </c>
      <c r="K354">
        <v>78</v>
      </c>
      <c r="L354">
        <v>60</v>
      </c>
      <c r="M354">
        <v>66</v>
      </c>
      <c r="N354">
        <v>46</v>
      </c>
      <c r="O354">
        <v>42</v>
      </c>
      <c r="P354">
        <v>39</v>
      </c>
      <c r="Q354">
        <v>38</v>
      </c>
      <c r="R354">
        <v>71</v>
      </c>
      <c r="X354" s="18"/>
      <c r="Y354" s="34">
        <f t="shared" si="15"/>
        <v>57</v>
      </c>
      <c r="Z354">
        <f t="shared" si="16"/>
        <v>24</v>
      </c>
      <c r="AA354">
        <f t="shared" si="14"/>
        <v>18.809999999999999</v>
      </c>
      <c r="AB354" cm="1">
        <f t="array" ref="AB354">SUMPRODUCT(--(ABS(R354:R375- A354:A375) &lt;= AC500))/22</f>
        <v>0.54545454545454541</v>
      </c>
    </row>
    <row r="355" spans="1:28" x14ac:dyDescent="0.25">
      <c r="A355">
        <v>22</v>
      </c>
      <c r="B355" s="33"/>
      <c r="C355">
        <v>43</v>
      </c>
      <c r="D355">
        <v>41</v>
      </c>
      <c r="E355" s="35">
        <v>42</v>
      </c>
      <c r="F355">
        <v>69</v>
      </c>
      <c r="G355">
        <v>75</v>
      </c>
      <c r="H355">
        <v>77</v>
      </c>
      <c r="I355">
        <v>71</v>
      </c>
      <c r="J355">
        <v>48</v>
      </c>
      <c r="K355">
        <v>94</v>
      </c>
      <c r="L355">
        <v>78</v>
      </c>
      <c r="M355">
        <v>95</v>
      </c>
      <c r="N355">
        <v>66</v>
      </c>
      <c r="O355">
        <v>43</v>
      </c>
      <c r="P355">
        <v>39</v>
      </c>
      <c r="Q355">
        <v>46</v>
      </c>
      <c r="R355">
        <v>59</v>
      </c>
      <c r="X355" s="18"/>
      <c r="Y355" s="34">
        <f t="shared" si="15"/>
        <v>62</v>
      </c>
      <c r="Z355">
        <f t="shared" si="16"/>
        <v>40</v>
      </c>
      <c r="AA355">
        <f t="shared" si="14"/>
        <v>18.47</v>
      </c>
    </row>
    <row r="356" spans="1:28" x14ac:dyDescent="0.25">
      <c r="A356">
        <v>62</v>
      </c>
      <c r="B356" s="33"/>
      <c r="C356">
        <v>50</v>
      </c>
      <c r="D356">
        <v>49</v>
      </c>
      <c r="E356" s="35">
        <v>47</v>
      </c>
      <c r="F356">
        <v>57</v>
      </c>
      <c r="G356">
        <v>72</v>
      </c>
      <c r="H356">
        <v>78</v>
      </c>
      <c r="I356">
        <v>128</v>
      </c>
      <c r="J356">
        <v>76</v>
      </c>
      <c r="K356">
        <v>129</v>
      </c>
      <c r="L356">
        <v>88</v>
      </c>
      <c r="M356">
        <v>100</v>
      </c>
      <c r="N356">
        <v>132</v>
      </c>
      <c r="O356">
        <v>117</v>
      </c>
      <c r="P356">
        <v>85</v>
      </c>
      <c r="Q356">
        <v>104</v>
      </c>
      <c r="R356">
        <v>61</v>
      </c>
      <c r="X356" s="18"/>
      <c r="Y356" s="34">
        <f t="shared" si="15"/>
        <v>86</v>
      </c>
      <c r="Z356">
        <f t="shared" si="16"/>
        <v>24</v>
      </c>
      <c r="AA356">
        <f t="shared" si="14"/>
        <v>28.75</v>
      </c>
    </row>
    <row r="357" spans="1:28" x14ac:dyDescent="0.25">
      <c r="A357">
        <v>113</v>
      </c>
      <c r="B357" s="33"/>
      <c r="C357">
        <v>167</v>
      </c>
      <c r="D357">
        <v>173</v>
      </c>
      <c r="E357" s="35">
        <v>138</v>
      </c>
      <c r="F357">
        <v>110</v>
      </c>
      <c r="G357">
        <v>119</v>
      </c>
      <c r="H357">
        <v>94</v>
      </c>
      <c r="I357">
        <v>132</v>
      </c>
      <c r="J357">
        <v>102</v>
      </c>
      <c r="K357">
        <v>162</v>
      </c>
      <c r="L357">
        <v>160</v>
      </c>
      <c r="M357">
        <v>145</v>
      </c>
      <c r="N357">
        <v>127</v>
      </c>
      <c r="O357">
        <v>152</v>
      </c>
      <c r="P357">
        <v>152</v>
      </c>
      <c r="Q357">
        <v>164</v>
      </c>
      <c r="R357">
        <v>106</v>
      </c>
      <c r="X357" s="18"/>
      <c r="Y357" s="34">
        <f t="shared" si="15"/>
        <v>138</v>
      </c>
      <c r="Z357">
        <f t="shared" si="16"/>
        <v>25</v>
      </c>
      <c r="AA357">
        <f t="shared" si="14"/>
        <v>24.75</v>
      </c>
    </row>
    <row r="358" spans="1:28" x14ac:dyDescent="0.25">
      <c r="A358">
        <v>156</v>
      </c>
      <c r="B358" s="33"/>
      <c r="C358">
        <v>214</v>
      </c>
      <c r="D358">
        <v>218</v>
      </c>
      <c r="E358" s="35">
        <v>174</v>
      </c>
      <c r="F358">
        <v>185</v>
      </c>
      <c r="G358">
        <v>167</v>
      </c>
      <c r="H358">
        <v>121</v>
      </c>
      <c r="I358">
        <v>165</v>
      </c>
      <c r="J358">
        <v>147</v>
      </c>
      <c r="K358">
        <v>192</v>
      </c>
      <c r="L358">
        <v>230</v>
      </c>
      <c r="M358">
        <v>197</v>
      </c>
      <c r="N358">
        <v>152</v>
      </c>
      <c r="O358">
        <v>115</v>
      </c>
      <c r="P358">
        <v>131</v>
      </c>
      <c r="Q358">
        <v>155</v>
      </c>
      <c r="R358">
        <v>45</v>
      </c>
      <c r="X358" s="18"/>
      <c r="Y358" s="34">
        <f t="shared" si="15"/>
        <v>163</v>
      </c>
      <c r="Z358">
        <f t="shared" si="16"/>
        <v>7</v>
      </c>
      <c r="AA358">
        <f t="shared" si="14"/>
        <v>44.86</v>
      </c>
    </row>
    <row r="359" spans="1:28" x14ac:dyDescent="0.25">
      <c r="A359">
        <v>44</v>
      </c>
      <c r="B359" s="33"/>
      <c r="C359">
        <v>43</v>
      </c>
      <c r="D359">
        <v>50</v>
      </c>
      <c r="E359" s="35">
        <v>66</v>
      </c>
      <c r="F359">
        <v>50</v>
      </c>
      <c r="G359">
        <v>129</v>
      </c>
      <c r="H359">
        <v>75</v>
      </c>
      <c r="I359">
        <v>125</v>
      </c>
      <c r="J359">
        <v>47</v>
      </c>
      <c r="K359">
        <v>51</v>
      </c>
      <c r="L359">
        <v>48</v>
      </c>
      <c r="M359">
        <v>51</v>
      </c>
      <c r="N359">
        <v>47</v>
      </c>
      <c r="O359">
        <v>41</v>
      </c>
      <c r="P359">
        <v>69</v>
      </c>
      <c r="Q359">
        <v>50</v>
      </c>
      <c r="R359">
        <v>47</v>
      </c>
      <c r="X359" s="18"/>
      <c r="Y359" s="34">
        <f t="shared" si="15"/>
        <v>62</v>
      </c>
      <c r="Z359">
        <f t="shared" si="16"/>
        <v>18</v>
      </c>
      <c r="AA359">
        <f t="shared" si="14"/>
        <v>26.27</v>
      </c>
    </row>
    <row r="360" spans="1:28" x14ac:dyDescent="0.25">
      <c r="A360">
        <v>62</v>
      </c>
      <c r="B360" s="33"/>
      <c r="C360">
        <v>45</v>
      </c>
      <c r="D360">
        <v>50</v>
      </c>
      <c r="E360" s="35">
        <v>54</v>
      </c>
      <c r="F360">
        <v>49</v>
      </c>
      <c r="G360">
        <v>100</v>
      </c>
      <c r="H360">
        <v>93</v>
      </c>
      <c r="I360">
        <v>218</v>
      </c>
      <c r="J360">
        <v>106</v>
      </c>
      <c r="K360">
        <v>50</v>
      </c>
      <c r="L360">
        <v>49</v>
      </c>
      <c r="M360">
        <v>51</v>
      </c>
      <c r="N360">
        <v>49</v>
      </c>
      <c r="O360">
        <v>41</v>
      </c>
      <c r="P360">
        <v>83</v>
      </c>
      <c r="Q360">
        <v>55</v>
      </c>
      <c r="R360">
        <v>48</v>
      </c>
      <c r="X360" s="18"/>
      <c r="Y360" s="34">
        <f t="shared" si="15"/>
        <v>71</v>
      </c>
      <c r="Z360">
        <f t="shared" si="16"/>
        <v>9</v>
      </c>
      <c r="AA360">
        <f t="shared" si="14"/>
        <v>43.07</v>
      </c>
    </row>
    <row r="361" spans="1:28" x14ac:dyDescent="0.25">
      <c r="A361">
        <v>40</v>
      </c>
      <c r="B361" s="33"/>
      <c r="C361">
        <v>48</v>
      </c>
      <c r="D361">
        <v>46</v>
      </c>
      <c r="E361" s="35">
        <v>62</v>
      </c>
      <c r="F361">
        <v>51</v>
      </c>
      <c r="G361">
        <v>91</v>
      </c>
      <c r="H361">
        <v>90</v>
      </c>
      <c r="I361">
        <v>199</v>
      </c>
      <c r="J361">
        <v>121</v>
      </c>
      <c r="K361">
        <v>73</v>
      </c>
      <c r="L361">
        <v>67</v>
      </c>
      <c r="M361">
        <v>49</v>
      </c>
      <c r="N361">
        <v>51</v>
      </c>
      <c r="O361">
        <v>41</v>
      </c>
      <c r="P361">
        <v>57</v>
      </c>
      <c r="Q361">
        <v>48</v>
      </c>
      <c r="R361">
        <v>36</v>
      </c>
      <c r="X361" s="18"/>
      <c r="Y361" s="34">
        <f t="shared" si="15"/>
        <v>71</v>
      </c>
      <c r="Z361">
        <f t="shared" si="16"/>
        <v>31</v>
      </c>
      <c r="AA361">
        <f t="shared" si="14"/>
        <v>39.549999999999997</v>
      </c>
    </row>
    <row r="362" spans="1:28" x14ac:dyDescent="0.25">
      <c r="A362">
        <v>57</v>
      </c>
      <c r="B362" s="33"/>
      <c r="C362">
        <v>43</v>
      </c>
      <c r="D362">
        <v>41</v>
      </c>
      <c r="E362" s="35">
        <v>45</v>
      </c>
      <c r="F362">
        <v>89</v>
      </c>
      <c r="G362">
        <v>84</v>
      </c>
      <c r="H362">
        <v>65</v>
      </c>
      <c r="I362">
        <v>51</v>
      </c>
      <c r="J362">
        <v>49</v>
      </c>
      <c r="K362">
        <v>116</v>
      </c>
      <c r="L362">
        <v>94</v>
      </c>
      <c r="M362">
        <v>120</v>
      </c>
      <c r="N362">
        <v>58</v>
      </c>
      <c r="O362">
        <v>45</v>
      </c>
      <c r="P362">
        <v>43</v>
      </c>
      <c r="Q362">
        <v>39</v>
      </c>
      <c r="R362">
        <v>44</v>
      </c>
      <c r="X362" s="18"/>
      <c r="Y362" s="34">
        <f t="shared" si="15"/>
        <v>64</v>
      </c>
      <c r="Z362">
        <f t="shared" si="16"/>
        <v>7</v>
      </c>
      <c r="AA362">
        <f t="shared" si="14"/>
        <v>26.64</v>
      </c>
    </row>
    <row r="363" spans="1:28" x14ac:dyDescent="0.25">
      <c r="A363">
        <v>66</v>
      </c>
      <c r="B363" s="33"/>
      <c r="C363">
        <v>105</v>
      </c>
      <c r="D363">
        <v>111</v>
      </c>
      <c r="E363" s="35">
        <v>68</v>
      </c>
      <c r="F363">
        <v>50</v>
      </c>
      <c r="G363">
        <v>82</v>
      </c>
      <c r="H363">
        <v>85</v>
      </c>
      <c r="I363">
        <v>170</v>
      </c>
      <c r="J363">
        <v>149</v>
      </c>
      <c r="K363">
        <v>108</v>
      </c>
      <c r="L363">
        <v>126</v>
      </c>
      <c r="M363">
        <v>131</v>
      </c>
      <c r="N363">
        <v>93</v>
      </c>
      <c r="O363">
        <v>140</v>
      </c>
      <c r="P363">
        <v>92</v>
      </c>
      <c r="Q363">
        <v>135</v>
      </c>
      <c r="R363">
        <v>69</v>
      </c>
      <c r="X363" s="18"/>
      <c r="Y363" s="34">
        <f t="shared" si="15"/>
        <v>107</v>
      </c>
      <c r="Z363">
        <f t="shared" si="16"/>
        <v>41</v>
      </c>
      <c r="AA363">
        <f t="shared" si="14"/>
        <v>31.93</v>
      </c>
    </row>
    <row r="364" spans="1:28" x14ac:dyDescent="0.25">
      <c r="A364">
        <v>142</v>
      </c>
      <c r="B364" s="33"/>
      <c r="C364">
        <v>117</v>
      </c>
      <c r="D364">
        <v>146</v>
      </c>
      <c r="E364" s="35">
        <v>66</v>
      </c>
      <c r="F364">
        <v>53</v>
      </c>
      <c r="G364">
        <v>90</v>
      </c>
      <c r="H364">
        <v>86</v>
      </c>
      <c r="I364">
        <v>163</v>
      </c>
      <c r="J364">
        <v>132</v>
      </c>
      <c r="K364">
        <v>72</v>
      </c>
      <c r="L364">
        <v>75</v>
      </c>
      <c r="M364">
        <v>87</v>
      </c>
      <c r="N364">
        <v>94</v>
      </c>
      <c r="O364">
        <v>122</v>
      </c>
      <c r="P364">
        <v>138</v>
      </c>
      <c r="Q364">
        <v>115</v>
      </c>
      <c r="R364">
        <v>118</v>
      </c>
      <c r="X364" s="18"/>
      <c r="Y364" s="34">
        <f t="shared" si="15"/>
        <v>105</v>
      </c>
      <c r="Z364">
        <f t="shared" si="16"/>
        <v>37</v>
      </c>
      <c r="AA364">
        <f t="shared" si="14"/>
        <v>30.42</v>
      </c>
    </row>
    <row r="365" spans="1:28" x14ac:dyDescent="0.25">
      <c r="A365">
        <v>149</v>
      </c>
      <c r="B365" s="33"/>
      <c r="C365">
        <v>206</v>
      </c>
      <c r="D365">
        <v>199</v>
      </c>
      <c r="E365" s="35">
        <v>172</v>
      </c>
      <c r="F365">
        <v>216</v>
      </c>
      <c r="G365">
        <v>239</v>
      </c>
      <c r="H365">
        <v>216</v>
      </c>
      <c r="I365">
        <v>181</v>
      </c>
      <c r="J365">
        <v>187</v>
      </c>
      <c r="K365">
        <v>169</v>
      </c>
      <c r="L365">
        <v>212</v>
      </c>
      <c r="M365">
        <v>189</v>
      </c>
      <c r="N365">
        <v>152</v>
      </c>
      <c r="O365">
        <v>125</v>
      </c>
      <c r="P365">
        <v>146</v>
      </c>
      <c r="Q365">
        <v>167</v>
      </c>
      <c r="R365">
        <v>43</v>
      </c>
      <c r="X365" s="18"/>
      <c r="Y365" s="34">
        <f t="shared" si="15"/>
        <v>176</v>
      </c>
      <c r="Z365">
        <f t="shared" si="16"/>
        <v>27</v>
      </c>
      <c r="AA365">
        <f t="shared" si="14"/>
        <v>44.81</v>
      </c>
    </row>
    <row r="366" spans="1:28" x14ac:dyDescent="0.25">
      <c r="A366">
        <v>29</v>
      </c>
      <c r="B366" s="33"/>
      <c r="C366">
        <v>43</v>
      </c>
      <c r="D366">
        <v>53</v>
      </c>
      <c r="E366" s="35">
        <v>42</v>
      </c>
      <c r="F366">
        <v>46</v>
      </c>
      <c r="G366">
        <v>80</v>
      </c>
      <c r="H366">
        <v>81</v>
      </c>
      <c r="I366">
        <v>112</v>
      </c>
      <c r="J366">
        <v>50</v>
      </c>
      <c r="K366">
        <v>41</v>
      </c>
      <c r="L366">
        <v>50</v>
      </c>
      <c r="M366">
        <v>83</v>
      </c>
      <c r="N366">
        <v>47</v>
      </c>
      <c r="O366">
        <v>42</v>
      </c>
      <c r="P366">
        <v>60</v>
      </c>
      <c r="Q366">
        <v>39</v>
      </c>
      <c r="R366">
        <v>43</v>
      </c>
      <c r="X366" s="18"/>
      <c r="Y366" s="34">
        <f t="shared" si="15"/>
        <v>57</v>
      </c>
      <c r="Z366">
        <f t="shared" si="16"/>
        <v>28</v>
      </c>
      <c r="AA366">
        <f t="shared" ref="AA366:AA429" si="17">ROUND(_xlfn.STDEV.P(C366:X366),2)</f>
        <v>20.27</v>
      </c>
    </row>
    <row r="367" spans="1:28" x14ac:dyDescent="0.25">
      <c r="A367">
        <v>47</v>
      </c>
      <c r="B367" s="33"/>
      <c r="C367">
        <v>43</v>
      </c>
      <c r="D367">
        <v>48</v>
      </c>
      <c r="E367" s="35">
        <v>42</v>
      </c>
      <c r="F367">
        <v>48</v>
      </c>
      <c r="G367">
        <v>71</v>
      </c>
      <c r="H367">
        <v>97</v>
      </c>
      <c r="I367">
        <v>148</v>
      </c>
      <c r="J367">
        <v>62</v>
      </c>
      <c r="K367">
        <v>66</v>
      </c>
      <c r="L367">
        <v>72</v>
      </c>
      <c r="M367">
        <v>83</v>
      </c>
      <c r="N367">
        <v>75</v>
      </c>
      <c r="O367">
        <v>50</v>
      </c>
      <c r="P367">
        <v>80</v>
      </c>
      <c r="Q367">
        <v>43</v>
      </c>
      <c r="R367">
        <v>44</v>
      </c>
      <c r="X367" s="18"/>
      <c r="Y367" s="34">
        <f t="shared" si="15"/>
        <v>67</v>
      </c>
      <c r="Z367">
        <f t="shared" si="16"/>
        <v>20</v>
      </c>
      <c r="AA367">
        <f t="shared" si="17"/>
        <v>26.62</v>
      </c>
    </row>
    <row r="368" spans="1:28" x14ac:dyDescent="0.25">
      <c r="A368">
        <v>94</v>
      </c>
      <c r="B368" s="33"/>
      <c r="C368">
        <v>51</v>
      </c>
      <c r="D368">
        <v>41</v>
      </c>
      <c r="E368" s="35">
        <v>42</v>
      </c>
      <c r="F368">
        <v>62</v>
      </c>
      <c r="G368">
        <v>84</v>
      </c>
      <c r="H368">
        <v>71</v>
      </c>
      <c r="I368">
        <v>53</v>
      </c>
      <c r="J368">
        <v>49</v>
      </c>
      <c r="K368">
        <v>52</v>
      </c>
      <c r="L368">
        <v>67</v>
      </c>
      <c r="M368">
        <v>74</v>
      </c>
      <c r="N368">
        <v>83</v>
      </c>
      <c r="O368">
        <v>47</v>
      </c>
      <c r="P368">
        <v>67</v>
      </c>
      <c r="Q368">
        <v>53</v>
      </c>
      <c r="R368">
        <v>52</v>
      </c>
      <c r="X368" s="18"/>
      <c r="Y368" s="34">
        <f t="shared" si="15"/>
        <v>59</v>
      </c>
      <c r="Z368">
        <f t="shared" si="16"/>
        <v>35</v>
      </c>
      <c r="AA368">
        <f t="shared" si="17"/>
        <v>13.22</v>
      </c>
    </row>
    <row r="369" spans="1:28" x14ac:dyDescent="0.25">
      <c r="A369">
        <v>114</v>
      </c>
      <c r="B369" s="33"/>
      <c r="C369">
        <v>47</v>
      </c>
      <c r="D369">
        <v>41</v>
      </c>
      <c r="E369" s="35">
        <v>61</v>
      </c>
      <c r="F369">
        <v>71</v>
      </c>
      <c r="G369">
        <v>77</v>
      </c>
      <c r="H369">
        <v>73</v>
      </c>
      <c r="I369">
        <v>79</v>
      </c>
      <c r="J369">
        <v>53</v>
      </c>
      <c r="K369">
        <v>86</v>
      </c>
      <c r="L369">
        <v>89</v>
      </c>
      <c r="M369">
        <v>92</v>
      </c>
      <c r="N369">
        <v>107</v>
      </c>
      <c r="O369">
        <v>65</v>
      </c>
      <c r="P369">
        <v>106</v>
      </c>
      <c r="Q369">
        <v>65</v>
      </c>
      <c r="R369">
        <v>61</v>
      </c>
      <c r="X369" s="18"/>
      <c r="Y369" s="34">
        <f t="shared" si="15"/>
        <v>73</v>
      </c>
      <c r="Z369">
        <f t="shared" si="16"/>
        <v>41</v>
      </c>
      <c r="AA369">
        <f t="shared" si="17"/>
        <v>18.71</v>
      </c>
    </row>
    <row r="370" spans="1:28" x14ac:dyDescent="0.25">
      <c r="A370">
        <v>86</v>
      </c>
      <c r="B370" s="33"/>
      <c r="C370">
        <v>53</v>
      </c>
      <c r="D370">
        <v>89</v>
      </c>
      <c r="E370" s="35">
        <v>77</v>
      </c>
      <c r="F370">
        <v>94</v>
      </c>
      <c r="G370">
        <v>122</v>
      </c>
      <c r="H370">
        <v>96</v>
      </c>
      <c r="I370">
        <v>128</v>
      </c>
      <c r="J370">
        <v>88</v>
      </c>
      <c r="K370">
        <v>144</v>
      </c>
      <c r="L370">
        <v>125</v>
      </c>
      <c r="M370">
        <v>111</v>
      </c>
      <c r="N370">
        <v>112</v>
      </c>
      <c r="O370">
        <v>80</v>
      </c>
      <c r="P370">
        <v>105</v>
      </c>
      <c r="Q370">
        <v>82</v>
      </c>
      <c r="R370">
        <v>41</v>
      </c>
      <c r="X370" s="18"/>
      <c r="Y370" s="34">
        <f t="shared" si="15"/>
        <v>97</v>
      </c>
      <c r="Z370">
        <f t="shared" si="16"/>
        <v>11</v>
      </c>
      <c r="AA370">
        <f t="shared" si="17"/>
        <v>26.46</v>
      </c>
    </row>
    <row r="371" spans="1:28" x14ac:dyDescent="0.25">
      <c r="A371">
        <v>139</v>
      </c>
      <c r="B371" s="33"/>
      <c r="C371">
        <v>140</v>
      </c>
      <c r="D371">
        <v>161</v>
      </c>
      <c r="E371" s="35">
        <v>148</v>
      </c>
      <c r="F371">
        <v>62</v>
      </c>
      <c r="G371">
        <v>113</v>
      </c>
      <c r="H371">
        <v>98</v>
      </c>
      <c r="I371">
        <v>159</v>
      </c>
      <c r="J371">
        <v>152</v>
      </c>
      <c r="K371">
        <v>133</v>
      </c>
      <c r="L371">
        <v>134</v>
      </c>
      <c r="M371">
        <v>133</v>
      </c>
      <c r="N371">
        <v>123</v>
      </c>
      <c r="O371">
        <v>154</v>
      </c>
      <c r="P371">
        <v>158</v>
      </c>
      <c r="Q371">
        <v>168</v>
      </c>
      <c r="R371">
        <v>114</v>
      </c>
      <c r="X371" s="18"/>
      <c r="Y371" s="34">
        <f t="shared" si="15"/>
        <v>134</v>
      </c>
      <c r="Z371">
        <f t="shared" si="16"/>
        <v>5</v>
      </c>
      <c r="AA371">
        <f t="shared" si="17"/>
        <v>26.79</v>
      </c>
    </row>
    <row r="372" spans="1:28" x14ac:dyDescent="0.25">
      <c r="A372">
        <v>181</v>
      </c>
      <c r="B372" s="33"/>
      <c r="C372">
        <v>162</v>
      </c>
      <c r="D372">
        <v>196</v>
      </c>
      <c r="E372" s="35">
        <v>174</v>
      </c>
      <c r="F372">
        <v>122</v>
      </c>
      <c r="G372">
        <v>171</v>
      </c>
      <c r="H372">
        <v>128</v>
      </c>
      <c r="I372">
        <v>172</v>
      </c>
      <c r="J372">
        <v>175</v>
      </c>
      <c r="K372">
        <v>147</v>
      </c>
      <c r="L372">
        <v>150</v>
      </c>
      <c r="M372">
        <v>150</v>
      </c>
      <c r="N372">
        <v>128</v>
      </c>
      <c r="O372">
        <v>175</v>
      </c>
      <c r="P372">
        <v>179</v>
      </c>
      <c r="Q372">
        <v>186</v>
      </c>
      <c r="R372">
        <v>109</v>
      </c>
      <c r="X372" s="18"/>
      <c r="Y372" s="34">
        <f t="shared" si="15"/>
        <v>158</v>
      </c>
      <c r="Z372">
        <f t="shared" si="16"/>
        <v>23</v>
      </c>
      <c r="AA372">
        <f t="shared" si="17"/>
        <v>24.53</v>
      </c>
    </row>
    <row r="373" spans="1:28" x14ac:dyDescent="0.25">
      <c r="A373">
        <v>50</v>
      </c>
      <c r="B373" s="33"/>
      <c r="C373">
        <v>43</v>
      </c>
      <c r="D373">
        <v>41</v>
      </c>
      <c r="E373" s="35">
        <v>42</v>
      </c>
      <c r="F373">
        <v>81</v>
      </c>
      <c r="G373">
        <v>134</v>
      </c>
      <c r="H373">
        <v>59</v>
      </c>
      <c r="I373">
        <v>52</v>
      </c>
      <c r="J373">
        <v>46</v>
      </c>
      <c r="K373">
        <v>58</v>
      </c>
      <c r="L373">
        <v>46</v>
      </c>
      <c r="M373">
        <v>50</v>
      </c>
      <c r="N373">
        <v>47</v>
      </c>
      <c r="O373">
        <v>42</v>
      </c>
      <c r="P373">
        <v>77</v>
      </c>
      <c r="Q373">
        <v>47</v>
      </c>
      <c r="R373">
        <v>43</v>
      </c>
      <c r="X373" s="18"/>
      <c r="Y373" s="34">
        <f t="shared" si="15"/>
        <v>57</v>
      </c>
      <c r="Z373">
        <f t="shared" si="16"/>
        <v>7</v>
      </c>
      <c r="AA373">
        <f t="shared" si="17"/>
        <v>23.08</v>
      </c>
    </row>
    <row r="374" spans="1:28" x14ac:dyDescent="0.25">
      <c r="A374">
        <v>70</v>
      </c>
      <c r="B374" s="33"/>
      <c r="C374">
        <v>54</v>
      </c>
      <c r="D374">
        <v>44</v>
      </c>
      <c r="E374" s="35">
        <v>54</v>
      </c>
      <c r="F374">
        <v>49</v>
      </c>
      <c r="G374">
        <v>98</v>
      </c>
      <c r="H374">
        <v>88</v>
      </c>
      <c r="I374">
        <v>214</v>
      </c>
      <c r="J374">
        <v>76</v>
      </c>
      <c r="K374">
        <v>49</v>
      </c>
      <c r="L374">
        <v>48</v>
      </c>
      <c r="M374">
        <v>61</v>
      </c>
      <c r="N374">
        <v>49</v>
      </c>
      <c r="O374">
        <v>41</v>
      </c>
      <c r="P374">
        <v>111</v>
      </c>
      <c r="Q374">
        <v>78</v>
      </c>
      <c r="R374">
        <v>60</v>
      </c>
      <c r="X374" s="18"/>
      <c r="Y374" s="34">
        <f t="shared" si="15"/>
        <v>73</v>
      </c>
      <c r="Z374">
        <f t="shared" si="16"/>
        <v>3</v>
      </c>
      <c r="AA374">
        <f t="shared" si="17"/>
        <v>41.43</v>
      </c>
    </row>
    <row r="375" spans="1:28" x14ac:dyDescent="0.25">
      <c r="A375">
        <v>77</v>
      </c>
      <c r="B375" s="33"/>
      <c r="C375">
        <v>95</v>
      </c>
      <c r="D375">
        <v>94</v>
      </c>
      <c r="E375" s="35">
        <v>49</v>
      </c>
      <c r="F375">
        <v>46</v>
      </c>
      <c r="G375">
        <v>73</v>
      </c>
      <c r="H375">
        <v>84</v>
      </c>
      <c r="I375">
        <v>175</v>
      </c>
      <c r="J375">
        <v>116</v>
      </c>
      <c r="K375">
        <v>60</v>
      </c>
      <c r="L375">
        <v>44</v>
      </c>
      <c r="M375">
        <v>71</v>
      </c>
      <c r="N375">
        <v>77</v>
      </c>
      <c r="O375">
        <v>133</v>
      </c>
      <c r="P375">
        <v>146</v>
      </c>
      <c r="Q375">
        <v>68</v>
      </c>
      <c r="R375">
        <v>56</v>
      </c>
      <c r="X375" s="18"/>
      <c r="Y375" s="34">
        <f t="shared" si="15"/>
        <v>87</v>
      </c>
      <c r="Z375">
        <f t="shared" si="16"/>
        <v>10</v>
      </c>
      <c r="AA375">
        <f t="shared" si="17"/>
        <v>36.979999999999997</v>
      </c>
    </row>
    <row r="376" spans="1:28" x14ac:dyDescent="0.25">
      <c r="A376">
        <v>59</v>
      </c>
      <c r="B376" s="33"/>
      <c r="C376">
        <v>51</v>
      </c>
      <c r="D376">
        <v>41</v>
      </c>
      <c r="E376" s="35">
        <v>56</v>
      </c>
      <c r="F376">
        <v>74</v>
      </c>
      <c r="G376">
        <v>81</v>
      </c>
      <c r="H376">
        <v>71</v>
      </c>
      <c r="I376">
        <v>77</v>
      </c>
      <c r="J376">
        <v>49</v>
      </c>
      <c r="K376">
        <v>94</v>
      </c>
      <c r="L376">
        <v>98</v>
      </c>
      <c r="M376">
        <v>112</v>
      </c>
      <c r="N376">
        <v>74</v>
      </c>
      <c r="O376">
        <v>54</v>
      </c>
      <c r="P376">
        <v>53</v>
      </c>
      <c r="Q376">
        <v>47</v>
      </c>
      <c r="R376">
        <v>38</v>
      </c>
      <c r="S376">
        <v>71</v>
      </c>
      <c r="X376" s="18"/>
      <c r="Y376" s="34">
        <f t="shared" si="15"/>
        <v>67</v>
      </c>
      <c r="Z376">
        <f t="shared" si="16"/>
        <v>8</v>
      </c>
      <c r="AA376">
        <f t="shared" si="17"/>
        <v>20.47</v>
      </c>
      <c r="AB376" cm="1">
        <f t="array" ref="AB376">SUMPRODUCT(--(ABS(S376:S397- A376:A397) &lt;= AC500))/22</f>
        <v>0.40909090909090912</v>
      </c>
    </row>
    <row r="377" spans="1:28" x14ac:dyDescent="0.25">
      <c r="A377">
        <v>56</v>
      </c>
      <c r="B377" s="33"/>
      <c r="C377">
        <v>98</v>
      </c>
      <c r="D377">
        <v>117</v>
      </c>
      <c r="E377" s="35">
        <v>96</v>
      </c>
      <c r="F377">
        <v>70</v>
      </c>
      <c r="G377">
        <v>116</v>
      </c>
      <c r="H377">
        <v>98</v>
      </c>
      <c r="I377">
        <v>142</v>
      </c>
      <c r="J377">
        <v>139</v>
      </c>
      <c r="K377">
        <v>135</v>
      </c>
      <c r="L377">
        <v>139</v>
      </c>
      <c r="M377">
        <v>118</v>
      </c>
      <c r="N377">
        <v>92</v>
      </c>
      <c r="O377">
        <v>144</v>
      </c>
      <c r="P377">
        <v>116</v>
      </c>
      <c r="Q377">
        <v>138</v>
      </c>
      <c r="R377">
        <v>53</v>
      </c>
      <c r="S377">
        <v>54</v>
      </c>
      <c r="X377" s="18"/>
      <c r="Y377" s="34">
        <f t="shared" si="15"/>
        <v>110</v>
      </c>
      <c r="Z377">
        <f t="shared" si="16"/>
        <v>54</v>
      </c>
      <c r="AA377">
        <f t="shared" si="17"/>
        <v>28.95</v>
      </c>
    </row>
    <row r="378" spans="1:28" x14ac:dyDescent="0.25">
      <c r="A378">
        <v>103</v>
      </c>
      <c r="B378" s="33"/>
      <c r="C378">
        <v>149</v>
      </c>
      <c r="D378">
        <v>172</v>
      </c>
      <c r="E378" s="35">
        <v>161</v>
      </c>
      <c r="F378">
        <v>178</v>
      </c>
      <c r="G378">
        <v>173</v>
      </c>
      <c r="H378">
        <v>156</v>
      </c>
      <c r="I378">
        <v>156</v>
      </c>
      <c r="J378">
        <v>161</v>
      </c>
      <c r="K378">
        <v>153</v>
      </c>
      <c r="L378">
        <v>181</v>
      </c>
      <c r="M378">
        <v>166</v>
      </c>
      <c r="N378">
        <v>138</v>
      </c>
      <c r="O378">
        <v>91</v>
      </c>
      <c r="P378">
        <v>116</v>
      </c>
      <c r="Q378">
        <v>119</v>
      </c>
      <c r="R378">
        <v>42</v>
      </c>
      <c r="S378">
        <v>120</v>
      </c>
      <c r="X378" s="18"/>
      <c r="Y378" s="34">
        <f t="shared" si="15"/>
        <v>143</v>
      </c>
      <c r="Z378">
        <f t="shared" si="16"/>
        <v>40</v>
      </c>
      <c r="AA378">
        <f t="shared" si="17"/>
        <v>35</v>
      </c>
    </row>
    <row r="379" spans="1:28" x14ac:dyDescent="0.25">
      <c r="A379">
        <v>168</v>
      </c>
      <c r="B379" s="33"/>
      <c r="C379">
        <v>157</v>
      </c>
      <c r="D379">
        <v>189</v>
      </c>
      <c r="E379" s="35">
        <v>182</v>
      </c>
      <c r="F379">
        <v>110</v>
      </c>
      <c r="G379">
        <v>144</v>
      </c>
      <c r="H379">
        <v>117</v>
      </c>
      <c r="I379">
        <v>185</v>
      </c>
      <c r="J379">
        <v>175</v>
      </c>
      <c r="K379">
        <v>137</v>
      </c>
      <c r="L379">
        <v>135</v>
      </c>
      <c r="M379">
        <v>135</v>
      </c>
      <c r="N379">
        <v>118</v>
      </c>
      <c r="O379">
        <v>172</v>
      </c>
      <c r="P379">
        <v>178</v>
      </c>
      <c r="Q379">
        <v>181</v>
      </c>
      <c r="R379">
        <v>110</v>
      </c>
      <c r="S379">
        <v>183</v>
      </c>
      <c r="X379" s="18"/>
      <c r="Y379" s="34">
        <f t="shared" si="15"/>
        <v>153</v>
      </c>
      <c r="Z379">
        <f t="shared" si="16"/>
        <v>15</v>
      </c>
      <c r="AA379">
        <f t="shared" si="17"/>
        <v>28.21</v>
      </c>
    </row>
    <row r="380" spans="1:28" x14ac:dyDescent="0.25">
      <c r="A380">
        <v>51</v>
      </c>
      <c r="B380" s="33"/>
      <c r="C380">
        <v>43</v>
      </c>
      <c r="D380">
        <v>45</v>
      </c>
      <c r="E380" s="35">
        <v>42</v>
      </c>
      <c r="F380">
        <v>54</v>
      </c>
      <c r="G380">
        <v>85</v>
      </c>
      <c r="H380">
        <v>102</v>
      </c>
      <c r="I380">
        <v>190</v>
      </c>
      <c r="J380">
        <v>85</v>
      </c>
      <c r="K380">
        <v>46</v>
      </c>
      <c r="L380">
        <v>49</v>
      </c>
      <c r="M380">
        <v>58</v>
      </c>
      <c r="N380">
        <v>47</v>
      </c>
      <c r="O380">
        <v>41</v>
      </c>
      <c r="P380">
        <v>72</v>
      </c>
      <c r="Q380">
        <v>45</v>
      </c>
      <c r="R380">
        <v>38</v>
      </c>
      <c r="S380">
        <v>43</v>
      </c>
      <c r="X380" s="18"/>
      <c r="Y380" s="34">
        <f t="shared" si="15"/>
        <v>64</v>
      </c>
      <c r="Z380">
        <f t="shared" si="16"/>
        <v>13</v>
      </c>
      <c r="AA380">
        <f t="shared" si="17"/>
        <v>36.409999999999997</v>
      </c>
    </row>
    <row r="381" spans="1:28" x14ac:dyDescent="0.25">
      <c r="A381">
        <v>107</v>
      </c>
      <c r="B381" s="33"/>
      <c r="C381">
        <v>54</v>
      </c>
      <c r="D381">
        <v>66</v>
      </c>
      <c r="E381" s="35">
        <v>44</v>
      </c>
      <c r="F381">
        <v>71</v>
      </c>
      <c r="G381">
        <v>119</v>
      </c>
      <c r="H381">
        <v>64</v>
      </c>
      <c r="I381">
        <v>53</v>
      </c>
      <c r="J381">
        <v>47</v>
      </c>
      <c r="K381">
        <v>49</v>
      </c>
      <c r="L381">
        <v>42</v>
      </c>
      <c r="M381">
        <v>49</v>
      </c>
      <c r="N381">
        <v>46</v>
      </c>
      <c r="O381">
        <v>41</v>
      </c>
      <c r="P381">
        <v>52</v>
      </c>
      <c r="Q381">
        <v>38</v>
      </c>
      <c r="R381">
        <v>39</v>
      </c>
      <c r="S381">
        <v>40</v>
      </c>
      <c r="X381" s="18"/>
      <c r="Y381" s="34">
        <f t="shared" si="15"/>
        <v>54</v>
      </c>
      <c r="Z381">
        <f t="shared" si="16"/>
        <v>53</v>
      </c>
      <c r="AA381">
        <f t="shared" si="17"/>
        <v>18.809999999999999</v>
      </c>
    </row>
    <row r="382" spans="1:28" x14ac:dyDescent="0.25">
      <c r="A382">
        <v>52</v>
      </c>
      <c r="B382" s="33"/>
      <c r="C382">
        <v>59</v>
      </c>
      <c r="D382">
        <v>41</v>
      </c>
      <c r="E382" s="35">
        <v>59</v>
      </c>
      <c r="F382">
        <v>70</v>
      </c>
      <c r="G382">
        <v>80</v>
      </c>
      <c r="H382">
        <v>63</v>
      </c>
      <c r="I382">
        <v>50</v>
      </c>
      <c r="J382">
        <v>48</v>
      </c>
      <c r="K382">
        <v>53</v>
      </c>
      <c r="L382">
        <v>65</v>
      </c>
      <c r="M382">
        <v>76</v>
      </c>
      <c r="N382">
        <v>67</v>
      </c>
      <c r="O382">
        <v>46</v>
      </c>
      <c r="P382">
        <v>91</v>
      </c>
      <c r="Q382">
        <v>65</v>
      </c>
      <c r="R382">
        <v>60</v>
      </c>
      <c r="S382">
        <v>103</v>
      </c>
      <c r="X382" s="18"/>
      <c r="Y382" s="34">
        <f t="shared" si="15"/>
        <v>64</v>
      </c>
      <c r="Z382">
        <f t="shared" si="16"/>
        <v>12</v>
      </c>
      <c r="AA382">
        <f t="shared" si="17"/>
        <v>15.69</v>
      </c>
    </row>
    <row r="383" spans="1:28" x14ac:dyDescent="0.25">
      <c r="A383">
        <v>43</v>
      </c>
      <c r="B383" s="33"/>
      <c r="C383">
        <v>54</v>
      </c>
      <c r="D383">
        <v>76</v>
      </c>
      <c r="E383" s="35">
        <v>75</v>
      </c>
      <c r="F383">
        <v>52</v>
      </c>
      <c r="G383">
        <v>93</v>
      </c>
      <c r="H383">
        <v>88</v>
      </c>
      <c r="I383">
        <v>167</v>
      </c>
      <c r="J383">
        <v>139</v>
      </c>
      <c r="K383">
        <v>112</v>
      </c>
      <c r="L383">
        <v>121</v>
      </c>
      <c r="M383">
        <v>97</v>
      </c>
      <c r="N383">
        <v>83</v>
      </c>
      <c r="O383">
        <v>52</v>
      </c>
      <c r="P383">
        <v>50</v>
      </c>
      <c r="Q383">
        <v>59</v>
      </c>
      <c r="R383">
        <v>36</v>
      </c>
      <c r="S383">
        <v>46</v>
      </c>
      <c r="X383" s="18"/>
      <c r="Y383" s="34">
        <f t="shared" si="15"/>
        <v>82</v>
      </c>
      <c r="Z383">
        <f t="shared" si="16"/>
        <v>39</v>
      </c>
      <c r="AA383">
        <f t="shared" si="17"/>
        <v>35.07</v>
      </c>
    </row>
    <row r="384" spans="1:28" x14ac:dyDescent="0.25">
      <c r="A384">
        <v>53</v>
      </c>
      <c r="B384" s="33"/>
      <c r="C384">
        <v>81</v>
      </c>
      <c r="D384">
        <v>111</v>
      </c>
      <c r="E384" s="35">
        <v>51</v>
      </c>
      <c r="F384">
        <v>49</v>
      </c>
      <c r="G384">
        <v>77</v>
      </c>
      <c r="H384">
        <v>83</v>
      </c>
      <c r="I384">
        <v>187</v>
      </c>
      <c r="J384">
        <v>145</v>
      </c>
      <c r="K384">
        <v>90</v>
      </c>
      <c r="L384">
        <v>105</v>
      </c>
      <c r="M384">
        <v>107</v>
      </c>
      <c r="N384">
        <v>81</v>
      </c>
      <c r="O384">
        <v>132</v>
      </c>
      <c r="P384">
        <v>106</v>
      </c>
      <c r="Q384">
        <v>96</v>
      </c>
      <c r="R384">
        <v>68</v>
      </c>
      <c r="S384">
        <v>53</v>
      </c>
      <c r="X384" s="18"/>
      <c r="Y384" s="34">
        <f t="shared" si="15"/>
        <v>95</v>
      </c>
      <c r="Z384">
        <f t="shared" si="16"/>
        <v>42</v>
      </c>
      <c r="AA384">
        <f t="shared" si="17"/>
        <v>34.630000000000003</v>
      </c>
    </row>
    <row r="385" spans="1:28" x14ac:dyDescent="0.25">
      <c r="A385">
        <v>186</v>
      </c>
      <c r="B385" s="33"/>
      <c r="C385">
        <v>144</v>
      </c>
      <c r="D385">
        <v>154</v>
      </c>
      <c r="E385" s="35">
        <v>149</v>
      </c>
      <c r="F385">
        <v>124</v>
      </c>
      <c r="G385">
        <v>115</v>
      </c>
      <c r="H385">
        <v>100</v>
      </c>
      <c r="I385">
        <v>104</v>
      </c>
      <c r="J385">
        <v>63</v>
      </c>
      <c r="K385">
        <v>172</v>
      </c>
      <c r="L385">
        <v>199</v>
      </c>
      <c r="M385">
        <v>173</v>
      </c>
      <c r="N385">
        <v>140</v>
      </c>
      <c r="O385">
        <v>86</v>
      </c>
      <c r="P385">
        <v>103</v>
      </c>
      <c r="Q385">
        <v>86</v>
      </c>
      <c r="R385">
        <v>45</v>
      </c>
      <c r="S385">
        <v>142</v>
      </c>
      <c r="X385" s="18"/>
      <c r="Y385" s="34">
        <f t="shared" si="15"/>
        <v>123</v>
      </c>
      <c r="Z385">
        <f t="shared" si="16"/>
        <v>63</v>
      </c>
      <c r="AA385">
        <f t="shared" si="17"/>
        <v>39.979999999999997</v>
      </c>
    </row>
    <row r="386" spans="1:28" x14ac:dyDescent="0.25">
      <c r="A386">
        <v>228</v>
      </c>
      <c r="B386" s="33"/>
      <c r="C386">
        <v>161</v>
      </c>
      <c r="D386">
        <v>178</v>
      </c>
      <c r="E386" s="35">
        <v>172</v>
      </c>
      <c r="F386">
        <v>138</v>
      </c>
      <c r="G386">
        <v>175</v>
      </c>
      <c r="H386">
        <v>128</v>
      </c>
      <c r="I386">
        <v>167</v>
      </c>
      <c r="J386">
        <v>175</v>
      </c>
      <c r="K386">
        <v>149</v>
      </c>
      <c r="L386">
        <v>153</v>
      </c>
      <c r="M386">
        <v>148</v>
      </c>
      <c r="N386">
        <v>114</v>
      </c>
      <c r="O386">
        <v>175</v>
      </c>
      <c r="P386">
        <v>180</v>
      </c>
      <c r="Q386">
        <v>187</v>
      </c>
      <c r="R386">
        <v>135</v>
      </c>
      <c r="S386">
        <v>194</v>
      </c>
      <c r="X386" s="18"/>
      <c r="Y386" s="34">
        <f t="shared" si="15"/>
        <v>161</v>
      </c>
      <c r="Z386">
        <f t="shared" si="16"/>
        <v>67</v>
      </c>
      <c r="AA386">
        <f t="shared" si="17"/>
        <v>21.74</v>
      </c>
    </row>
    <row r="387" spans="1:28" x14ac:dyDescent="0.25">
      <c r="A387">
        <v>166</v>
      </c>
      <c r="B387" s="33"/>
      <c r="C387">
        <v>117</v>
      </c>
      <c r="D387">
        <v>122</v>
      </c>
      <c r="E387" s="35">
        <v>42</v>
      </c>
      <c r="F387">
        <v>88</v>
      </c>
      <c r="G387">
        <v>137</v>
      </c>
      <c r="H387">
        <v>65</v>
      </c>
      <c r="I387">
        <v>52</v>
      </c>
      <c r="J387">
        <v>46</v>
      </c>
      <c r="K387">
        <v>43</v>
      </c>
      <c r="L387">
        <v>42</v>
      </c>
      <c r="M387">
        <v>51</v>
      </c>
      <c r="N387">
        <v>46</v>
      </c>
      <c r="O387">
        <v>41</v>
      </c>
      <c r="P387">
        <v>80</v>
      </c>
      <c r="Q387">
        <v>58</v>
      </c>
      <c r="R387">
        <v>52</v>
      </c>
      <c r="S387">
        <v>44</v>
      </c>
      <c r="X387" s="18"/>
      <c r="Y387" s="34">
        <f t="shared" si="15"/>
        <v>66</v>
      </c>
      <c r="Z387">
        <f t="shared" si="16"/>
        <v>100</v>
      </c>
      <c r="AA387">
        <f t="shared" si="17"/>
        <v>30.42</v>
      </c>
    </row>
    <row r="388" spans="1:28" x14ac:dyDescent="0.25">
      <c r="A388">
        <v>54</v>
      </c>
      <c r="B388" s="33"/>
      <c r="C388">
        <v>56</v>
      </c>
      <c r="D388">
        <v>43</v>
      </c>
      <c r="E388" s="35">
        <v>52</v>
      </c>
      <c r="F388">
        <v>63</v>
      </c>
      <c r="G388">
        <v>87</v>
      </c>
      <c r="H388">
        <v>63</v>
      </c>
      <c r="I388">
        <v>49</v>
      </c>
      <c r="J388">
        <v>46</v>
      </c>
      <c r="K388">
        <v>47</v>
      </c>
      <c r="L388">
        <v>49</v>
      </c>
      <c r="M388">
        <v>54</v>
      </c>
      <c r="N388">
        <v>50</v>
      </c>
      <c r="O388">
        <v>44</v>
      </c>
      <c r="P388">
        <v>109</v>
      </c>
      <c r="Q388">
        <v>78</v>
      </c>
      <c r="R388">
        <v>71</v>
      </c>
      <c r="S388">
        <v>107</v>
      </c>
      <c r="X388" s="18"/>
      <c r="Y388" s="34">
        <f t="shared" si="15"/>
        <v>63</v>
      </c>
      <c r="Z388">
        <f t="shared" si="16"/>
        <v>9</v>
      </c>
      <c r="AA388">
        <f t="shared" si="17"/>
        <v>20.34</v>
      </c>
    </row>
    <row r="389" spans="1:28" x14ac:dyDescent="0.25">
      <c r="A389">
        <v>89</v>
      </c>
      <c r="B389" s="33"/>
      <c r="C389">
        <v>46</v>
      </c>
      <c r="D389">
        <v>50</v>
      </c>
      <c r="E389" s="35">
        <v>57</v>
      </c>
      <c r="F389">
        <v>70</v>
      </c>
      <c r="G389">
        <v>92</v>
      </c>
      <c r="H389">
        <v>72</v>
      </c>
      <c r="I389">
        <v>82</v>
      </c>
      <c r="J389">
        <v>53</v>
      </c>
      <c r="K389">
        <v>66</v>
      </c>
      <c r="L389">
        <v>55</v>
      </c>
      <c r="M389">
        <v>72</v>
      </c>
      <c r="N389">
        <v>62</v>
      </c>
      <c r="O389">
        <v>43</v>
      </c>
      <c r="P389">
        <v>85</v>
      </c>
      <c r="Q389">
        <v>71</v>
      </c>
      <c r="R389">
        <v>67</v>
      </c>
      <c r="S389">
        <v>106</v>
      </c>
      <c r="X389" s="18"/>
      <c r="Y389" s="34">
        <f t="shared" si="15"/>
        <v>68</v>
      </c>
      <c r="Z389">
        <f t="shared" si="16"/>
        <v>21</v>
      </c>
      <c r="AA389">
        <f t="shared" si="17"/>
        <v>16.329999999999998</v>
      </c>
    </row>
    <row r="390" spans="1:28" x14ac:dyDescent="0.25">
      <c r="A390">
        <v>87</v>
      </c>
      <c r="B390" s="33"/>
      <c r="C390">
        <v>43</v>
      </c>
      <c r="D390">
        <v>41</v>
      </c>
      <c r="E390" s="35">
        <v>61</v>
      </c>
      <c r="F390">
        <v>76</v>
      </c>
      <c r="G390">
        <v>84</v>
      </c>
      <c r="H390">
        <v>70</v>
      </c>
      <c r="I390">
        <v>75</v>
      </c>
      <c r="J390">
        <v>69</v>
      </c>
      <c r="K390">
        <v>86</v>
      </c>
      <c r="L390">
        <v>90</v>
      </c>
      <c r="M390">
        <v>87</v>
      </c>
      <c r="N390">
        <v>105</v>
      </c>
      <c r="O390">
        <v>61</v>
      </c>
      <c r="P390">
        <v>99</v>
      </c>
      <c r="Q390">
        <v>65</v>
      </c>
      <c r="R390">
        <v>62</v>
      </c>
      <c r="S390">
        <v>109</v>
      </c>
      <c r="X390" s="18"/>
      <c r="Y390" s="34">
        <f t="shared" si="15"/>
        <v>75</v>
      </c>
      <c r="Z390">
        <f t="shared" si="16"/>
        <v>12</v>
      </c>
      <c r="AA390">
        <f t="shared" si="17"/>
        <v>18.95</v>
      </c>
    </row>
    <row r="391" spans="1:28" x14ac:dyDescent="0.25">
      <c r="A391">
        <v>71</v>
      </c>
      <c r="B391" s="33"/>
      <c r="C391">
        <v>89</v>
      </c>
      <c r="D391">
        <v>92</v>
      </c>
      <c r="E391" s="35">
        <v>68</v>
      </c>
      <c r="F391">
        <v>59</v>
      </c>
      <c r="G391">
        <v>70</v>
      </c>
      <c r="H391">
        <v>81</v>
      </c>
      <c r="I391">
        <v>115</v>
      </c>
      <c r="J391">
        <v>133</v>
      </c>
      <c r="K391">
        <v>123</v>
      </c>
      <c r="L391">
        <v>60</v>
      </c>
      <c r="M391">
        <v>47</v>
      </c>
      <c r="N391">
        <v>82</v>
      </c>
      <c r="O391">
        <v>129</v>
      </c>
      <c r="P391">
        <v>140</v>
      </c>
      <c r="Q391">
        <v>112</v>
      </c>
      <c r="R391">
        <v>89</v>
      </c>
      <c r="S391">
        <v>109</v>
      </c>
      <c r="X391" s="18"/>
      <c r="Y391" s="34">
        <f t="shared" si="15"/>
        <v>94</v>
      </c>
      <c r="Z391">
        <f t="shared" si="16"/>
        <v>23</v>
      </c>
      <c r="AA391">
        <f t="shared" si="17"/>
        <v>27.55</v>
      </c>
    </row>
    <row r="392" spans="1:28" x14ac:dyDescent="0.25">
      <c r="A392">
        <v>139</v>
      </c>
      <c r="B392" s="33"/>
      <c r="C392">
        <v>109</v>
      </c>
      <c r="D392">
        <v>143</v>
      </c>
      <c r="E392" s="35">
        <v>59</v>
      </c>
      <c r="F392">
        <v>54</v>
      </c>
      <c r="G392">
        <v>96</v>
      </c>
      <c r="H392">
        <v>91</v>
      </c>
      <c r="I392">
        <v>157</v>
      </c>
      <c r="J392">
        <v>133</v>
      </c>
      <c r="K392">
        <v>55</v>
      </c>
      <c r="L392">
        <v>75</v>
      </c>
      <c r="M392">
        <v>47</v>
      </c>
      <c r="N392">
        <v>84</v>
      </c>
      <c r="O392">
        <v>121</v>
      </c>
      <c r="P392">
        <v>152</v>
      </c>
      <c r="Q392">
        <v>109</v>
      </c>
      <c r="R392">
        <v>91</v>
      </c>
      <c r="S392">
        <v>81</v>
      </c>
      <c r="X392" s="18"/>
      <c r="Y392" s="34">
        <f t="shared" si="15"/>
        <v>97</v>
      </c>
      <c r="Z392">
        <f t="shared" si="16"/>
        <v>42</v>
      </c>
      <c r="AA392">
        <f t="shared" si="17"/>
        <v>33.81</v>
      </c>
    </row>
    <row r="393" spans="1:28" x14ac:dyDescent="0.25">
      <c r="A393">
        <v>197</v>
      </c>
      <c r="B393" s="33"/>
      <c r="C393">
        <v>149</v>
      </c>
      <c r="D393">
        <v>181</v>
      </c>
      <c r="E393" s="35">
        <v>181</v>
      </c>
      <c r="F393">
        <v>136</v>
      </c>
      <c r="G393">
        <v>134</v>
      </c>
      <c r="H393">
        <v>119</v>
      </c>
      <c r="I393">
        <v>175</v>
      </c>
      <c r="J393">
        <v>166</v>
      </c>
      <c r="K393">
        <v>133</v>
      </c>
      <c r="L393">
        <v>133</v>
      </c>
      <c r="M393">
        <v>124</v>
      </c>
      <c r="N393">
        <v>101</v>
      </c>
      <c r="O393">
        <v>148</v>
      </c>
      <c r="P393">
        <v>161</v>
      </c>
      <c r="Q393">
        <v>183</v>
      </c>
      <c r="R393">
        <v>154</v>
      </c>
      <c r="S393">
        <v>190</v>
      </c>
      <c r="X393" s="18"/>
      <c r="Y393" s="34">
        <f t="shared" si="15"/>
        <v>151</v>
      </c>
      <c r="Z393">
        <f t="shared" si="16"/>
        <v>46</v>
      </c>
      <c r="AA393">
        <f t="shared" si="17"/>
        <v>25.07</v>
      </c>
    </row>
    <row r="394" spans="1:28" x14ac:dyDescent="0.25">
      <c r="A394">
        <v>80</v>
      </c>
      <c r="B394" s="33"/>
      <c r="C394">
        <v>43</v>
      </c>
      <c r="D394">
        <v>41</v>
      </c>
      <c r="E394" s="35">
        <v>45</v>
      </c>
      <c r="F394">
        <v>74</v>
      </c>
      <c r="G394">
        <v>139</v>
      </c>
      <c r="H394">
        <v>68</v>
      </c>
      <c r="I394">
        <v>51</v>
      </c>
      <c r="J394">
        <v>46</v>
      </c>
      <c r="K394">
        <v>42</v>
      </c>
      <c r="L394">
        <v>42</v>
      </c>
      <c r="M394">
        <v>57</v>
      </c>
      <c r="N394">
        <v>47</v>
      </c>
      <c r="O394">
        <v>41</v>
      </c>
      <c r="P394">
        <v>77</v>
      </c>
      <c r="Q394">
        <v>60</v>
      </c>
      <c r="R394">
        <v>55</v>
      </c>
      <c r="S394">
        <v>47</v>
      </c>
      <c r="X394" s="18"/>
      <c r="Y394" s="34">
        <f t="shared" si="15"/>
        <v>57</v>
      </c>
      <c r="Z394">
        <f t="shared" si="16"/>
        <v>23</v>
      </c>
      <c r="AA394">
        <f t="shared" si="17"/>
        <v>23.27</v>
      </c>
    </row>
    <row r="395" spans="1:28" x14ac:dyDescent="0.25">
      <c r="A395">
        <v>30</v>
      </c>
      <c r="B395" s="33"/>
      <c r="C395">
        <v>43</v>
      </c>
      <c r="D395">
        <v>41</v>
      </c>
      <c r="E395" s="35">
        <v>51</v>
      </c>
      <c r="F395">
        <v>51</v>
      </c>
      <c r="G395">
        <v>105</v>
      </c>
      <c r="H395">
        <v>96</v>
      </c>
      <c r="I395">
        <v>224</v>
      </c>
      <c r="J395">
        <v>116</v>
      </c>
      <c r="K395">
        <v>53</v>
      </c>
      <c r="L395">
        <v>55</v>
      </c>
      <c r="M395">
        <v>50</v>
      </c>
      <c r="N395">
        <v>47</v>
      </c>
      <c r="O395">
        <v>41</v>
      </c>
      <c r="P395">
        <v>65</v>
      </c>
      <c r="Q395">
        <v>41</v>
      </c>
      <c r="R395">
        <v>37</v>
      </c>
      <c r="S395">
        <v>42</v>
      </c>
      <c r="X395" s="18"/>
      <c r="Y395" s="34">
        <f t="shared" si="15"/>
        <v>68</v>
      </c>
      <c r="Z395">
        <f t="shared" si="16"/>
        <v>38</v>
      </c>
      <c r="AA395">
        <f t="shared" si="17"/>
        <v>45.37</v>
      </c>
    </row>
    <row r="396" spans="1:28" x14ac:dyDescent="0.25">
      <c r="A396">
        <v>64</v>
      </c>
      <c r="B396" s="33"/>
      <c r="C396">
        <v>76</v>
      </c>
      <c r="D396">
        <v>67</v>
      </c>
      <c r="E396" s="35">
        <v>42</v>
      </c>
      <c r="F396">
        <v>47</v>
      </c>
      <c r="G396">
        <v>75</v>
      </c>
      <c r="H396">
        <v>82</v>
      </c>
      <c r="I396">
        <v>179</v>
      </c>
      <c r="J396">
        <v>145</v>
      </c>
      <c r="K396">
        <v>108</v>
      </c>
      <c r="L396">
        <v>47</v>
      </c>
      <c r="M396">
        <v>77</v>
      </c>
      <c r="N396">
        <v>90</v>
      </c>
      <c r="O396">
        <v>102</v>
      </c>
      <c r="P396">
        <v>120</v>
      </c>
      <c r="Q396">
        <v>54</v>
      </c>
      <c r="R396">
        <v>48</v>
      </c>
      <c r="S396">
        <v>49</v>
      </c>
      <c r="X396" s="18"/>
      <c r="Y396" s="34">
        <f t="shared" si="15"/>
        <v>83</v>
      </c>
      <c r="Z396">
        <f t="shared" si="16"/>
        <v>19</v>
      </c>
      <c r="AA396">
        <f t="shared" si="17"/>
        <v>37.07</v>
      </c>
    </row>
    <row r="397" spans="1:28" x14ac:dyDescent="0.25">
      <c r="A397">
        <v>59</v>
      </c>
      <c r="B397" s="33"/>
      <c r="C397">
        <v>50</v>
      </c>
      <c r="D397">
        <v>43</v>
      </c>
      <c r="E397" s="35">
        <v>57</v>
      </c>
      <c r="F397">
        <v>58</v>
      </c>
      <c r="G397">
        <v>86</v>
      </c>
      <c r="H397">
        <v>77</v>
      </c>
      <c r="I397">
        <v>117</v>
      </c>
      <c r="J397">
        <v>61</v>
      </c>
      <c r="K397">
        <v>85</v>
      </c>
      <c r="L397">
        <v>80</v>
      </c>
      <c r="M397">
        <v>88</v>
      </c>
      <c r="N397">
        <v>67</v>
      </c>
      <c r="O397">
        <v>82</v>
      </c>
      <c r="P397">
        <v>51</v>
      </c>
      <c r="Q397">
        <v>67</v>
      </c>
      <c r="R397">
        <v>48</v>
      </c>
      <c r="S397">
        <v>43</v>
      </c>
      <c r="X397" s="18"/>
      <c r="Y397" s="34">
        <f t="shared" si="15"/>
        <v>68</v>
      </c>
      <c r="Z397">
        <f t="shared" si="16"/>
        <v>9</v>
      </c>
      <c r="AA397">
        <f t="shared" si="17"/>
        <v>19.36</v>
      </c>
    </row>
    <row r="398" spans="1:28" x14ac:dyDescent="0.25">
      <c r="A398">
        <v>50</v>
      </c>
      <c r="B398" s="33"/>
      <c r="C398">
        <v>52</v>
      </c>
      <c r="D398">
        <v>66</v>
      </c>
      <c r="E398" s="35">
        <v>68</v>
      </c>
      <c r="F398">
        <v>74</v>
      </c>
      <c r="G398">
        <v>87</v>
      </c>
      <c r="H398">
        <v>78</v>
      </c>
      <c r="I398">
        <v>83</v>
      </c>
      <c r="J398">
        <v>53</v>
      </c>
      <c r="K398">
        <v>104</v>
      </c>
      <c r="L398">
        <v>104</v>
      </c>
      <c r="M398">
        <v>127</v>
      </c>
      <c r="N398">
        <v>102</v>
      </c>
      <c r="O398">
        <v>82</v>
      </c>
      <c r="P398">
        <v>104</v>
      </c>
      <c r="Q398">
        <v>73</v>
      </c>
      <c r="R398">
        <v>41</v>
      </c>
      <c r="S398">
        <v>101</v>
      </c>
      <c r="T398">
        <v>125</v>
      </c>
      <c r="X398" s="18"/>
      <c r="Y398" s="34">
        <f t="shared" si="15"/>
        <v>85</v>
      </c>
      <c r="Z398">
        <f t="shared" si="16"/>
        <v>35</v>
      </c>
      <c r="AA398">
        <f t="shared" si="17"/>
        <v>23.59</v>
      </c>
      <c r="AB398" cm="1">
        <f t="array" ref="AB398">SUMPRODUCT(--(ABS(T398:T419- A398:A419) &lt;= AC500))/22</f>
        <v>0.13636363636363635</v>
      </c>
    </row>
    <row r="399" spans="1:28" x14ac:dyDescent="0.25">
      <c r="A399">
        <v>135</v>
      </c>
      <c r="B399" s="33"/>
      <c r="C399">
        <v>147</v>
      </c>
      <c r="D399">
        <v>155</v>
      </c>
      <c r="E399" s="35">
        <v>149</v>
      </c>
      <c r="F399">
        <v>124</v>
      </c>
      <c r="G399">
        <v>113</v>
      </c>
      <c r="H399">
        <v>98</v>
      </c>
      <c r="I399">
        <v>101</v>
      </c>
      <c r="J399">
        <v>61</v>
      </c>
      <c r="K399">
        <v>160</v>
      </c>
      <c r="L399">
        <v>198</v>
      </c>
      <c r="M399">
        <v>172</v>
      </c>
      <c r="N399">
        <v>142</v>
      </c>
      <c r="O399">
        <v>90</v>
      </c>
      <c r="P399">
        <v>109</v>
      </c>
      <c r="Q399">
        <v>100</v>
      </c>
      <c r="R399">
        <v>45</v>
      </c>
      <c r="S399">
        <v>140</v>
      </c>
      <c r="T399">
        <v>176</v>
      </c>
      <c r="X399" s="18"/>
      <c r="Y399" s="34">
        <f t="shared" si="15"/>
        <v>127</v>
      </c>
      <c r="Z399">
        <f t="shared" si="16"/>
        <v>8</v>
      </c>
      <c r="AA399">
        <f t="shared" si="17"/>
        <v>39.33</v>
      </c>
    </row>
    <row r="400" spans="1:28" x14ac:dyDescent="0.25">
      <c r="A400">
        <v>173</v>
      </c>
      <c r="B400" s="33"/>
      <c r="C400">
        <v>206</v>
      </c>
      <c r="D400">
        <v>202</v>
      </c>
      <c r="E400" s="35">
        <v>169</v>
      </c>
      <c r="F400">
        <v>212</v>
      </c>
      <c r="G400">
        <v>239</v>
      </c>
      <c r="H400">
        <v>223</v>
      </c>
      <c r="I400">
        <v>177</v>
      </c>
      <c r="J400">
        <v>211</v>
      </c>
      <c r="K400">
        <v>171</v>
      </c>
      <c r="L400">
        <v>207</v>
      </c>
      <c r="M400">
        <v>187</v>
      </c>
      <c r="N400">
        <v>156</v>
      </c>
      <c r="O400">
        <v>157</v>
      </c>
      <c r="P400">
        <v>164</v>
      </c>
      <c r="Q400">
        <v>179</v>
      </c>
      <c r="R400">
        <v>43</v>
      </c>
      <c r="S400">
        <v>121</v>
      </c>
      <c r="T400">
        <v>137</v>
      </c>
      <c r="X400" s="18"/>
      <c r="Y400" s="34">
        <f t="shared" si="15"/>
        <v>176</v>
      </c>
      <c r="Z400">
        <f t="shared" si="16"/>
        <v>3</v>
      </c>
      <c r="AA400">
        <f t="shared" si="17"/>
        <v>43.83</v>
      </c>
    </row>
    <row r="401" spans="1:27" x14ac:dyDescent="0.25">
      <c r="A401">
        <v>86</v>
      </c>
      <c r="B401" s="33"/>
      <c r="C401">
        <v>43</v>
      </c>
      <c r="D401">
        <v>41</v>
      </c>
      <c r="E401" s="35">
        <v>42</v>
      </c>
      <c r="F401">
        <v>76</v>
      </c>
      <c r="G401">
        <v>133</v>
      </c>
      <c r="H401">
        <v>61</v>
      </c>
      <c r="I401">
        <v>52</v>
      </c>
      <c r="J401">
        <v>46</v>
      </c>
      <c r="K401">
        <v>51</v>
      </c>
      <c r="L401">
        <v>42</v>
      </c>
      <c r="M401">
        <v>50</v>
      </c>
      <c r="N401">
        <v>48</v>
      </c>
      <c r="O401">
        <v>42</v>
      </c>
      <c r="P401">
        <v>81</v>
      </c>
      <c r="Q401">
        <v>51</v>
      </c>
      <c r="R401">
        <v>50</v>
      </c>
      <c r="S401">
        <v>48</v>
      </c>
      <c r="T401">
        <v>53</v>
      </c>
      <c r="X401" s="18"/>
      <c r="Y401" s="34">
        <f t="shared" si="15"/>
        <v>56</v>
      </c>
      <c r="Z401">
        <f t="shared" si="16"/>
        <v>30</v>
      </c>
      <c r="AA401">
        <f t="shared" si="17"/>
        <v>21.52</v>
      </c>
    </row>
    <row r="402" spans="1:27" x14ac:dyDescent="0.25">
      <c r="A402">
        <v>0</v>
      </c>
      <c r="B402" s="33"/>
      <c r="C402">
        <v>43</v>
      </c>
      <c r="D402">
        <v>44</v>
      </c>
      <c r="E402" s="35">
        <v>54</v>
      </c>
      <c r="F402">
        <v>60</v>
      </c>
      <c r="G402">
        <v>125</v>
      </c>
      <c r="H402">
        <v>70</v>
      </c>
      <c r="I402">
        <v>73</v>
      </c>
      <c r="J402">
        <v>46</v>
      </c>
      <c r="K402">
        <v>53</v>
      </c>
      <c r="L402">
        <v>43</v>
      </c>
      <c r="M402">
        <v>52</v>
      </c>
      <c r="N402">
        <v>47</v>
      </c>
      <c r="O402">
        <v>41</v>
      </c>
      <c r="P402">
        <v>54</v>
      </c>
      <c r="Q402">
        <v>44</v>
      </c>
      <c r="R402">
        <v>44</v>
      </c>
      <c r="S402">
        <v>42</v>
      </c>
      <c r="T402">
        <v>65</v>
      </c>
      <c r="X402" s="18"/>
      <c r="Y402" s="34">
        <f t="shared" si="15"/>
        <v>56</v>
      </c>
      <c r="Z402">
        <f t="shared" si="16"/>
        <v>56</v>
      </c>
      <c r="AA402">
        <f t="shared" si="17"/>
        <v>19.36</v>
      </c>
    </row>
    <row r="403" spans="1:27" x14ac:dyDescent="0.25">
      <c r="A403">
        <v>54</v>
      </c>
      <c r="B403" s="33"/>
      <c r="C403">
        <v>48</v>
      </c>
      <c r="D403">
        <v>50</v>
      </c>
      <c r="E403" s="35">
        <v>60</v>
      </c>
      <c r="F403">
        <v>56</v>
      </c>
      <c r="G403">
        <v>109</v>
      </c>
      <c r="H403">
        <v>71</v>
      </c>
      <c r="I403">
        <v>98</v>
      </c>
      <c r="J403">
        <v>53</v>
      </c>
      <c r="K403">
        <v>71</v>
      </c>
      <c r="L403">
        <v>51</v>
      </c>
      <c r="M403">
        <v>55</v>
      </c>
      <c r="N403">
        <v>61</v>
      </c>
      <c r="O403">
        <v>42</v>
      </c>
      <c r="P403">
        <v>47</v>
      </c>
      <c r="Q403">
        <v>52</v>
      </c>
      <c r="R403">
        <v>46</v>
      </c>
      <c r="S403">
        <v>66</v>
      </c>
      <c r="T403">
        <v>64</v>
      </c>
      <c r="X403" s="18"/>
      <c r="Y403" s="34">
        <f t="shared" si="15"/>
        <v>61</v>
      </c>
      <c r="Z403">
        <f t="shared" si="16"/>
        <v>7</v>
      </c>
      <c r="AA403">
        <f t="shared" si="17"/>
        <v>17.14</v>
      </c>
    </row>
    <row r="404" spans="1:27" x14ac:dyDescent="0.25">
      <c r="A404">
        <v>60</v>
      </c>
      <c r="B404" s="33"/>
      <c r="C404">
        <v>43</v>
      </c>
      <c r="D404">
        <v>46</v>
      </c>
      <c r="E404" s="35">
        <v>43</v>
      </c>
      <c r="F404">
        <v>46</v>
      </c>
      <c r="G404">
        <v>101</v>
      </c>
      <c r="H404">
        <v>71</v>
      </c>
      <c r="I404">
        <v>84</v>
      </c>
      <c r="J404">
        <v>65</v>
      </c>
      <c r="K404">
        <v>64</v>
      </c>
      <c r="L404">
        <v>86</v>
      </c>
      <c r="M404">
        <v>103</v>
      </c>
      <c r="N404">
        <v>118</v>
      </c>
      <c r="O404">
        <v>71</v>
      </c>
      <c r="P404">
        <v>108</v>
      </c>
      <c r="Q404">
        <v>55</v>
      </c>
      <c r="R404">
        <v>46</v>
      </c>
      <c r="S404">
        <v>91</v>
      </c>
      <c r="T404">
        <v>104</v>
      </c>
      <c r="X404" s="18"/>
      <c r="Y404" s="34">
        <f t="shared" si="15"/>
        <v>75</v>
      </c>
      <c r="Z404">
        <f t="shared" si="16"/>
        <v>15</v>
      </c>
      <c r="AA404">
        <f t="shared" si="17"/>
        <v>24.63</v>
      </c>
    </row>
    <row r="405" spans="1:27" x14ac:dyDescent="0.25">
      <c r="A405">
        <v>90</v>
      </c>
      <c r="B405" s="33"/>
      <c r="C405">
        <v>44</v>
      </c>
      <c r="D405">
        <v>58</v>
      </c>
      <c r="E405" s="35">
        <v>76</v>
      </c>
      <c r="F405">
        <v>81</v>
      </c>
      <c r="G405">
        <v>87</v>
      </c>
      <c r="H405">
        <v>90</v>
      </c>
      <c r="I405">
        <v>86</v>
      </c>
      <c r="J405">
        <v>69</v>
      </c>
      <c r="K405">
        <v>99</v>
      </c>
      <c r="L405">
        <v>100</v>
      </c>
      <c r="M405">
        <v>99</v>
      </c>
      <c r="N405">
        <v>114</v>
      </c>
      <c r="O405">
        <v>77</v>
      </c>
      <c r="P405">
        <v>104</v>
      </c>
      <c r="Q405">
        <v>55</v>
      </c>
      <c r="R405">
        <v>52</v>
      </c>
      <c r="S405">
        <v>155</v>
      </c>
      <c r="T405">
        <v>179</v>
      </c>
      <c r="X405" s="18"/>
      <c r="Y405" s="34">
        <f t="shared" si="15"/>
        <v>90</v>
      </c>
      <c r="Z405">
        <f t="shared" si="16"/>
        <v>0</v>
      </c>
      <c r="AA405">
        <f t="shared" si="17"/>
        <v>33.25</v>
      </c>
    </row>
    <row r="406" spans="1:27" x14ac:dyDescent="0.25">
      <c r="A406">
        <v>137</v>
      </c>
      <c r="B406" s="33"/>
      <c r="C406">
        <v>141</v>
      </c>
      <c r="D406">
        <v>164</v>
      </c>
      <c r="E406" s="35">
        <v>166</v>
      </c>
      <c r="F406">
        <v>193</v>
      </c>
      <c r="G406">
        <v>198</v>
      </c>
      <c r="H406">
        <v>168</v>
      </c>
      <c r="I406">
        <v>152</v>
      </c>
      <c r="J406">
        <v>179</v>
      </c>
      <c r="K406">
        <v>167</v>
      </c>
      <c r="L406">
        <v>174</v>
      </c>
      <c r="M406">
        <v>156</v>
      </c>
      <c r="N406">
        <v>124</v>
      </c>
      <c r="O406">
        <v>82</v>
      </c>
      <c r="P406">
        <v>111</v>
      </c>
      <c r="Q406">
        <v>121</v>
      </c>
      <c r="R406">
        <v>44</v>
      </c>
      <c r="S406">
        <v>128</v>
      </c>
      <c r="T406">
        <v>110</v>
      </c>
      <c r="X406" s="18"/>
      <c r="Y406" s="34">
        <f t="shared" si="15"/>
        <v>143</v>
      </c>
      <c r="Z406">
        <f t="shared" si="16"/>
        <v>6</v>
      </c>
      <c r="AA406">
        <f t="shared" si="17"/>
        <v>38.67</v>
      </c>
    </row>
    <row r="407" spans="1:27" x14ac:dyDescent="0.25">
      <c r="A407">
        <v>170</v>
      </c>
      <c r="B407" s="33"/>
      <c r="C407">
        <v>191</v>
      </c>
      <c r="D407">
        <v>177</v>
      </c>
      <c r="E407" s="35">
        <v>154</v>
      </c>
      <c r="F407">
        <v>203</v>
      </c>
      <c r="G407">
        <v>236</v>
      </c>
      <c r="H407">
        <v>182</v>
      </c>
      <c r="I407">
        <v>166</v>
      </c>
      <c r="J407">
        <v>215</v>
      </c>
      <c r="K407">
        <v>178</v>
      </c>
      <c r="L407">
        <v>187</v>
      </c>
      <c r="M407">
        <v>177</v>
      </c>
      <c r="N407">
        <v>152</v>
      </c>
      <c r="O407">
        <v>175</v>
      </c>
      <c r="P407">
        <v>173</v>
      </c>
      <c r="Q407">
        <v>186</v>
      </c>
      <c r="R407">
        <v>60</v>
      </c>
      <c r="S407">
        <v>107</v>
      </c>
      <c r="T407">
        <v>174</v>
      </c>
      <c r="X407" s="18"/>
      <c r="Y407" s="34">
        <f t="shared" si="15"/>
        <v>172</v>
      </c>
      <c r="Z407">
        <f t="shared" si="16"/>
        <v>2</v>
      </c>
      <c r="AA407">
        <f t="shared" si="17"/>
        <v>37.58</v>
      </c>
    </row>
    <row r="408" spans="1:27" x14ac:dyDescent="0.25">
      <c r="A408">
        <v>108</v>
      </c>
      <c r="B408" s="33"/>
      <c r="C408">
        <v>43</v>
      </c>
      <c r="D408">
        <v>41</v>
      </c>
      <c r="E408" s="35">
        <v>43</v>
      </c>
      <c r="F408">
        <v>56</v>
      </c>
      <c r="G408">
        <v>106</v>
      </c>
      <c r="H408">
        <v>54</v>
      </c>
      <c r="I408">
        <v>53</v>
      </c>
      <c r="J408">
        <v>46</v>
      </c>
      <c r="K408">
        <v>62</v>
      </c>
      <c r="L408">
        <v>43</v>
      </c>
      <c r="M408">
        <v>62</v>
      </c>
      <c r="N408">
        <v>52</v>
      </c>
      <c r="O408">
        <v>47</v>
      </c>
      <c r="P408">
        <v>108</v>
      </c>
      <c r="Q408">
        <v>59</v>
      </c>
      <c r="R408">
        <v>44</v>
      </c>
      <c r="S408">
        <v>68</v>
      </c>
      <c r="T408">
        <v>55</v>
      </c>
      <c r="X408" s="18"/>
      <c r="Y408" s="34">
        <f t="shared" si="15"/>
        <v>58</v>
      </c>
      <c r="Z408">
        <f t="shared" si="16"/>
        <v>50</v>
      </c>
      <c r="AA408">
        <f t="shared" si="17"/>
        <v>18.93</v>
      </c>
    </row>
    <row r="409" spans="1:27" x14ac:dyDescent="0.25">
      <c r="A409">
        <v>38</v>
      </c>
      <c r="B409" s="33"/>
      <c r="C409">
        <v>52</v>
      </c>
      <c r="D409">
        <v>47</v>
      </c>
      <c r="E409" s="35">
        <v>52</v>
      </c>
      <c r="F409">
        <v>72</v>
      </c>
      <c r="G409">
        <v>98</v>
      </c>
      <c r="H409">
        <v>65</v>
      </c>
      <c r="I409">
        <v>50</v>
      </c>
      <c r="J409">
        <v>46</v>
      </c>
      <c r="K409">
        <v>45</v>
      </c>
      <c r="L409">
        <v>47</v>
      </c>
      <c r="M409">
        <v>52</v>
      </c>
      <c r="N409">
        <v>51</v>
      </c>
      <c r="O409">
        <v>44</v>
      </c>
      <c r="P409">
        <v>96</v>
      </c>
      <c r="Q409">
        <v>72</v>
      </c>
      <c r="R409">
        <v>67</v>
      </c>
      <c r="S409">
        <v>95</v>
      </c>
      <c r="T409">
        <v>57</v>
      </c>
      <c r="X409" s="18"/>
      <c r="Y409" s="34">
        <f t="shared" ref="Y409:Y472" si="18">ROUND(AVERAGE(C409:X409),0)</f>
        <v>62</v>
      </c>
      <c r="Z409">
        <f t="shared" ref="Z409:Z472" si="19">ABS(Y409-A409)</f>
        <v>24</v>
      </c>
      <c r="AA409">
        <f t="shared" si="17"/>
        <v>17.760000000000002</v>
      </c>
    </row>
    <row r="410" spans="1:27" x14ac:dyDescent="0.25">
      <c r="A410">
        <v>55</v>
      </c>
      <c r="B410" s="33"/>
      <c r="C410">
        <v>115</v>
      </c>
      <c r="D410">
        <v>69</v>
      </c>
      <c r="E410" s="35">
        <v>49</v>
      </c>
      <c r="F410">
        <v>50</v>
      </c>
      <c r="G410">
        <v>91</v>
      </c>
      <c r="H410">
        <v>90</v>
      </c>
      <c r="I410">
        <v>170</v>
      </c>
      <c r="J410">
        <v>104</v>
      </c>
      <c r="K410">
        <v>49</v>
      </c>
      <c r="L410">
        <v>48</v>
      </c>
      <c r="M410">
        <v>65</v>
      </c>
      <c r="N410">
        <v>40</v>
      </c>
      <c r="O410">
        <v>58</v>
      </c>
      <c r="P410">
        <v>128</v>
      </c>
      <c r="Q410">
        <v>86</v>
      </c>
      <c r="R410">
        <v>68</v>
      </c>
      <c r="S410">
        <v>75</v>
      </c>
      <c r="T410">
        <v>72</v>
      </c>
      <c r="X410" s="18"/>
      <c r="Y410" s="34">
        <f t="shared" si="18"/>
        <v>79</v>
      </c>
      <c r="Z410">
        <f t="shared" si="19"/>
        <v>24</v>
      </c>
      <c r="AA410">
        <f t="shared" si="17"/>
        <v>32.46</v>
      </c>
    </row>
    <row r="411" spans="1:27" x14ac:dyDescent="0.25">
      <c r="A411">
        <v>55</v>
      </c>
      <c r="B411" s="33"/>
      <c r="C411">
        <v>82</v>
      </c>
      <c r="D411">
        <v>75</v>
      </c>
      <c r="E411" s="35">
        <v>68</v>
      </c>
      <c r="F411">
        <v>66</v>
      </c>
      <c r="G411">
        <v>69</v>
      </c>
      <c r="H411">
        <v>88</v>
      </c>
      <c r="I411">
        <v>81</v>
      </c>
      <c r="J411">
        <v>107</v>
      </c>
      <c r="K411">
        <v>132</v>
      </c>
      <c r="L411">
        <v>69</v>
      </c>
      <c r="M411">
        <v>50</v>
      </c>
      <c r="N411">
        <v>91</v>
      </c>
      <c r="O411">
        <v>68</v>
      </c>
      <c r="P411">
        <v>114</v>
      </c>
      <c r="Q411">
        <v>69</v>
      </c>
      <c r="R411">
        <v>50</v>
      </c>
      <c r="S411">
        <v>99</v>
      </c>
      <c r="T411">
        <v>88</v>
      </c>
      <c r="X411" s="18"/>
      <c r="Y411" s="34">
        <f t="shared" si="18"/>
        <v>81</v>
      </c>
      <c r="Z411">
        <f t="shared" si="19"/>
        <v>26</v>
      </c>
      <c r="AA411">
        <f t="shared" si="17"/>
        <v>20.87</v>
      </c>
    </row>
    <row r="412" spans="1:27" x14ac:dyDescent="0.25">
      <c r="A412">
        <v>116</v>
      </c>
      <c r="B412" s="33"/>
      <c r="C412">
        <v>67</v>
      </c>
      <c r="D412">
        <v>104</v>
      </c>
      <c r="E412" s="35">
        <v>96</v>
      </c>
      <c r="F412">
        <v>96</v>
      </c>
      <c r="G412">
        <v>93</v>
      </c>
      <c r="H412">
        <v>104</v>
      </c>
      <c r="I412">
        <v>139</v>
      </c>
      <c r="J412">
        <v>138</v>
      </c>
      <c r="K412">
        <v>141</v>
      </c>
      <c r="L412">
        <v>141</v>
      </c>
      <c r="M412">
        <v>119</v>
      </c>
      <c r="N412">
        <v>91</v>
      </c>
      <c r="O412">
        <v>147</v>
      </c>
      <c r="P412">
        <v>130</v>
      </c>
      <c r="Q412">
        <v>145</v>
      </c>
      <c r="R412">
        <v>41</v>
      </c>
      <c r="S412">
        <v>64</v>
      </c>
      <c r="T412">
        <v>82</v>
      </c>
      <c r="X412" s="18"/>
      <c r="Y412" s="34">
        <f t="shared" si="18"/>
        <v>108</v>
      </c>
      <c r="Z412">
        <f t="shared" si="19"/>
        <v>8</v>
      </c>
      <c r="AA412">
        <f t="shared" si="17"/>
        <v>30.87</v>
      </c>
    </row>
    <row r="413" spans="1:27" x14ac:dyDescent="0.25">
      <c r="A413">
        <v>155</v>
      </c>
      <c r="B413" s="33"/>
      <c r="C413">
        <v>139</v>
      </c>
      <c r="D413">
        <v>144</v>
      </c>
      <c r="E413" s="35">
        <v>140</v>
      </c>
      <c r="F413">
        <v>176</v>
      </c>
      <c r="G413">
        <v>190</v>
      </c>
      <c r="H413">
        <v>157</v>
      </c>
      <c r="I413">
        <v>151</v>
      </c>
      <c r="J413">
        <v>181</v>
      </c>
      <c r="K413">
        <v>173</v>
      </c>
      <c r="L413">
        <v>165</v>
      </c>
      <c r="M413">
        <v>155</v>
      </c>
      <c r="N413">
        <v>125</v>
      </c>
      <c r="O413">
        <v>132</v>
      </c>
      <c r="P413">
        <v>150</v>
      </c>
      <c r="Q413">
        <v>161</v>
      </c>
      <c r="R413">
        <v>41</v>
      </c>
      <c r="S413">
        <v>101</v>
      </c>
      <c r="T413">
        <v>174</v>
      </c>
      <c r="X413" s="18"/>
      <c r="Y413" s="34">
        <f t="shared" si="18"/>
        <v>148</v>
      </c>
      <c r="Z413">
        <f t="shared" si="19"/>
        <v>7</v>
      </c>
      <c r="AA413">
        <f t="shared" si="17"/>
        <v>33.450000000000003</v>
      </c>
    </row>
    <row r="414" spans="1:27" x14ac:dyDescent="0.25">
      <c r="A414">
        <v>173</v>
      </c>
      <c r="B414" s="33"/>
      <c r="C414">
        <v>180</v>
      </c>
      <c r="D414">
        <v>138</v>
      </c>
      <c r="E414" s="35">
        <v>140</v>
      </c>
      <c r="F414">
        <v>201</v>
      </c>
      <c r="G414">
        <v>230</v>
      </c>
      <c r="H414">
        <v>205</v>
      </c>
      <c r="I414">
        <v>163</v>
      </c>
      <c r="J414">
        <v>225</v>
      </c>
      <c r="K414">
        <v>194</v>
      </c>
      <c r="L414">
        <v>188</v>
      </c>
      <c r="M414">
        <v>176</v>
      </c>
      <c r="N414">
        <v>146</v>
      </c>
      <c r="O414">
        <v>151</v>
      </c>
      <c r="P414">
        <v>163</v>
      </c>
      <c r="Q414">
        <v>178</v>
      </c>
      <c r="R414">
        <v>47</v>
      </c>
      <c r="S414">
        <v>118</v>
      </c>
      <c r="T414">
        <v>190</v>
      </c>
      <c r="X414" s="18"/>
      <c r="Y414" s="34">
        <f t="shared" si="18"/>
        <v>169</v>
      </c>
      <c r="Z414">
        <f t="shared" si="19"/>
        <v>4</v>
      </c>
      <c r="AA414">
        <f t="shared" si="17"/>
        <v>41.54</v>
      </c>
    </row>
    <row r="415" spans="1:27" x14ac:dyDescent="0.25">
      <c r="A415">
        <v>33</v>
      </c>
      <c r="B415" s="33"/>
      <c r="C415">
        <v>56</v>
      </c>
      <c r="D415">
        <v>42</v>
      </c>
      <c r="E415" s="35">
        <v>42</v>
      </c>
      <c r="F415">
        <v>62</v>
      </c>
      <c r="G415">
        <v>102</v>
      </c>
      <c r="H415">
        <v>75</v>
      </c>
      <c r="I415">
        <v>51</v>
      </c>
      <c r="J415">
        <v>46</v>
      </c>
      <c r="K415">
        <v>43</v>
      </c>
      <c r="L415">
        <v>43</v>
      </c>
      <c r="M415">
        <v>81</v>
      </c>
      <c r="N415">
        <v>50</v>
      </c>
      <c r="O415">
        <v>44</v>
      </c>
      <c r="P415">
        <v>123</v>
      </c>
      <c r="Q415">
        <v>74</v>
      </c>
      <c r="R415">
        <v>71</v>
      </c>
      <c r="S415">
        <v>83</v>
      </c>
      <c r="T415">
        <v>74</v>
      </c>
      <c r="X415" s="18"/>
      <c r="Y415" s="34">
        <f t="shared" si="18"/>
        <v>65</v>
      </c>
      <c r="Z415">
        <f t="shared" si="19"/>
        <v>32</v>
      </c>
      <c r="AA415">
        <f t="shared" si="17"/>
        <v>22.29</v>
      </c>
    </row>
    <row r="416" spans="1:27" x14ac:dyDescent="0.25">
      <c r="A416">
        <v>51</v>
      </c>
      <c r="B416" s="33"/>
      <c r="C416">
        <v>47</v>
      </c>
      <c r="D416">
        <v>60</v>
      </c>
      <c r="E416" s="35">
        <v>72</v>
      </c>
      <c r="F416">
        <v>59</v>
      </c>
      <c r="G416">
        <v>113</v>
      </c>
      <c r="H416">
        <v>80</v>
      </c>
      <c r="I416">
        <v>149</v>
      </c>
      <c r="J416">
        <v>57</v>
      </c>
      <c r="K416">
        <v>59</v>
      </c>
      <c r="L416">
        <v>46</v>
      </c>
      <c r="M416">
        <v>61</v>
      </c>
      <c r="N416">
        <v>49</v>
      </c>
      <c r="O416">
        <v>42</v>
      </c>
      <c r="P416">
        <v>71</v>
      </c>
      <c r="Q416">
        <v>58</v>
      </c>
      <c r="R416">
        <v>57</v>
      </c>
      <c r="S416">
        <v>58</v>
      </c>
      <c r="T416">
        <v>74</v>
      </c>
      <c r="X416" s="18"/>
      <c r="Y416" s="34">
        <f t="shared" si="18"/>
        <v>67</v>
      </c>
      <c r="Z416">
        <f t="shared" si="19"/>
        <v>16</v>
      </c>
      <c r="AA416">
        <f t="shared" si="17"/>
        <v>25.23</v>
      </c>
    </row>
    <row r="417" spans="1:28" x14ac:dyDescent="0.25">
      <c r="A417">
        <v>76</v>
      </c>
      <c r="B417" s="33"/>
      <c r="C417">
        <v>43</v>
      </c>
      <c r="D417">
        <v>52</v>
      </c>
      <c r="E417" s="35">
        <v>68</v>
      </c>
      <c r="F417">
        <v>63</v>
      </c>
      <c r="G417">
        <v>105</v>
      </c>
      <c r="H417">
        <v>70</v>
      </c>
      <c r="I417">
        <v>106</v>
      </c>
      <c r="J417">
        <v>60</v>
      </c>
      <c r="K417">
        <v>65</v>
      </c>
      <c r="L417">
        <v>51</v>
      </c>
      <c r="M417">
        <v>59</v>
      </c>
      <c r="N417">
        <v>60</v>
      </c>
      <c r="O417">
        <v>43</v>
      </c>
      <c r="P417">
        <v>57</v>
      </c>
      <c r="Q417">
        <v>57</v>
      </c>
      <c r="R417">
        <v>56</v>
      </c>
      <c r="S417">
        <v>79</v>
      </c>
      <c r="T417">
        <v>74</v>
      </c>
      <c r="X417" s="18"/>
      <c r="Y417" s="34">
        <f t="shared" si="18"/>
        <v>65</v>
      </c>
      <c r="Z417">
        <f t="shared" si="19"/>
        <v>11</v>
      </c>
      <c r="AA417">
        <f t="shared" si="17"/>
        <v>17.04</v>
      </c>
    </row>
    <row r="418" spans="1:28" x14ac:dyDescent="0.25">
      <c r="A418">
        <v>88</v>
      </c>
      <c r="B418" s="33"/>
      <c r="C418">
        <v>48</v>
      </c>
      <c r="D418">
        <v>55</v>
      </c>
      <c r="E418" s="35">
        <v>67</v>
      </c>
      <c r="F418">
        <v>70</v>
      </c>
      <c r="G418">
        <v>100</v>
      </c>
      <c r="H418">
        <v>93</v>
      </c>
      <c r="I418">
        <v>146</v>
      </c>
      <c r="J418">
        <v>123</v>
      </c>
      <c r="K418">
        <v>79</v>
      </c>
      <c r="L418">
        <v>99</v>
      </c>
      <c r="M418">
        <v>52</v>
      </c>
      <c r="N418">
        <v>59</v>
      </c>
      <c r="O418">
        <v>53</v>
      </c>
      <c r="P418">
        <v>70</v>
      </c>
      <c r="Q418">
        <v>64</v>
      </c>
      <c r="R418">
        <v>58</v>
      </c>
      <c r="S418">
        <v>73</v>
      </c>
      <c r="T418">
        <v>63</v>
      </c>
      <c r="X418" s="18"/>
      <c r="Y418" s="34">
        <f t="shared" si="18"/>
        <v>76</v>
      </c>
      <c r="Z418">
        <f t="shared" si="19"/>
        <v>12</v>
      </c>
      <c r="AA418">
        <f t="shared" si="17"/>
        <v>25.74</v>
      </c>
    </row>
    <row r="419" spans="1:28" x14ac:dyDescent="0.25">
      <c r="A419">
        <v>97</v>
      </c>
      <c r="B419" s="33"/>
      <c r="C419">
        <v>43</v>
      </c>
      <c r="D419">
        <v>84</v>
      </c>
      <c r="E419" s="35">
        <v>86</v>
      </c>
      <c r="F419">
        <v>85</v>
      </c>
      <c r="G419">
        <v>86</v>
      </c>
      <c r="H419">
        <v>123</v>
      </c>
      <c r="I419">
        <v>134</v>
      </c>
      <c r="J419">
        <v>96</v>
      </c>
      <c r="K419">
        <v>159</v>
      </c>
      <c r="L419">
        <v>125</v>
      </c>
      <c r="M419">
        <v>106</v>
      </c>
      <c r="N419">
        <v>77</v>
      </c>
      <c r="O419">
        <v>97</v>
      </c>
      <c r="P419">
        <v>122</v>
      </c>
      <c r="Q419">
        <v>85</v>
      </c>
      <c r="R419">
        <v>59</v>
      </c>
      <c r="S419">
        <v>92</v>
      </c>
      <c r="T419">
        <v>121</v>
      </c>
      <c r="X419" s="18"/>
      <c r="Y419" s="34">
        <f t="shared" si="18"/>
        <v>99</v>
      </c>
      <c r="Z419">
        <f t="shared" si="19"/>
        <v>2</v>
      </c>
      <c r="AA419">
        <f t="shared" si="17"/>
        <v>27.26</v>
      </c>
    </row>
    <row r="420" spans="1:28" x14ac:dyDescent="0.25">
      <c r="A420">
        <v>133</v>
      </c>
      <c r="B420" s="33"/>
      <c r="C420">
        <v>151</v>
      </c>
      <c r="D420">
        <v>140</v>
      </c>
      <c r="E420" s="35">
        <v>129</v>
      </c>
      <c r="F420">
        <v>173</v>
      </c>
      <c r="G420">
        <v>196</v>
      </c>
      <c r="H420">
        <v>182</v>
      </c>
      <c r="I420">
        <v>156</v>
      </c>
      <c r="J420">
        <v>190</v>
      </c>
      <c r="K420">
        <v>169</v>
      </c>
      <c r="L420">
        <v>164</v>
      </c>
      <c r="M420">
        <v>159</v>
      </c>
      <c r="N420">
        <v>136</v>
      </c>
      <c r="O420">
        <v>73</v>
      </c>
      <c r="P420">
        <v>125</v>
      </c>
      <c r="Q420">
        <v>145</v>
      </c>
      <c r="R420">
        <v>42</v>
      </c>
      <c r="S420">
        <v>106</v>
      </c>
      <c r="T420">
        <v>106</v>
      </c>
      <c r="U420">
        <v>138</v>
      </c>
      <c r="X420" s="18"/>
      <c r="Y420" s="34">
        <f t="shared" si="18"/>
        <v>141</v>
      </c>
      <c r="Z420">
        <f t="shared" si="19"/>
        <v>8</v>
      </c>
      <c r="AA420">
        <f t="shared" si="17"/>
        <v>37.99</v>
      </c>
      <c r="AB420" cm="1">
        <f t="array" ref="AB420">SUMPRODUCT(--(ABS(U420:U441- A420:A441) &lt;= AC500))/22</f>
        <v>0.40909090909090912</v>
      </c>
    </row>
    <row r="421" spans="1:28" x14ac:dyDescent="0.25">
      <c r="A421">
        <v>175</v>
      </c>
      <c r="B421" s="33"/>
      <c r="C421">
        <v>176</v>
      </c>
      <c r="D421">
        <v>149</v>
      </c>
      <c r="E421" s="35">
        <v>155</v>
      </c>
      <c r="F421">
        <v>185</v>
      </c>
      <c r="G421">
        <v>217</v>
      </c>
      <c r="H421">
        <v>153</v>
      </c>
      <c r="I421">
        <v>166</v>
      </c>
      <c r="J421">
        <v>213</v>
      </c>
      <c r="K421">
        <v>184</v>
      </c>
      <c r="L421">
        <v>183</v>
      </c>
      <c r="M421">
        <v>175</v>
      </c>
      <c r="N421">
        <v>143</v>
      </c>
      <c r="O421">
        <v>192</v>
      </c>
      <c r="P421">
        <v>179</v>
      </c>
      <c r="Q421">
        <v>195</v>
      </c>
      <c r="R421">
        <v>134</v>
      </c>
      <c r="S421">
        <v>115</v>
      </c>
      <c r="T421">
        <v>236</v>
      </c>
      <c r="U421">
        <v>191</v>
      </c>
      <c r="X421" s="18"/>
      <c r="Y421" s="34">
        <f t="shared" si="18"/>
        <v>176</v>
      </c>
      <c r="Z421">
        <f t="shared" si="19"/>
        <v>1</v>
      </c>
      <c r="AA421">
        <f t="shared" si="17"/>
        <v>29.08</v>
      </c>
    </row>
    <row r="422" spans="1:28" x14ac:dyDescent="0.25">
      <c r="A422">
        <v>138</v>
      </c>
      <c r="B422" s="33"/>
      <c r="C422">
        <v>77</v>
      </c>
      <c r="D422">
        <v>58</v>
      </c>
      <c r="E422" s="35">
        <v>44</v>
      </c>
      <c r="F422">
        <v>86</v>
      </c>
      <c r="G422">
        <v>104</v>
      </c>
      <c r="H422">
        <v>76</v>
      </c>
      <c r="I422">
        <v>51</v>
      </c>
      <c r="J422">
        <v>46</v>
      </c>
      <c r="K422">
        <v>41</v>
      </c>
      <c r="L422">
        <v>42</v>
      </c>
      <c r="M422">
        <v>70</v>
      </c>
      <c r="N422">
        <v>48</v>
      </c>
      <c r="O422">
        <v>43</v>
      </c>
      <c r="P422">
        <v>118</v>
      </c>
      <c r="Q422">
        <v>86</v>
      </c>
      <c r="R422">
        <v>71</v>
      </c>
      <c r="S422">
        <v>78</v>
      </c>
      <c r="T422">
        <v>63</v>
      </c>
      <c r="U422">
        <v>40</v>
      </c>
      <c r="X422" s="18"/>
      <c r="Y422" s="34">
        <f t="shared" si="18"/>
        <v>65</v>
      </c>
      <c r="Z422">
        <f t="shared" si="19"/>
        <v>73</v>
      </c>
      <c r="AA422">
        <f t="shared" si="17"/>
        <v>22.07</v>
      </c>
    </row>
    <row r="423" spans="1:28" x14ac:dyDescent="0.25">
      <c r="A423">
        <v>45</v>
      </c>
      <c r="B423" s="33"/>
      <c r="C423">
        <v>60</v>
      </c>
      <c r="D423">
        <v>50</v>
      </c>
      <c r="E423" s="35">
        <v>50</v>
      </c>
      <c r="F423">
        <v>55</v>
      </c>
      <c r="G423">
        <v>84</v>
      </c>
      <c r="H423">
        <v>74</v>
      </c>
      <c r="I423">
        <v>48</v>
      </c>
      <c r="J423">
        <v>46</v>
      </c>
      <c r="K423">
        <v>42</v>
      </c>
      <c r="L423">
        <v>48</v>
      </c>
      <c r="M423">
        <v>66</v>
      </c>
      <c r="N423">
        <v>58</v>
      </c>
      <c r="O423">
        <v>45</v>
      </c>
      <c r="P423">
        <v>144</v>
      </c>
      <c r="Q423">
        <v>97</v>
      </c>
      <c r="R423">
        <v>85</v>
      </c>
      <c r="S423">
        <v>124</v>
      </c>
      <c r="T423">
        <v>57</v>
      </c>
      <c r="U423">
        <v>41</v>
      </c>
      <c r="X423" s="18"/>
      <c r="Y423" s="34">
        <f t="shared" si="18"/>
        <v>67</v>
      </c>
      <c r="Z423">
        <f t="shared" si="19"/>
        <v>22</v>
      </c>
      <c r="AA423">
        <f t="shared" si="17"/>
        <v>27.76</v>
      </c>
    </row>
    <row r="424" spans="1:28" x14ac:dyDescent="0.25">
      <c r="A424">
        <v>71</v>
      </c>
      <c r="B424" s="33"/>
      <c r="C424">
        <v>94</v>
      </c>
      <c r="D424">
        <v>100</v>
      </c>
      <c r="E424" s="35">
        <v>47</v>
      </c>
      <c r="F424">
        <v>55</v>
      </c>
      <c r="G424">
        <v>72</v>
      </c>
      <c r="H424">
        <v>70</v>
      </c>
      <c r="I424">
        <v>52</v>
      </c>
      <c r="J424">
        <v>48</v>
      </c>
      <c r="K424">
        <v>109</v>
      </c>
      <c r="L424">
        <v>48</v>
      </c>
      <c r="M424">
        <v>45</v>
      </c>
      <c r="N424">
        <v>36</v>
      </c>
      <c r="O424">
        <v>82</v>
      </c>
      <c r="P424">
        <v>171</v>
      </c>
      <c r="Q424">
        <v>87</v>
      </c>
      <c r="R424">
        <v>83</v>
      </c>
      <c r="S424">
        <v>110</v>
      </c>
      <c r="T424">
        <v>102</v>
      </c>
      <c r="U424">
        <v>49</v>
      </c>
      <c r="X424" s="18"/>
      <c r="Y424" s="34">
        <f t="shared" si="18"/>
        <v>77</v>
      </c>
      <c r="Z424">
        <f t="shared" si="19"/>
        <v>6</v>
      </c>
      <c r="AA424">
        <f t="shared" si="17"/>
        <v>32.29</v>
      </c>
    </row>
    <row r="425" spans="1:28" x14ac:dyDescent="0.25">
      <c r="A425">
        <v>22</v>
      </c>
      <c r="B425" s="33"/>
      <c r="C425">
        <v>46</v>
      </c>
      <c r="D425">
        <v>60</v>
      </c>
      <c r="E425" s="35">
        <v>42</v>
      </c>
      <c r="F425">
        <v>76</v>
      </c>
      <c r="G425">
        <v>91</v>
      </c>
      <c r="H425">
        <v>108</v>
      </c>
      <c r="I425">
        <v>77</v>
      </c>
      <c r="J425">
        <v>57</v>
      </c>
      <c r="K425">
        <v>63</v>
      </c>
      <c r="L425">
        <v>42</v>
      </c>
      <c r="M425">
        <v>50</v>
      </c>
      <c r="N425">
        <v>143</v>
      </c>
      <c r="O425">
        <v>120</v>
      </c>
      <c r="P425">
        <v>135</v>
      </c>
      <c r="Q425">
        <v>112</v>
      </c>
      <c r="R425">
        <v>70</v>
      </c>
      <c r="S425">
        <v>54</v>
      </c>
      <c r="T425">
        <v>91</v>
      </c>
      <c r="U425">
        <v>40</v>
      </c>
      <c r="X425" s="18"/>
      <c r="Y425" s="34">
        <f t="shared" si="18"/>
        <v>78</v>
      </c>
      <c r="Z425">
        <f t="shared" si="19"/>
        <v>56</v>
      </c>
      <c r="AA425">
        <f t="shared" si="17"/>
        <v>31.71</v>
      </c>
    </row>
    <row r="426" spans="1:28" x14ac:dyDescent="0.25">
      <c r="A426">
        <v>113</v>
      </c>
      <c r="B426" s="33"/>
      <c r="C426">
        <v>43</v>
      </c>
      <c r="D426">
        <v>75</v>
      </c>
      <c r="E426" s="35">
        <v>99</v>
      </c>
      <c r="F426">
        <v>104</v>
      </c>
      <c r="G426">
        <v>124</v>
      </c>
      <c r="H426">
        <v>122</v>
      </c>
      <c r="I426">
        <v>140</v>
      </c>
      <c r="J426">
        <v>103</v>
      </c>
      <c r="K426">
        <v>181</v>
      </c>
      <c r="L426">
        <v>138</v>
      </c>
      <c r="M426">
        <v>111</v>
      </c>
      <c r="N426">
        <v>83</v>
      </c>
      <c r="O426">
        <v>81</v>
      </c>
      <c r="P426">
        <v>107</v>
      </c>
      <c r="Q426">
        <v>74</v>
      </c>
      <c r="R426">
        <v>58</v>
      </c>
      <c r="S426">
        <v>111</v>
      </c>
      <c r="T426">
        <v>118</v>
      </c>
      <c r="U426">
        <v>98</v>
      </c>
      <c r="X426" s="18"/>
      <c r="Y426" s="34">
        <f t="shared" si="18"/>
        <v>104</v>
      </c>
      <c r="Z426">
        <f t="shared" si="19"/>
        <v>9</v>
      </c>
      <c r="AA426">
        <f t="shared" si="17"/>
        <v>30.79</v>
      </c>
    </row>
    <row r="427" spans="1:28" x14ac:dyDescent="0.25">
      <c r="A427">
        <v>125</v>
      </c>
      <c r="B427" s="33"/>
      <c r="C427">
        <v>137</v>
      </c>
      <c r="D427">
        <v>144</v>
      </c>
      <c r="E427" s="35">
        <v>154</v>
      </c>
      <c r="F427">
        <v>153</v>
      </c>
      <c r="G427">
        <v>149</v>
      </c>
      <c r="H427">
        <v>127</v>
      </c>
      <c r="I427">
        <v>152</v>
      </c>
      <c r="J427">
        <v>165</v>
      </c>
      <c r="K427">
        <v>168</v>
      </c>
      <c r="L427">
        <v>153</v>
      </c>
      <c r="M427">
        <v>128</v>
      </c>
      <c r="N427">
        <v>97</v>
      </c>
      <c r="O427">
        <v>161</v>
      </c>
      <c r="P427">
        <v>164</v>
      </c>
      <c r="Q427">
        <v>173</v>
      </c>
      <c r="R427">
        <v>152</v>
      </c>
      <c r="S427">
        <v>144</v>
      </c>
      <c r="T427">
        <v>248</v>
      </c>
      <c r="U427">
        <v>180</v>
      </c>
      <c r="X427" s="18"/>
      <c r="Y427" s="34">
        <f t="shared" si="18"/>
        <v>155</v>
      </c>
      <c r="Z427">
        <f t="shared" si="19"/>
        <v>30</v>
      </c>
      <c r="AA427">
        <f t="shared" si="17"/>
        <v>28.55</v>
      </c>
    </row>
    <row r="428" spans="1:28" x14ac:dyDescent="0.25">
      <c r="A428">
        <v>159</v>
      </c>
      <c r="B428" s="33"/>
      <c r="C428">
        <v>128</v>
      </c>
      <c r="D428">
        <v>161</v>
      </c>
      <c r="E428" s="35">
        <v>138</v>
      </c>
      <c r="F428">
        <v>121</v>
      </c>
      <c r="G428">
        <v>131</v>
      </c>
      <c r="H428">
        <v>112</v>
      </c>
      <c r="I428">
        <v>170</v>
      </c>
      <c r="J428">
        <v>133</v>
      </c>
      <c r="K428">
        <v>64</v>
      </c>
      <c r="L428">
        <v>74</v>
      </c>
      <c r="M428">
        <v>55</v>
      </c>
      <c r="N428">
        <v>78</v>
      </c>
      <c r="O428">
        <v>123</v>
      </c>
      <c r="P428">
        <v>187</v>
      </c>
      <c r="Q428">
        <v>162</v>
      </c>
      <c r="R428">
        <v>195</v>
      </c>
      <c r="S428">
        <v>190</v>
      </c>
      <c r="T428">
        <v>212</v>
      </c>
      <c r="U428">
        <v>183</v>
      </c>
      <c r="X428" s="18"/>
      <c r="Y428" s="34">
        <f t="shared" si="18"/>
        <v>138</v>
      </c>
      <c r="Z428">
        <f t="shared" si="19"/>
        <v>21</v>
      </c>
      <c r="AA428">
        <f t="shared" si="17"/>
        <v>45.54</v>
      </c>
    </row>
    <row r="429" spans="1:28" x14ac:dyDescent="0.25">
      <c r="A429">
        <v>63</v>
      </c>
      <c r="B429" s="33"/>
      <c r="C429">
        <v>50</v>
      </c>
      <c r="D429">
        <v>56</v>
      </c>
      <c r="E429" s="35">
        <v>86</v>
      </c>
      <c r="F429">
        <v>58</v>
      </c>
      <c r="G429">
        <v>89</v>
      </c>
      <c r="H429">
        <v>66</v>
      </c>
      <c r="I429">
        <v>97</v>
      </c>
      <c r="J429">
        <v>67</v>
      </c>
      <c r="K429">
        <v>48</v>
      </c>
      <c r="L429">
        <v>46</v>
      </c>
      <c r="M429">
        <v>114</v>
      </c>
      <c r="N429">
        <v>43</v>
      </c>
      <c r="O429">
        <v>44</v>
      </c>
      <c r="P429">
        <v>182</v>
      </c>
      <c r="Q429">
        <v>132</v>
      </c>
      <c r="R429">
        <v>89</v>
      </c>
      <c r="S429">
        <v>81</v>
      </c>
      <c r="T429">
        <v>101</v>
      </c>
      <c r="U429">
        <v>52</v>
      </c>
      <c r="X429" s="18"/>
      <c r="Y429" s="34">
        <f t="shared" si="18"/>
        <v>79</v>
      </c>
      <c r="Z429">
        <f t="shared" si="19"/>
        <v>16</v>
      </c>
      <c r="AA429">
        <f t="shared" si="17"/>
        <v>34.89</v>
      </c>
    </row>
    <row r="430" spans="1:28" x14ac:dyDescent="0.25">
      <c r="A430">
        <v>56</v>
      </c>
      <c r="B430" s="33"/>
      <c r="C430">
        <v>52</v>
      </c>
      <c r="D430">
        <v>51</v>
      </c>
      <c r="E430" s="35">
        <v>87</v>
      </c>
      <c r="F430">
        <v>58</v>
      </c>
      <c r="G430">
        <v>76</v>
      </c>
      <c r="H430">
        <v>68</v>
      </c>
      <c r="I430">
        <v>77</v>
      </c>
      <c r="J430">
        <v>61</v>
      </c>
      <c r="K430">
        <v>49</v>
      </c>
      <c r="L430">
        <v>46</v>
      </c>
      <c r="M430">
        <v>83</v>
      </c>
      <c r="N430">
        <v>40</v>
      </c>
      <c r="O430">
        <v>44</v>
      </c>
      <c r="P430">
        <v>164</v>
      </c>
      <c r="Q430">
        <v>119</v>
      </c>
      <c r="R430">
        <v>88</v>
      </c>
      <c r="S430">
        <v>85</v>
      </c>
      <c r="T430">
        <v>92</v>
      </c>
      <c r="U430">
        <v>58</v>
      </c>
      <c r="X430" s="18"/>
      <c r="Y430" s="34">
        <f t="shared" si="18"/>
        <v>74</v>
      </c>
      <c r="Z430">
        <f t="shared" si="19"/>
        <v>18</v>
      </c>
      <c r="AA430">
        <f t="shared" ref="AA430:AA493" si="20">ROUND(_xlfn.STDEV.P(C430:X430),2)</f>
        <v>29.22</v>
      </c>
    </row>
    <row r="431" spans="1:28" x14ac:dyDescent="0.25">
      <c r="A431">
        <v>71</v>
      </c>
      <c r="B431" s="33"/>
      <c r="C431">
        <v>65</v>
      </c>
      <c r="D431">
        <v>69</v>
      </c>
      <c r="E431" s="35">
        <v>62</v>
      </c>
      <c r="F431">
        <v>67</v>
      </c>
      <c r="G431">
        <v>81</v>
      </c>
      <c r="H431">
        <v>74</v>
      </c>
      <c r="I431">
        <v>60</v>
      </c>
      <c r="J431">
        <v>50</v>
      </c>
      <c r="K431">
        <v>76</v>
      </c>
      <c r="L431">
        <v>43</v>
      </c>
      <c r="M431">
        <v>49</v>
      </c>
      <c r="N431">
        <v>65</v>
      </c>
      <c r="O431">
        <v>73</v>
      </c>
      <c r="P431">
        <v>196</v>
      </c>
      <c r="Q431">
        <v>77</v>
      </c>
      <c r="R431">
        <v>76</v>
      </c>
      <c r="S431">
        <v>117</v>
      </c>
      <c r="T431">
        <v>120</v>
      </c>
      <c r="U431">
        <v>41</v>
      </c>
      <c r="X431" s="18"/>
      <c r="Y431" s="34">
        <f t="shared" si="18"/>
        <v>77</v>
      </c>
      <c r="Z431">
        <f t="shared" si="19"/>
        <v>6</v>
      </c>
      <c r="AA431">
        <f t="shared" si="20"/>
        <v>34.479999999999997</v>
      </c>
    </row>
    <row r="432" spans="1:28" x14ac:dyDescent="0.25">
      <c r="A432">
        <v>55</v>
      </c>
      <c r="B432" s="33"/>
      <c r="C432">
        <v>73</v>
      </c>
      <c r="D432">
        <v>73</v>
      </c>
      <c r="E432" s="35">
        <v>114</v>
      </c>
      <c r="F432">
        <v>66</v>
      </c>
      <c r="G432">
        <v>94</v>
      </c>
      <c r="H432">
        <v>76</v>
      </c>
      <c r="I432">
        <v>75</v>
      </c>
      <c r="J432">
        <v>53</v>
      </c>
      <c r="K432">
        <v>92</v>
      </c>
      <c r="L432">
        <v>57</v>
      </c>
      <c r="M432">
        <v>81</v>
      </c>
      <c r="N432">
        <v>75</v>
      </c>
      <c r="O432">
        <v>83</v>
      </c>
      <c r="P432">
        <v>165</v>
      </c>
      <c r="Q432">
        <v>74</v>
      </c>
      <c r="R432">
        <v>73</v>
      </c>
      <c r="S432">
        <v>128</v>
      </c>
      <c r="T432">
        <v>108</v>
      </c>
      <c r="U432">
        <v>42</v>
      </c>
      <c r="X432" s="18"/>
      <c r="Y432" s="34">
        <f t="shared" si="18"/>
        <v>84</v>
      </c>
      <c r="Z432">
        <f t="shared" si="19"/>
        <v>29</v>
      </c>
      <c r="AA432">
        <f t="shared" si="20"/>
        <v>27.73</v>
      </c>
    </row>
    <row r="433" spans="1:28" x14ac:dyDescent="0.25">
      <c r="A433">
        <v>100</v>
      </c>
      <c r="B433" s="33"/>
      <c r="C433">
        <v>43</v>
      </c>
      <c r="D433">
        <v>74</v>
      </c>
      <c r="E433" s="35">
        <v>89</v>
      </c>
      <c r="F433">
        <v>101</v>
      </c>
      <c r="G433">
        <v>95</v>
      </c>
      <c r="H433">
        <v>104</v>
      </c>
      <c r="I433">
        <v>123</v>
      </c>
      <c r="J433">
        <v>73</v>
      </c>
      <c r="K433">
        <v>181</v>
      </c>
      <c r="L433">
        <v>118</v>
      </c>
      <c r="M433">
        <v>92</v>
      </c>
      <c r="N433">
        <v>63</v>
      </c>
      <c r="O433">
        <v>69</v>
      </c>
      <c r="P433">
        <v>132</v>
      </c>
      <c r="Q433">
        <v>86</v>
      </c>
      <c r="R433">
        <v>79</v>
      </c>
      <c r="S433">
        <v>119</v>
      </c>
      <c r="T433">
        <v>145</v>
      </c>
      <c r="U433">
        <v>90</v>
      </c>
      <c r="X433" s="18"/>
      <c r="Y433" s="34">
        <f t="shared" si="18"/>
        <v>99</v>
      </c>
      <c r="Z433">
        <f t="shared" si="19"/>
        <v>1</v>
      </c>
      <c r="AA433">
        <f t="shared" si="20"/>
        <v>31.41</v>
      </c>
    </row>
    <row r="434" spans="1:28" x14ac:dyDescent="0.25">
      <c r="A434">
        <v>144</v>
      </c>
      <c r="B434" s="33"/>
      <c r="C434">
        <v>119</v>
      </c>
      <c r="D434">
        <v>133</v>
      </c>
      <c r="E434" s="35">
        <v>143</v>
      </c>
      <c r="F434">
        <v>138</v>
      </c>
      <c r="G434">
        <v>114</v>
      </c>
      <c r="H434">
        <v>141</v>
      </c>
      <c r="I434">
        <v>151</v>
      </c>
      <c r="J434">
        <v>148</v>
      </c>
      <c r="K434">
        <v>171</v>
      </c>
      <c r="L434">
        <v>134</v>
      </c>
      <c r="M434">
        <v>95</v>
      </c>
      <c r="N434">
        <v>76</v>
      </c>
      <c r="O434">
        <v>137</v>
      </c>
      <c r="P434">
        <v>164</v>
      </c>
      <c r="Q434">
        <v>127</v>
      </c>
      <c r="R434">
        <v>102</v>
      </c>
      <c r="S434">
        <v>128</v>
      </c>
      <c r="T434">
        <v>239</v>
      </c>
      <c r="U434">
        <v>175</v>
      </c>
      <c r="X434" s="18"/>
      <c r="Y434" s="34">
        <f t="shared" si="18"/>
        <v>139</v>
      </c>
      <c r="Z434">
        <f t="shared" si="19"/>
        <v>5</v>
      </c>
      <c r="AA434">
        <f t="shared" si="20"/>
        <v>33.89</v>
      </c>
    </row>
    <row r="435" spans="1:28" x14ac:dyDescent="0.25">
      <c r="A435">
        <v>197</v>
      </c>
      <c r="B435" s="33"/>
      <c r="C435">
        <v>169</v>
      </c>
      <c r="D435">
        <v>131</v>
      </c>
      <c r="E435" s="35">
        <v>189</v>
      </c>
      <c r="F435">
        <v>214</v>
      </c>
      <c r="G435">
        <v>205</v>
      </c>
      <c r="H435">
        <v>168</v>
      </c>
      <c r="I435">
        <v>157</v>
      </c>
      <c r="J435">
        <v>211</v>
      </c>
      <c r="K435">
        <v>223</v>
      </c>
      <c r="L435">
        <v>196</v>
      </c>
      <c r="M435">
        <v>172</v>
      </c>
      <c r="N435">
        <v>112</v>
      </c>
      <c r="O435">
        <v>74</v>
      </c>
      <c r="P435">
        <v>114</v>
      </c>
      <c r="Q435">
        <v>91</v>
      </c>
      <c r="R435">
        <v>56</v>
      </c>
      <c r="S435">
        <v>171</v>
      </c>
      <c r="T435">
        <v>205</v>
      </c>
      <c r="U435">
        <v>151</v>
      </c>
      <c r="X435" s="18"/>
      <c r="Y435" s="34">
        <f t="shared" si="18"/>
        <v>158</v>
      </c>
      <c r="Z435">
        <f t="shared" si="19"/>
        <v>39</v>
      </c>
      <c r="AA435">
        <f t="shared" si="20"/>
        <v>48.32</v>
      </c>
    </row>
    <row r="436" spans="1:28" x14ac:dyDescent="0.25">
      <c r="A436">
        <v>52</v>
      </c>
      <c r="B436" s="33"/>
      <c r="C436">
        <v>68</v>
      </c>
      <c r="D436">
        <v>57</v>
      </c>
      <c r="E436" s="35">
        <v>56</v>
      </c>
      <c r="F436">
        <v>87</v>
      </c>
      <c r="G436">
        <v>68</v>
      </c>
      <c r="H436">
        <v>84</v>
      </c>
      <c r="I436">
        <v>52</v>
      </c>
      <c r="J436">
        <v>46</v>
      </c>
      <c r="K436">
        <v>53</v>
      </c>
      <c r="L436">
        <v>42</v>
      </c>
      <c r="M436">
        <v>96</v>
      </c>
      <c r="N436">
        <v>48</v>
      </c>
      <c r="O436">
        <v>43</v>
      </c>
      <c r="P436">
        <v>170</v>
      </c>
      <c r="Q436">
        <v>121</v>
      </c>
      <c r="R436">
        <v>97</v>
      </c>
      <c r="S436">
        <v>112</v>
      </c>
      <c r="T436">
        <v>87</v>
      </c>
      <c r="U436">
        <v>41</v>
      </c>
      <c r="X436" s="18"/>
      <c r="Y436" s="34">
        <f t="shared" si="18"/>
        <v>75</v>
      </c>
      <c r="Z436">
        <f t="shared" si="19"/>
        <v>23</v>
      </c>
      <c r="AA436">
        <f t="shared" si="20"/>
        <v>32.799999999999997</v>
      </c>
    </row>
    <row r="437" spans="1:28" x14ac:dyDescent="0.25">
      <c r="A437">
        <v>122</v>
      </c>
      <c r="B437" s="33"/>
      <c r="C437">
        <v>50</v>
      </c>
      <c r="D437">
        <v>51</v>
      </c>
      <c r="E437" s="35">
        <v>62</v>
      </c>
      <c r="F437">
        <v>76</v>
      </c>
      <c r="G437">
        <v>64</v>
      </c>
      <c r="H437">
        <v>70</v>
      </c>
      <c r="I437">
        <v>69</v>
      </c>
      <c r="J437">
        <v>48</v>
      </c>
      <c r="K437">
        <v>66</v>
      </c>
      <c r="L437">
        <v>45</v>
      </c>
      <c r="M437">
        <v>73</v>
      </c>
      <c r="N437">
        <v>44</v>
      </c>
      <c r="O437">
        <v>43</v>
      </c>
      <c r="P437">
        <v>149</v>
      </c>
      <c r="Q437">
        <v>109</v>
      </c>
      <c r="R437">
        <v>95</v>
      </c>
      <c r="S437">
        <v>121</v>
      </c>
      <c r="T437">
        <v>84</v>
      </c>
      <c r="U437">
        <v>49</v>
      </c>
      <c r="X437" s="18"/>
      <c r="Y437" s="34">
        <f t="shared" si="18"/>
        <v>72</v>
      </c>
      <c r="Z437">
        <f t="shared" si="19"/>
        <v>50</v>
      </c>
      <c r="AA437">
        <f t="shared" si="20"/>
        <v>28.08</v>
      </c>
    </row>
    <row r="438" spans="1:28" x14ac:dyDescent="0.25">
      <c r="A438">
        <v>82</v>
      </c>
      <c r="B438" s="33"/>
      <c r="C438">
        <v>43</v>
      </c>
      <c r="D438">
        <v>46</v>
      </c>
      <c r="E438" s="35">
        <v>75</v>
      </c>
      <c r="F438">
        <v>84</v>
      </c>
      <c r="G438">
        <v>82</v>
      </c>
      <c r="H438">
        <v>70</v>
      </c>
      <c r="I438">
        <v>72</v>
      </c>
      <c r="J438">
        <v>58</v>
      </c>
      <c r="K438">
        <v>71</v>
      </c>
      <c r="L438">
        <v>54</v>
      </c>
      <c r="M438">
        <v>51</v>
      </c>
      <c r="N438">
        <v>45</v>
      </c>
      <c r="O438">
        <v>44</v>
      </c>
      <c r="P438">
        <v>128</v>
      </c>
      <c r="Q438">
        <v>90</v>
      </c>
      <c r="R438">
        <v>85</v>
      </c>
      <c r="S438">
        <v>124</v>
      </c>
      <c r="T438">
        <v>77</v>
      </c>
      <c r="U438">
        <v>56</v>
      </c>
      <c r="X438" s="18"/>
      <c r="Y438" s="34">
        <f t="shared" si="18"/>
        <v>71</v>
      </c>
      <c r="Z438">
        <f t="shared" si="19"/>
        <v>11</v>
      </c>
      <c r="AA438">
        <f t="shared" si="20"/>
        <v>23.9</v>
      </c>
    </row>
    <row r="439" spans="1:28" x14ac:dyDescent="0.25">
      <c r="A439">
        <v>69</v>
      </c>
      <c r="B439" s="33"/>
      <c r="C439">
        <v>43</v>
      </c>
      <c r="D439">
        <v>44</v>
      </c>
      <c r="E439" s="35">
        <v>85</v>
      </c>
      <c r="F439">
        <v>110</v>
      </c>
      <c r="G439">
        <v>82</v>
      </c>
      <c r="H439">
        <v>80</v>
      </c>
      <c r="I439">
        <v>71</v>
      </c>
      <c r="J439">
        <v>57</v>
      </c>
      <c r="K439">
        <v>187</v>
      </c>
      <c r="L439">
        <v>117</v>
      </c>
      <c r="M439">
        <v>96</v>
      </c>
      <c r="N439">
        <v>60</v>
      </c>
      <c r="O439">
        <v>58</v>
      </c>
      <c r="P439">
        <v>138</v>
      </c>
      <c r="Q439">
        <v>82</v>
      </c>
      <c r="R439">
        <v>78</v>
      </c>
      <c r="S439">
        <v>120</v>
      </c>
      <c r="T439">
        <v>72</v>
      </c>
      <c r="U439">
        <v>65</v>
      </c>
      <c r="X439" s="18"/>
      <c r="Y439" s="34">
        <f t="shared" si="18"/>
        <v>87</v>
      </c>
      <c r="Z439">
        <f t="shared" si="19"/>
        <v>18</v>
      </c>
      <c r="AA439">
        <f t="shared" si="20"/>
        <v>34.49</v>
      </c>
    </row>
    <row r="440" spans="1:28" x14ac:dyDescent="0.25">
      <c r="A440">
        <v>137</v>
      </c>
      <c r="B440" s="33"/>
      <c r="C440">
        <v>43</v>
      </c>
      <c r="D440">
        <v>73</v>
      </c>
      <c r="E440" s="35">
        <v>184</v>
      </c>
      <c r="F440">
        <v>130</v>
      </c>
      <c r="G440">
        <v>70</v>
      </c>
      <c r="H440">
        <v>73</v>
      </c>
      <c r="I440">
        <v>69</v>
      </c>
      <c r="J440">
        <v>56</v>
      </c>
      <c r="K440">
        <v>190</v>
      </c>
      <c r="L440">
        <v>120</v>
      </c>
      <c r="M440">
        <v>115</v>
      </c>
      <c r="N440">
        <v>77</v>
      </c>
      <c r="O440">
        <v>74</v>
      </c>
      <c r="P440">
        <v>150</v>
      </c>
      <c r="Q440">
        <v>81</v>
      </c>
      <c r="R440">
        <v>82</v>
      </c>
      <c r="S440">
        <v>196</v>
      </c>
      <c r="T440">
        <v>134</v>
      </c>
      <c r="U440">
        <v>86</v>
      </c>
      <c r="X440" s="18"/>
      <c r="Y440" s="34">
        <f t="shared" si="18"/>
        <v>105</v>
      </c>
      <c r="Z440">
        <f t="shared" si="19"/>
        <v>32</v>
      </c>
      <c r="AA440">
        <f t="shared" si="20"/>
        <v>45.64</v>
      </c>
    </row>
    <row r="441" spans="1:28" x14ac:dyDescent="0.25">
      <c r="A441">
        <v>0</v>
      </c>
      <c r="B441" s="33"/>
      <c r="C441">
        <v>101</v>
      </c>
      <c r="D441">
        <v>114</v>
      </c>
      <c r="E441" s="35">
        <v>159</v>
      </c>
      <c r="F441">
        <v>168</v>
      </c>
      <c r="G441">
        <v>161</v>
      </c>
      <c r="H441">
        <v>145</v>
      </c>
      <c r="I441">
        <v>132</v>
      </c>
      <c r="J441">
        <v>145</v>
      </c>
      <c r="K441">
        <v>224</v>
      </c>
      <c r="L441">
        <v>171</v>
      </c>
      <c r="M441">
        <v>129</v>
      </c>
      <c r="N441">
        <v>84</v>
      </c>
      <c r="O441">
        <v>73</v>
      </c>
      <c r="P441">
        <v>113</v>
      </c>
      <c r="Q441">
        <v>76</v>
      </c>
      <c r="R441">
        <v>65</v>
      </c>
      <c r="S441">
        <v>153</v>
      </c>
      <c r="T441">
        <v>217</v>
      </c>
      <c r="U441">
        <v>116</v>
      </c>
      <c r="X441" s="18"/>
      <c r="Y441" s="34">
        <f t="shared" si="18"/>
        <v>134</v>
      </c>
      <c r="Z441">
        <f t="shared" si="19"/>
        <v>134</v>
      </c>
      <c r="AA441">
        <f t="shared" si="20"/>
        <v>43.59</v>
      </c>
    </row>
    <row r="442" spans="1:28" x14ac:dyDescent="0.25">
      <c r="A442">
        <v>150</v>
      </c>
      <c r="B442" s="33"/>
      <c r="C442">
        <v>136</v>
      </c>
      <c r="D442">
        <v>145</v>
      </c>
      <c r="E442" s="35">
        <v>156</v>
      </c>
      <c r="F442">
        <v>173</v>
      </c>
      <c r="G442">
        <v>190</v>
      </c>
      <c r="H442">
        <v>141</v>
      </c>
      <c r="I442">
        <v>169</v>
      </c>
      <c r="J442">
        <v>184</v>
      </c>
      <c r="K442">
        <v>194</v>
      </c>
      <c r="L442">
        <v>151</v>
      </c>
      <c r="M442">
        <v>131</v>
      </c>
      <c r="N442">
        <v>96</v>
      </c>
      <c r="O442">
        <v>168</v>
      </c>
      <c r="P442">
        <v>187</v>
      </c>
      <c r="Q442">
        <v>167</v>
      </c>
      <c r="R442">
        <v>192</v>
      </c>
      <c r="S442">
        <v>203</v>
      </c>
      <c r="T442">
        <v>318</v>
      </c>
      <c r="U442">
        <v>218</v>
      </c>
      <c r="V442">
        <v>188</v>
      </c>
      <c r="X442" s="18"/>
      <c r="Y442" s="34">
        <f t="shared" si="18"/>
        <v>175</v>
      </c>
      <c r="Z442">
        <f t="shared" si="19"/>
        <v>25</v>
      </c>
      <c r="AA442">
        <f t="shared" si="20"/>
        <v>43.12</v>
      </c>
      <c r="AB442" cm="1">
        <f t="array" ref="AB442">SUMPRODUCT(--(ABS(V442:V463- A442:A463) &lt;= AC500))/22</f>
        <v>0.36363636363636365</v>
      </c>
    </row>
    <row r="443" spans="1:28" x14ac:dyDescent="0.25">
      <c r="A443">
        <v>44</v>
      </c>
      <c r="B443" s="33"/>
      <c r="C443">
        <v>64</v>
      </c>
      <c r="D443">
        <v>47</v>
      </c>
      <c r="E443" s="35">
        <v>50</v>
      </c>
      <c r="F443">
        <v>55</v>
      </c>
      <c r="G443">
        <v>73</v>
      </c>
      <c r="H443">
        <v>85</v>
      </c>
      <c r="I443">
        <v>79</v>
      </c>
      <c r="J443">
        <v>62</v>
      </c>
      <c r="K443">
        <v>56</v>
      </c>
      <c r="L443">
        <v>47</v>
      </c>
      <c r="M443">
        <v>56</v>
      </c>
      <c r="N443">
        <v>31</v>
      </c>
      <c r="O443">
        <v>73</v>
      </c>
      <c r="P443">
        <v>193</v>
      </c>
      <c r="Q443">
        <v>92</v>
      </c>
      <c r="R443">
        <v>77</v>
      </c>
      <c r="S443">
        <v>82</v>
      </c>
      <c r="T443">
        <v>125</v>
      </c>
      <c r="U443">
        <v>52</v>
      </c>
      <c r="V443">
        <v>121</v>
      </c>
      <c r="X443" s="18"/>
      <c r="Y443" s="34">
        <f t="shared" si="18"/>
        <v>76</v>
      </c>
      <c r="Z443">
        <f t="shared" si="19"/>
        <v>32</v>
      </c>
      <c r="AA443">
        <f t="shared" si="20"/>
        <v>35.39</v>
      </c>
    </row>
    <row r="444" spans="1:28" x14ac:dyDescent="0.25">
      <c r="A444">
        <v>52</v>
      </c>
      <c r="B444" s="33"/>
      <c r="C444">
        <v>51</v>
      </c>
      <c r="D444">
        <v>56</v>
      </c>
      <c r="E444" s="35">
        <v>63</v>
      </c>
      <c r="F444">
        <v>100</v>
      </c>
      <c r="G444">
        <v>87</v>
      </c>
      <c r="H444">
        <v>59</v>
      </c>
      <c r="I444">
        <v>70</v>
      </c>
      <c r="J444">
        <v>56</v>
      </c>
      <c r="K444">
        <v>68</v>
      </c>
      <c r="L444">
        <v>46</v>
      </c>
      <c r="M444">
        <v>77</v>
      </c>
      <c r="N444">
        <v>46</v>
      </c>
      <c r="O444">
        <v>43</v>
      </c>
      <c r="P444">
        <v>110</v>
      </c>
      <c r="Q444">
        <v>85</v>
      </c>
      <c r="R444">
        <v>75</v>
      </c>
      <c r="S444">
        <v>91</v>
      </c>
      <c r="T444">
        <v>83</v>
      </c>
      <c r="U444">
        <v>46</v>
      </c>
      <c r="V444">
        <v>81</v>
      </c>
      <c r="X444" s="18"/>
      <c r="Y444" s="34">
        <f t="shared" si="18"/>
        <v>70</v>
      </c>
      <c r="Z444">
        <f t="shared" si="19"/>
        <v>18</v>
      </c>
      <c r="AA444">
        <f t="shared" si="20"/>
        <v>18.97</v>
      </c>
    </row>
    <row r="445" spans="1:28" x14ac:dyDescent="0.25">
      <c r="A445">
        <v>68</v>
      </c>
      <c r="B445" s="33"/>
      <c r="C445">
        <v>71</v>
      </c>
      <c r="D445">
        <v>62</v>
      </c>
      <c r="E445" s="35">
        <v>86</v>
      </c>
      <c r="F445">
        <v>66</v>
      </c>
      <c r="G445">
        <v>83</v>
      </c>
      <c r="H445">
        <v>69</v>
      </c>
      <c r="I445">
        <v>68</v>
      </c>
      <c r="J445">
        <v>53</v>
      </c>
      <c r="K445">
        <v>55</v>
      </c>
      <c r="L445">
        <v>42</v>
      </c>
      <c r="M445">
        <v>54</v>
      </c>
      <c r="N445">
        <v>47</v>
      </c>
      <c r="O445">
        <v>71</v>
      </c>
      <c r="P445">
        <v>171</v>
      </c>
      <c r="Q445">
        <v>75</v>
      </c>
      <c r="R445">
        <v>71</v>
      </c>
      <c r="S445">
        <v>113</v>
      </c>
      <c r="T445">
        <v>104</v>
      </c>
      <c r="U445">
        <v>44</v>
      </c>
      <c r="V445">
        <v>64</v>
      </c>
      <c r="X445" s="18"/>
      <c r="Y445" s="34">
        <f t="shared" si="18"/>
        <v>73</v>
      </c>
      <c r="Z445">
        <f t="shared" si="19"/>
        <v>5</v>
      </c>
      <c r="AA445">
        <f t="shared" si="20"/>
        <v>28.55</v>
      </c>
    </row>
    <row r="446" spans="1:28" x14ac:dyDescent="0.25">
      <c r="A446">
        <v>64</v>
      </c>
      <c r="B446" s="33"/>
      <c r="C446">
        <v>69</v>
      </c>
      <c r="D446">
        <v>90</v>
      </c>
      <c r="E446" s="35">
        <v>122</v>
      </c>
      <c r="F446">
        <v>106</v>
      </c>
      <c r="G446">
        <v>100</v>
      </c>
      <c r="H446">
        <v>85</v>
      </c>
      <c r="I446">
        <v>64</v>
      </c>
      <c r="J446">
        <v>66</v>
      </c>
      <c r="K446">
        <v>136</v>
      </c>
      <c r="L446">
        <v>87</v>
      </c>
      <c r="M446">
        <v>101</v>
      </c>
      <c r="N446">
        <v>65</v>
      </c>
      <c r="O446">
        <v>69</v>
      </c>
      <c r="P446">
        <v>138</v>
      </c>
      <c r="Q446">
        <v>77</v>
      </c>
      <c r="R446">
        <v>72</v>
      </c>
      <c r="S446">
        <v>128</v>
      </c>
      <c r="T446">
        <v>79</v>
      </c>
      <c r="U446">
        <v>62</v>
      </c>
      <c r="V446">
        <v>68</v>
      </c>
      <c r="X446" s="18"/>
      <c r="Y446" s="34">
        <f t="shared" si="18"/>
        <v>89</v>
      </c>
      <c r="Z446">
        <f t="shared" si="19"/>
        <v>25</v>
      </c>
      <c r="AA446">
        <f t="shared" si="20"/>
        <v>24.52</v>
      </c>
    </row>
    <row r="447" spans="1:28" x14ac:dyDescent="0.25">
      <c r="A447">
        <v>85</v>
      </c>
      <c r="B447" s="33"/>
      <c r="C447">
        <v>55</v>
      </c>
      <c r="D447">
        <v>60</v>
      </c>
      <c r="E447" s="35">
        <v>53</v>
      </c>
      <c r="F447">
        <v>110</v>
      </c>
      <c r="G447">
        <v>97</v>
      </c>
      <c r="H447">
        <v>114</v>
      </c>
      <c r="I447">
        <v>110</v>
      </c>
      <c r="J447">
        <v>58</v>
      </c>
      <c r="K447">
        <v>58</v>
      </c>
      <c r="L447">
        <v>42</v>
      </c>
      <c r="M447">
        <v>48</v>
      </c>
      <c r="N447">
        <v>115</v>
      </c>
      <c r="O447">
        <v>94</v>
      </c>
      <c r="P447">
        <v>102</v>
      </c>
      <c r="Q447">
        <v>81</v>
      </c>
      <c r="R447">
        <v>53</v>
      </c>
      <c r="S447">
        <v>50</v>
      </c>
      <c r="T447">
        <v>72</v>
      </c>
      <c r="U447">
        <v>40</v>
      </c>
      <c r="V447">
        <v>41</v>
      </c>
      <c r="X447" s="18"/>
      <c r="Y447" s="34">
        <f t="shared" si="18"/>
        <v>73</v>
      </c>
      <c r="Z447">
        <f t="shared" si="19"/>
        <v>12</v>
      </c>
      <c r="AA447">
        <f t="shared" si="20"/>
        <v>26.53</v>
      </c>
    </row>
    <row r="448" spans="1:28" x14ac:dyDescent="0.25">
      <c r="A448">
        <v>146</v>
      </c>
      <c r="B448" s="33"/>
      <c r="C448">
        <v>65</v>
      </c>
      <c r="D448">
        <v>88</v>
      </c>
      <c r="E448" s="35">
        <v>92</v>
      </c>
      <c r="F448">
        <v>152</v>
      </c>
      <c r="G448">
        <v>150</v>
      </c>
      <c r="H448">
        <v>203</v>
      </c>
      <c r="I448">
        <v>178</v>
      </c>
      <c r="J448">
        <v>207</v>
      </c>
      <c r="K448">
        <v>125</v>
      </c>
      <c r="L448">
        <v>83</v>
      </c>
      <c r="M448">
        <v>51</v>
      </c>
      <c r="N448">
        <v>121</v>
      </c>
      <c r="O448">
        <v>76</v>
      </c>
      <c r="P448">
        <v>107</v>
      </c>
      <c r="Q448">
        <v>101</v>
      </c>
      <c r="R448">
        <v>51</v>
      </c>
      <c r="S448">
        <v>67</v>
      </c>
      <c r="T448">
        <v>60</v>
      </c>
      <c r="U448">
        <v>48</v>
      </c>
      <c r="V448">
        <v>44</v>
      </c>
      <c r="X448" s="18"/>
      <c r="Y448" s="34">
        <f t="shared" si="18"/>
        <v>103</v>
      </c>
      <c r="Z448">
        <f t="shared" si="19"/>
        <v>43</v>
      </c>
      <c r="AA448">
        <f t="shared" si="20"/>
        <v>49.93</v>
      </c>
    </row>
    <row r="449" spans="1:28" x14ac:dyDescent="0.25">
      <c r="A449">
        <v>178</v>
      </c>
      <c r="B449" s="33"/>
      <c r="C449">
        <v>159</v>
      </c>
      <c r="D449">
        <v>118</v>
      </c>
      <c r="E449" s="35">
        <v>127</v>
      </c>
      <c r="F449">
        <v>182</v>
      </c>
      <c r="G449">
        <v>226</v>
      </c>
      <c r="H449">
        <v>207</v>
      </c>
      <c r="I449">
        <v>162</v>
      </c>
      <c r="J449">
        <v>225</v>
      </c>
      <c r="K449">
        <v>222</v>
      </c>
      <c r="L449">
        <v>191</v>
      </c>
      <c r="M449">
        <v>166</v>
      </c>
      <c r="N449">
        <v>119</v>
      </c>
      <c r="O449">
        <v>182</v>
      </c>
      <c r="P449">
        <v>176</v>
      </c>
      <c r="Q449">
        <v>185</v>
      </c>
      <c r="R449">
        <v>121</v>
      </c>
      <c r="S449">
        <v>136</v>
      </c>
      <c r="T449">
        <v>288</v>
      </c>
      <c r="U449">
        <v>195</v>
      </c>
      <c r="V449">
        <v>180</v>
      </c>
      <c r="X449" s="18"/>
      <c r="Y449" s="34">
        <f t="shared" si="18"/>
        <v>178</v>
      </c>
      <c r="Z449">
        <f t="shared" si="19"/>
        <v>0</v>
      </c>
      <c r="AA449">
        <f t="shared" si="20"/>
        <v>42.07</v>
      </c>
    </row>
    <row r="450" spans="1:28" x14ac:dyDescent="0.25">
      <c r="A450">
        <v>92</v>
      </c>
      <c r="B450" s="33"/>
      <c r="C450">
        <v>66</v>
      </c>
      <c r="D450">
        <v>47</v>
      </c>
      <c r="E450" s="35">
        <v>47</v>
      </c>
      <c r="F450">
        <v>57</v>
      </c>
      <c r="G450">
        <v>85</v>
      </c>
      <c r="H450">
        <v>97</v>
      </c>
      <c r="I450">
        <v>47</v>
      </c>
      <c r="J450">
        <v>46</v>
      </c>
      <c r="K450">
        <v>41</v>
      </c>
      <c r="L450">
        <v>43</v>
      </c>
      <c r="M450">
        <v>75</v>
      </c>
      <c r="N450">
        <v>64</v>
      </c>
      <c r="O450">
        <v>45</v>
      </c>
      <c r="P450">
        <v>166</v>
      </c>
      <c r="Q450">
        <v>103</v>
      </c>
      <c r="R450">
        <v>89</v>
      </c>
      <c r="S450">
        <v>110</v>
      </c>
      <c r="T450">
        <v>54</v>
      </c>
      <c r="U450">
        <v>40</v>
      </c>
      <c r="V450">
        <v>47</v>
      </c>
      <c r="X450" s="18"/>
      <c r="Y450" s="34">
        <f t="shared" si="18"/>
        <v>68</v>
      </c>
      <c r="Z450">
        <f t="shared" si="19"/>
        <v>24</v>
      </c>
      <c r="AA450">
        <f t="shared" si="20"/>
        <v>31.19</v>
      </c>
    </row>
    <row r="451" spans="1:28" x14ac:dyDescent="0.25">
      <c r="A451">
        <v>113</v>
      </c>
      <c r="B451" s="33"/>
      <c r="C451">
        <v>53</v>
      </c>
      <c r="D451">
        <v>41</v>
      </c>
      <c r="E451" s="35">
        <v>68</v>
      </c>
      <c r="F451">
        <v>44</v>
      </c>
      <c r="G451">
        <v>80</v>
      </c>
      <c r="H451">
        <v>72</v>
      </c>
      <c r="I451">
        <v>52</v>
      </c>
      <c r="J451">
        <v>46</v>
      </c>
      <c r="K451">
        <v>44</v>
      </c>
      <c r="L451">
        <v>48</v>
      </c>
      <c r="M451">
        <v>92</v>
      </c>
      <c r="N451">
        <v>71</v>
      </c>
      <c r="O451">
        <v>60</v>
      </c>
      <c r="P451">
        <v>203</v>
      </c>
      <c r="Q451">
        <v>104</v>
      </c>
      <c r="R451">
        <v>86</v>
      </c>
      <c r="S451">
        <v>138</v>
      </c>
      <c r="T451">
        <v>98</v>
      </c>
      <c r="U451">
        <v>52</v>
      </c>
      <c r="V451">
        <v>138</v>
      </c>
      <c r="X451" s="18"/>
      <c r="Y451" s="34">
        <f t="shared" si="18"/>
        <v>80</v>
      </c>
      <c r="Z451">
        <f t="shared" si="19"/>
        <v>33</v>
      </c>
      <c r="AA451">
        <f t="shared" si="20"/>
        <v>40.130000000000003</v>
      </c>
    </row>
    <row r="452" spans="1:28" x14ac:dyDescent="0.25">
      <c r="A452">
        <v>77</v>
      </c>
      <c r="B452" s="33"/>
      <c r="C452">
        <v>43</v>
      </c>
      <c r="D452">
        <v>44</v>
      </c>
      <c r="E452" s="35">
        <v>86</v>
      </c>
      <c r="F452">
        <v>70</v>
      </c>
      <c r="G452">
        <v>71</v>
      </c>
      <c r="H452">
        <v>83</v>
      </c>
      <c r="I452">
        <v>89</v>
      </c>
      <c r="J452">
        <v>67</v>
      </c>
      <c r="K452">
        <v>80</v>
      </c>
      <c r="L452">
        <v>58</v>
      </c>
      <c r="M452">
        <v>99</v>
      </c>
      <c r="N452">
        <v>58</v>
      </c>
      <c r="O452">
        <v>56</v>
      </c>
      <c r="P452">
        <v>167</v>
      </c>
      <c r="Q452">
        <v>96</v>
      </c>
      <c r="R452">
        <v>89</v>
      </c>
      <c r="S452">
        <v>136</v>
      </c>
      <c r="T452">
        <v>56</v>
      </c>
      <c r="U452">
        <v>50</v>
      </c>
      <c r="V452">
        <v>63</v>
      </c>
      <c r="X452" s="18"/>
      <c r="Y452" s="34">
        <f t="shared" si="18"/>
        <v>78</v>
      </c>
      <c r="Z452">
        <f t="shared" si="19"/>
        <v>1</v>
      </c>
      <c r="AA452">
        <f t="shared" si="20"/>
        <v>29.81</v>
      </c>
    </row>
    <row r="453" spans="1:28" x14ac:dyDescent="0.25">
      <c r="A453">
        <v>80</v>
      </c>
      <c r="B453" s="33"/>
      <c r="C453">
        <v>89</v>
      </c>
      <c r="D453">
        <v>100</v>
      </c>
      <c r="E453" s="35">
        <v>54</v>
      </c>
      <c r="F453">
        <v>58</v>
      </c>
      <c r="G453">
        <v>62</v>
      </c>
      <c r="H453">
        <v>57</v>
      </c>
      <c r="I453">
        <v>47</v>
      </c>
      <c r="J453">
        <v>48</v>
      </c>
      <c r="K453">
        <v>161</v>
      </c>
      <c r="L453">
        <v>57</v>
      </c>
      <c r="M453">
        <v>48</v>
      </c>
      <c r="N453">
        <v>39</v>
      </c>
      <c r="O453">
        <v>88</v>
      </c>
      <c r="P453">
        <v>144</v>
      </c>
      <c r="Q453">
        <v>87</v>
      </c>
      <c r="R453">
        <v>79</v>
      </c>
      <c r="S453">
        <v>122</v>
      </c>
      <c r="T453">
        <v>84</v>
      </c>
      <c r="U453">
        <v>50</v>
      </c>
      <c r="V453">
        <v>67</v>
      </c>
      <c r="X453" s="18"/>
      <c r="Y453" s="34">
        <f t="shared" si="18"/>
        <v>77</v>
      </c>
      <c r="Z453">
        <f t="shared" si="19"/>
        <v>3</v>
      </c>
      <c r="AA453">
        <f t="shared" si="20"/>
        <v>32.619999999999997</v>
      </c>
    </row>
    <row r="454" spans="1:28" x14ac:dyDescent="0.25">
      <c r="A454">
        <v>84</v>
      </c>
      <c r="B454" s="33"/>
      <c r="C454">
        <v>80</v>
      </c>
      <c r="D454">
        <v>114</v>
      </c>
      <c r="E454" s="35">
        <v>93</v>
      </c>
      <c r="F454">
        <v>80</v>
      </c>
      <c r="G454">
        <v>76</v>
      </c>
      <c r="H454">
        <v>99</v>
      </c>
      <c r="I454">
        <v>134</v>
      </c>
      <c r="J454">
        <v>129</v>
      </c>
      <c r="K454">
        <v>141</v>
      </c>
      <c r="L454">
        <v>127</v>
      </c>
      <c r="M454">
        <v>106</v>
      </c>
      <c r="N454">
        <v>79</v>
      </c>
      <c r="O454">
        <v>133</v>
      </c>
      <c r="P454">
        <v>122</v>
      </c>
      <c r="Q454">
        <v>133</v>
      </c>
      <c r="R454">
        <v>65</v>
      </c>
      <c r="S454">
        <v>80</v>
      </c>
      <c r="T454">
        <v>140</v>
      </c>
      <c r="U454">
        <v>115</v>
      </c>
      <c r="V454">
        <v>102</v>
      </c>
      <c r="X454" s="18"/>
      <c r="Y454" s="34">
        <f t="shared" si="18"/>
        <v>107</v>
      </c>
      <c r="Z454">
        <f t="shared" si="19"/>
        <v>23</v>
      </c>
      <c r="AA454">
        <f t="shared" si="20"/>
        <v>24.01</v>
      </c>
    </row>
    <row r="455" spans="1:28" x14ac:dyDescent="0.25">
      <c r="A455">
        <v>127</v>
      </c>
      <c r="B455" s="33"/>
      <c r="C455">
        <v>128</v>
      </c>
      <c r="D455">
        <v>157</v>
      </c>
      <c r="E455" s="35">
        <v>216</v>
      </c>
      <c r="F455">
        <v>166</v>
      </c>
      <c r="G455">
        <v>176</v>
      </c>
      <c r="H455">
        <v>117</v>
      </c>
      <c r="I455">
        <v>119</v>
      </c>
      <c r="J455">
        <v>139</v>
      </c>
      <c r="K455">
        <v>165</v>
      </c>
      <c r="L455">
        <v>177</v>
      </c>
      <c r="M455">
        <v>144</v>
      </c>
      <c r="N455">
        <v>114</v>
      </c>
      <c r="O455">
        <v>77</v>
      </c>
      <c r="P455">
        <v>106</v>
      </c>
      <c r="Q455">
        <v>59</v>
      </c>
      <c r="R455">
        <v>53</v>
      </c>
      <c r="S455">
        <v>167</v>
      </c>
      <c r="T455">
        <v>167</v>
      </c>
      <c r="U455">
        <v>124</v>
      </c>
      <c r="V455">
        <v>197</v>
      </c>
      <c r="X455" s="18"/>
      <c r="Y455" s="34">
        <f t="shared" si="18"/>
        <v>138</v>
      </c>
      <c r="Z455">
        <f t="shared" si="19"/>
        <v>11</v>
      </c>
      <c r="AA455">
        <f t="shared" si="20"/>
        <v>42.43</v>
      </c>
    </row>
    <row r="456" spans="1:28" x14ac:dyDescent="0.25">
      <c r="A456">
        <v>210</v>
      </c>
      <c r="B456" s="33"/>
      <c r="C456">
        <v>134</v>
      </c>
      <c r="D456">
        <v>111</v>
      </c>
      <c r="E456" s="35">
        <v>129</v>
      </c>
      <c r="F456">
        <v>170</v>
      </c>
      <c r="G456">
        <v>208</v>
      </c>
      <c r="H456">
        <v>263</v>
      </c>
      <c r="I456">
        <v>194</v>
      </c>
      <c r="J456">
        <v>233</v>
      </c>
      <c r="K456">
        <v>202</v>
      </c>
      <c r="L456">
        <v>187</v>
      </c>
      <c r="M456">
        <v>171</v>
      </c>
      <c r="N456">
        <v>127</v>
      </c>
      <c r="O456">
        <v>84</v>
      </c>
      <c r="P456">
        <v>145</v>
      </c>
      <c r="Q456">
        <v>151</v>
      </c>
      <c r="R456">
        <v>51</v>
      </c>
      <c r="S456">
        <v>136</v>
      </c>
      <c r="T456">
        <v>238</v>
      </c>
      <c r="U456">
        <v>168</v>
      </c>
      <c r="V456">
        <v>146</v>
      </c>
      <c r="X456" s="18"/>
      <c r="Y456" s="34">
        <f t="shared" si="18"/>
        <v>162</v>
      </c>
      <c r="Z456">
        <f t="shared" si="19"/>
        <v>48</v>
      </c>
      <c r="AA456">
        <f t="shared" si="20"/>
        <v>50.99</v>
      </c>
    </row>
    <row r="457" spans="1:28" x14ac:dyDescent="0.25">
      <c r="A457">
        <v>53</v>
      </c>
      <c r="B457" s="33"/>
      <c r="C457">
        <v>53</v>
      </c>
      <c r="D457">
        <v>67</v>
      </c>
      <c r="E457" s="35">
        <v>91</v>
      </c>
      <c r="F457">
        <v>82</v>
      </c>
      <c r="G457">
        <v>106</v>
      </c>
      <c r="H457">
        <v>66</v>
      </c>
      <c r="I457">
        <v>96</v>
      </c>
      <c r="J457">
        <v>58</v>
      </c>
      <c r="K457">
        <v>67</v>
      </c>
      <c r="L457">
        <v>43</v>
      </c>
      <c r="M457">
        <v>95</v>
      </c>
      <c r="N457">
        <v>43</v>
      </c>
      <c r="O457">
        <v>42</v>
      </c>
      <c r="P457">
        <v>123</v>
      </c>
      <c r="Q457">
        <v>95</v>
      </c>
      <c r="R457">
        <v>73</v>
      </c>
      <c r="S457">
        <v>64</v>
      </c>
      <c r="T457">
        <v>94</v>
      </c>
      <c r="U457">
        <v>43</v>
      </c>
      <c r="V457">
        <v>62</v>
      </c>
      <c r="X457" s="18"/>
      <c r="Y457" s="34">
        <f t="shared" si="18"/>
        <v>73</v>
      </c>
      <c r="Z457">
        <f t="shared" si="19"/>
        <v>20</v>
      </c>
      <c r="AA457">
        <f t="shared" si="20"/>
        <v>22.96</v>
      </c>
    </row>
    <row r="458" spans="1:28" x14ac:dyDescent="0.25">
      <c r="A458">
        <v>66</v>
      </c>
      <c r="B458" s="33"/>
      <c r="C458">
        <v>50</v>
      </c>
      <c r="D458">
        <v>55</v>
      </c>
      <c r="E458" s="35">
        <v>62</v>
      </c>
      <c r="F458">
        <v>106</v>
      </c>
      <c r="G458">
        <v>89</v>
      </c>
      <c r="H458">
        <v>56</v>
      </c>
      <c r="I458">
        <v>71</v>
      </c>
      <c r="J458">
        <v>59</v>
      </c>
      <c r="K458">
        <v>69</v>
      </c>
      <c r="L458">
        <v>47</v>
      </c>
      <c r="M458">
        <v>78</v>
      </c>
      <c r="N458">
        <v>44</v>
      </c>
      <c r="O458">
        <v>43</v>
      </c>
      <c r="P458">
        <v>109</v>
      </c>
      <c r="Q458">
        <v>83</v>
      </c>
      <c r="R458">
        <v>73</v>
      </c>
      <c r="S458">
        <v>87</v>
      </c>
      <c r="T458">
        <v>78</v>
      </c>
      <c r="U458">
        <v>47</v>
      </c>
      <c r="V458">
        <v>82</v>
      </c>
      <c r="X458" s="18"/>
      <c r="Y458" s="34">
        <f t="shared" si="18"/>
        <v>69</v>
      </c>
      <c r="Z458">
        <f t="shared" si="19"/>
        <v>3</v>
      </c>
      <c r="AA458">
        <f t="shared" si="20"/>
        <v>19.21</v>
      </c>
    </row>
    <row r="459" spans="1:28" x14ac:dyDescent="0.25">
      <c r="A459">
        <v>73</v>
      </c>
      <c r="B459" s="33"/>
      <c r="C459">
        <v>43</v>
      </c>
      <c r="D459">
        <v>48</v>
      </c>
      <c r="E459" s="35">
        <v>67</v>
      </c>
      <c r="F459">
        <v>97</v>
      </c>
      <c r="G459">
        <v>84</v>
      </c>
      <c r="H459">
        <v>62</v>
      </c>
      <c r="I459">
        <v>84</v>
      </c>
      <c r="J459">
        <v>53</v>
      </c>
      <c r="K459">
        <v>71</v>
      </c>
      <c r="L459">
        <v>60</v>
      </c>
      <c r="M459">
        <v>50</v>
      </c>
      <c r="N459">
        <v>40</v>
      </c>
      <c r="O459">
        <v>43</v>
      </c>
      <c r="P459">
        <v>101</v>
      </c>
      <c r="Q459">
        <v>78</v>
      </c>
      <c r="R459">
        <v>73</v>
      </c>
      <c r="S459">
        <v>98</v>
      </c>
      <c r="T459">
        <v>80</v>
      </c>
      <c r="U459">
        <v>61</v>
      </c>
      <c r="V459">
        <v>88</v>
      </c>
      <c r="X459" s="18"/>
      <c r="Y459" s="34">
        <f t="shared" si="18"/>
        <v>69</v>
      </c>
      <c r="Z459">
        <f t="shared" si="19"/>
        <v>4</v>
      </c>
      <c r="AA459">
        <f t="shared" si="20"/>
        <v>18.88</v>
      </c>
    </row>
    <row r="460" spans="1:28" x14ac:dyDescent="0.25">
      <c r="A460">
        <v>61</v>
      </c>
      <c r="B460" s="33"/>
      <c r="C460">
        <v>67</v>
      </c>
      <c r="D460">
        <v>48</v>
      </c>
      <c r="E460" s="35">
        <v>63</v>
      </c>
      <c r="F460">
        <v>104</v>
      </c>
      <c r="G460">
        <v>91</v>
      </c>
      <c r="H460">
        <v>104</v>
      </c>
      <c r="I460">
        <v>131</v>
      </c>
      <c r="J460">
        <v>61</v>
      </c>
      <c r="K460">
        <v>81</v>
      </c>
      <c r="L460">
        <v>69</v>
      </c>
      <c r="M460">
        <v>45</v>
      </c>
      <c r="N460">
        <v>34</v>
      </c>
      <c r="O460">
        <v>63</v>
      </c>
      <c r="P460">
        <v>97</v>
      </c>
      <c r="Q460">
        <v>82</v>
      </c>
      <c r="R460">
        <v>75</v>
      </c>
      <c r="S460">
        <v>77</v>
      </c>
      <c r="T460">
        <v>67</v>
      </c>
      <c r="U460">
        <v>89</v>
      </c>
      <c r="V460">
        <v>97</v>
      </c>
      <c r="X460" s="18"/>
      <c r="Y460" s="34">
        <f t="shared" si="18"/>
        <v>77</v>
      </c>
      <c r="Z460">
        <f t="shared" si="19"/>
        <v>16</v>
      </c>
      <c r="AA460">
        <f t="shared" si="20"/>
        <v>22.57</v>
      </c>
    </row>
    <row r="461" spans="1:28" x14ac:dyDescent="0.25">
      <c r="A461">
        <v>93</v>
      </c>
      <c r="B461" s="33"/>
      <c r="C461">
        <v>89</v>
      </c>
      <c r="D461">
        <v>95</v>
      </c>
      <c r="E461" s="35">
        <v>84</v>
      </c>
      <c r="F461">
        <v>85</v>
      </c>
      <c r="G461">
        <v>87</v>
      </c>
      <c r="H461">
        <v>118</v>
      </c>
      <c r="I461">
        <v>116</v>
      </c>
      <c r="J461">
        <v>106</v>
      </c>
      <c r="K461">
        <v>179</v>
      </c>
      <c r="L461">
        <v>115</v>
      </c>
      <c r="M461">
        <v>58</v>
      </c>
      <c r="N461">
        <v>45</v>
      </c>
      <c r="O461">
        <v>112</v>
      </c>
      <c r="P461">
        <v>145</v>
      </c>
      <c r="Q461">
        <v>93</v>
      </c>
      <c r="R461">
        <v>97</v>
      </c>
      <c r="S461">
        <v>111</v>
      </c>
      <c r="T461">
        <v>152</v>
      </c>
      <c r="U461">
        <v>92</v>
      </c>
      <c r="V461">
        <v>106</v>
      </c>
      <c r="X461" s="18"/>
      <c r="Y461" s="34">
        <f t="shared" si="18"/>
        <v>104</v>
      </c>
      <c r="Z461">
        <f t="shared" si="19"/>
        <v>11</v>
      </c>
      <c r="AA461">
        <f t="shared" si="20"/>
        <v>29.54</v>
      </c>
    </row>
    <row r="462" spans="1:28" x14ac:dyDescent="0.25">
      <c r="A462">
        <v>122</v>
      </c>
      <c r="B462" s="33"/>
      <c r="C462">
        <v>118</v>
      </c>
      <c r="D462">
        <v>131</v>
      </c>
      <c r="E462" s="35">
        <v>202</v>
      </c>
      <c r="F462">
        <v>162</v>
      </c>
      <c r="G462">
        <v>149</v>
      </c>
      <c r="H462">
        <v>141</v>
      </c>
      <c r="I462">
        <v>136</v>
      </c>
      <c r="J462">
        <v>161</v>
      </c>
      <c r="K462">
        <v>222</v>
      </c>
      <c r="L462">
        <v>176</v>
      </c>
      <c r="M462">
        <v>143</v>
      </c>
      <c r="N462">
        <v>89</v>
      </c>
      <c r="O462">
        <v>68</v>
      </c>
      <c r="P462">
        <v>114</v>
      </c>
      <c r="Q462">
        <v>73</v>
      </c>
      <c r="R462">
        <v>64</v>
      </c>
      <c r="S462">
        <v>163</v>
      </c>
      <c r="T462">
        <v>177</v>
      </c>
      <c r="U462">
        <v>113</v>
      </c>
      <c r="V462">
        <v>173</v>
      </c>
      <c r="X462" s="18"/>
      <c r="Y462" s="34">
        <f t="shared" si="18"/>
        <v>139</v>
      </c>
      <c r="Z462">
        <f t="shared" si="19"/>
        <v>17</v>
      </c>
      <c r="AA462">
        <f t="shared" si="20"/>
        <v>42.35</v>
      </c>
    </row>
    <row r="463" spans="1:28" x14ac:dyDescent="0.25">
      <c r="A463">
        <v>135</v>
      </c>
      <c r="B463" s="33"/>
      <c r="C463">
        <v>169</v>
      </c>
      <c r="D463">
        <v>129</v>
      </c>
      <c r="E463" s="35">
        <v>190</v>
      </c>
      <c r="F463">
        <v>175</v>
      </c>
      <c r="G463">
        <v>193</v>
      </c>
      <c r="H463">
        <v>180</v>
      </c>
      <c r="I463">
        <v>162</v>
      </c>
      <c r="J463">
        <v>223</v>
      </c>
      <c r="K463">
        <v>225</v>
      </c>
      <c r="L463">
        <v>196</v>
      </c>
      <c r="M463">
        <v>173</v>
      </c>
      <c r="N463">
        <v>114</v>
      </c>
      <c r="O463">
        <v>77</v>
      </c>
      <c r="P463">
        <v>118</v>
      </c>
      <c r="Q463">
        <v>116</v>
      </c>
      <c r="R463">
        <v>51</v>
      </c>
      <c r="S463">
        <v>160</v>
      </c>
      <c r="T463">
        <v>223</v>
      </c>
      <c r="U463">
        <v>159</v>
      </c>
      <c r="V463">
        <v>201</v>
      </c>
      <c r="X463" s="18"/>
      <c r="Y463" s="34">
        <f t="shared" si="18"/>
        <v>162</v>
      </c>
      <c r="Z463">
        <f t="shared" si="19"/>
        <v>27</v>
      </c>
      <c r="AA463">
        <f t="shared" si="20"/>
        <v>46.64</v>
      </c>
    </row>
    <row r="464" spans="1:28" x14ac:dyDescent="0.25">
      <c r="A464">
        <v>31</v>
      </c>
      <c r="B464" s="33"/>
      <c r="C464">
        <v>63</v>
      </c>
      <c r="D464">
        <v>44</v>
      </c>
      <c r="E464" s="35">
        <v>53</v>
      </c>
      <c r="F464">
        <v>44</v>
      </c>
      <c r="G464">
        <v>91</v>
      </c>
      <c r="H464">
        <v>106</v>
      </c>
      <c r="I464">
        <v>54</v>
      </c>
      <c r="J464">
        <v>46</v>
      </c>
      <c r="K464">
        <v>41</v>
      </c>
      <c r="L464">
        <v>44</v>
      </c>
      <c r="M464">
        <v>87</v>
      </c>
      <c r="N464">
        <v>78</v>
      </c>
      <c r="O464">
        <v>51</v>
      </c>
      <c r="P464">
        <v>204</v>
      </c>
      <c r="Q464">
        <v>110</v>
      </c>
      <c r="R464">
        <v>94</v>
      </c>
      <c r="S464">
        <v>127</v>
      </c>
      <c r="T464">
        <v>60</v>
      </c>
      <c r="U464">
        <v>46</v>
      </c>
      <c r="V464">
        <v>62</v>
      </c>
      <c r="W464">
        <v>106</v>
      </c>
      <c r="X464" s="18"/>
      <c r="Y464" s="34">
        <f t="shared" si="18"/>
        <v>77</v>
      </c>
      <c r="Z464">
        <f t="shared" si="19"/>
        <v>46</v>
      </c>
      <c r="AA464">
        <f t="shared" si="20"/>
        <v>38.4</v>
      </c>
      <c r="AB464" cm="1">
        <f t="array" ref="AB464">SUMPRODUCT(--(ABS(W464:W485- A464:A485) &lt;= AC500))/22</f>
        <v>0.36363636363636365</v>
      </c>
    </row>
    <row r="465" spans="1:27" x14ac:dyDescent="0.25">
      <c r="A465">
        <v>70</v>
      </c>
      <c r="B465" s="33"/>
      <c r="C465">
        <v>55</v>
      </c>
      <c r="D465">
        <v>45</v>
      </c>
      <c r="E465" s="35">
        <v>63</v>
      </c>
      <c r="F465">
        <v>56</v>
      </c>
      <c r="G465">
        <v>80</v>
      </c>
      <c r="H465">
        <v>103</v>
      </c>
      <c r="I465">
        <v>105</v>
      </c>
      <c r="J465">
        <v>55</v>
      </c>
      <c r="K465">
        <v>66</v>
      </c>
      <c r="L465">
        <v>50</v>
      </c>
      <c r="M465">
        <v>59</v>
      </c>
      <c r="N465">
        <v>55</v>
      </c>
      <c r="O465">
        <v>51</v>
      </c>
      <c r="P465">
        <v>188</v>
      </c>
      <c r="Q465">
        <v>108</v>
      </c>
      <c r="R465">
        <v>96</v>
      </c>
      <c r="S465">
        <v>137</v>
      </c>
      <c r="T465">
        <v>55</v>
      </c>
      <c r="U465">
        <v>42</v>
      </c>
      <c r="V465">
        <v>45</v>
      </c>
      <c r="W465">
        <v>68</v>
      </c>
      <c r="X465" s="18"/>
      <c r="Y465" s="34">
        <f t="shared" si="18"/>
        <v>75</v>
      </c>
      <c r="Z465">
        <f t="shared" si="19"/>
        <v>5</v>
      </c>
      <c r="AA465">
        <f t="shared" si="20"/>
        <v>35.479999999999997</v>
      </c>
    </row>
    <row r="466" spans="1:27" x14ac:dyDescent="0.25">
      <c r="A466">
        <v>69</v>
      </c>
      <c r="B466" s="33"/>
      <c r="C466">
        <v>43</v>
      </c>
      <c r="D466">
        <v>44</v>
      </c>
      <c r="E466" s="35">
        <v>89</v>
      </c>
      <c r="F466">
        <v>73</v>
      </c>
      <c r="G466">
        <v>63</v>
      </c>
      <c r="H466">
        <v>90</v>
      </c>
      <c r="I466">
        <v>91</v>
      </c>
      <c r="J466">
        <v>63</v>
      </c>
      <c r="K466">
        <v>81</v>
      </c>
      <c r="L466">
        <v>54</v>
      </c>
      <c r="M466">
        <v>85</v>
      </c>
      <c r="N466">
        <v>50</v>
      </c>
      <c r="O466">
        <v>55</v>
      </c>
      <c r="P466">
        <v>171</v>
      </c>
      <c r="Q466">
        <v>98</v>
      </c>
      <c r="R466">
        <v>91</v>
      </c>
      <c r="S466">
        <v>134</v>
      </c>
      <c r="T466">
        <v>56</v>
      </c>
      <c r="U466">
        <v>51</v>
      </c>
      <c r="V466">
        <v>72</v>
      </c>
      <c r="W466">
        <v>78</v>
      </c>
      <c r="X466" s="18"/>
      <c r="Y466" s="34">
        <f t="shared" si="18"/>
        <v>78</v>
      </c>
      <c r="Z466">
        <f t="shared" si="19"/>
        <v>9</v>
      </c>
      <c r="AA466">
        <f t="shared" si="20"/>
        <v>29.95</v>
      </c>
    </row>
    <row r="467" spans="1:27" x14ac:dyDescent="0.25">
      <c r="A467">
        <v>90</v>
      </c>
      <c r="B467" s="33"/>
      <c r="C467">
        <v>66</v>
      </c>
      <c r="D467">
        <v>85</v>
      </c>
      <c r="E467" s="35">
        <v>43</v>
      </c>
      <c r="F467">
        <v>61</v>
      </c>
      <c r="G467">
        <v>60</v>
      </c>
      <c r="H467">
        <v>62</v>
      </c>
      <c r="I467">
        <v>52</v>
      </c>
      <c r="J467">
        <v>53</v>
      </c>
      <c r="K467">
        <v>49</v>
      </c>
      <c r="L467">
        <v>42</v>
      </c>
      <c r="M467">
        <v>44</v>
      </c>
      <c r="N467">
        <v>64</v>
      </c>
      <c r="O467">
        <v>103</v>
      </c>
      <c r="P467">
        <v>149</v>
      </c>
      <c r="Q467">
        <v>83</v>
      </c>
      <c r="R467">
        <v>54</v>
      </c>
      <c r="S467">
        <v>76</v>
      </c>
      <c r="T467">
        <v>79</v>
      </c>
      <c r="U467">
        <v>44</v>
      </c>
      <c r="V467">
        <v>61</v>
      </c>
      <c r="W467">
        <v>67</v>
      </c>
      <c r="X467" s="18"/>
      <c r="Y467" s="34">
        <f t="shared" si="18"/>
        <v>67</v>
      </c>
      <c r="Z467">
        <f t="shared" si="19"/>
        <v>23</v>
      </c>
      <c r="AA467">
        <f t="shared" si="20"/>
        <v>24.05</v>
      </c>
    </row>
    <row r="468" spans="1:27" x14ac:dyDescent="0.25">
      <c r="A468">
        <v>109</v>
      </c>
      <c r="B468" s="33"/>
      <c r="C468">
        <v>95</v>
      </c>
      <c r="D468">
        <v>122</v>
      </c>
      <c r="E468" s="35">
        <v>47</v>
      </c>
      <c r="F468">
        <v>67</v>
      </c>
      <c r="G468">
        <v>90</v>
      </c>
      <c r="H468">
        <v>91</v>
      </c>
      <c r="I468">
        <v>169</v>
      </c>
      <c r="J468">
        <v>133</v>
      </c>
      <c r="K468">
        <v>47</v>
      </c>
      <c r="L468">
        <v>50</v>
      </c>
      <c r="M468">
        <v>52</v>
      </c>
      <c r="N468">
        <v>62</v>
      </c>
      <c r="O468">
        <v>125</v>
      </c>
      <c r="P468">
        <v>153</v>
      </c>
      <c r="Q468">
        <v>96</v>
      </c>
      <c r="R468">
        <v>98</v>
      </c>
      <c r="S468">
        <v>58</v>
      </c>
      <c r="T468">
        <v>138</v>
      </c>
      <c r="U468">
        <v>136</v>
      </c>
      <c r="V468">
        <v>121</v>
      </c>
      <c r="W468">
        <v>50</v>
      </c>
      <c r="X468" s="18"/>
      <c r="Y468" s="34">
        <f t="shared" si="18"/>
        <v>95</v>
      </c>
      <c r="Z468">
        <f t="shared" si="19"/>
        <v>14</v>
      </c>
      <c r="AA468">
        <f t="shared" si="20"/>
        <v>37.74</v>
      </c>
    </row>
    <row r="469" spans="1:27" x14ac:dyDescent="0.25">
      <c r="A469">
        <v>191</v>
      </c>
      <c r="B469" s="33"/>
      <c r="C469">
        <v>150</v>
      </c>
      <c r="D469">
        <v>146</v>
      </c>
      <c r="E469" s="35">
        <v>152</v>
      </c>
      <c r="F469">
        <v>159</v>
      </c>
      <c r="G469">
        <v>194</v>
      </c>
      <c r="H469">
        <v>142</v>
      </c>
      <c r="I469">
        <v>155</v>
      </c>
      <c r="J469">
        <v>189</v>
      </c>
      <c r="K469">
        <v>189</v>
      </c>
      <c r="L469">
        <v>172</v>
      </c>
      <c r="M469">
        <v>147</v>
      </c>
      <c r="N469">
        <v>107</v>
      </c>
      <c r="O469">
        <v>172</v>
      </c>
      <c r="P469">
        <v>167</v>
      </c>
      <c r="Q469">
        <v>180</v>
      </c>
      <c r="R469">
        <v>156</v>
      </c>
      <c r="S469">
        <v>152</v>
      </c>
      <c r="T469">
        <v>249</v>
      </c>
      <c r="U469">
        <v>190</v>
      </c>
      <c r="V469">
        <v>151</v>
      </c>
      <c r="W469">
        <v>126</v>
      </c>
      <c r="X469" s="18"/>
      <c r="Y469" s="34">
        <f t="shared" si="18"/>
        <v>164</v>
      </c>
      <c r="Z469">
        <f t="shared" si="19"/>
        <v>27</v>
      </c>
      <c r="AA469">
        <f t="shared" si="20"/>
        <v>28.5</v>
      </c>
    </row>
    <row r="470" spans="1:27" x14ac:dyDescent="0.25">
      <c r="A470">
        <v>161</v>
      </c>
      <c r="B470" s="33"/>
      <c r="C470">
        <v>182</v>
      </c>
      <c r="D470">
        <v>136</v>
      </c>
      <c r="E470" s="35">
        <v>162</v>
      </c>
      <c r="F470">
        <v>169</v>
      </c>
      <c r="G470">
        <v>207</v>
      </c>
      <c r="H470">
        <v>214</v>
      </c>
      <c r="I470">
        <v>161</v>
      </c>
      <c r="J470">
        <v>236</v>
      </c>
      <c r="K470">
        <v>213</v>
      </c>
      <c r="L470">
        <v>196</v>
      </c>
      <c r="M470">
        <v>176</v>
      </c>
      <c r="N470">
        <v>133</v>
      </c>
      <c r="O470">
        <v>147</v>
      </c>
      <c r="P470">
        <v>158</v>
      </c>
      <c r="Q470">
        <v>176</v>
      </c>
      <c r="R470">
        <v>46</v>
      </c>
      <c r="S470">
        <v>134</v>
      </c>
      <c r="T470">
        <v>227</v>
      </c>
      <c r="U470">
        <v>178</v>
      </c>
      <c r="V470">
        <v>196</v>
      </c>
      <c r="W470">
        <v>130</v>
      </c>
      <c r="X470" s="18"/>
      <c r="Y470" s="34">
        <f t="shared" si="18"/>
        <v>170</v>
      </c>
      <c r="Z470">
        <f t="shared" si="19"/>
        <v>9</v>
      </c>
      <c r="AA470">
        <f t="shared" si="20"/>
        <v>41.41</v>
      </c>
    </row>
    <row r="471" spans="1:27" x14ac:dyDescent="0.25">
      <c r="A471">
        <v>68</v>
      </c>
      <c r="B471" s="33"/>
      <c r="C471">
        <v>59</v>
      </c>
      <c r="D471">
        <v>46</v>
      </c>
      <c r="E471" s="35">
        <v>44</v>
      </c>
      <c r="F471">
        <v>91</v>
      </c>
      <c r="G471">
        <v>109</v>
      </c>
      <c r="H471">
        <v>72</v>
      </c>
      <c r="I471">
        <v>51</v>
      </c>
      <c r="J471">
        <v>46</v>
      </c>
      <c r="K471">
        <v>41</v>
      </c>
      <c r="L471">
        <v>43</v>
      </c>
      <c r="M471">
        <v>81</v>
      </c>
      <c r="N471">
        <v>56</v>
      </c>
      <c r="O471">
        <v>44</v>
      </c>
      <c r="P471">
        <v>128</v>
      </c>
      <c r="Q471">
        <v>82</v>
      </c>
      <c r="R471">
        <v>74</v>
      </c>
      <c r="S471">
        <v>80</v>
      </c>
      <c r="T471">
        <v>59</v>
      </c>
      <c r="U471">
        <v>40</v>
      </c>
      <c r="V471">
        <v>46</v>
      </c>
      <c r="W471">
        <v>87</v>
      </c>
      <c r="X471" s="18"/>
      <c r="Y471" s="34">
        <f t="shared" si="18"/>
        <v>66</v>
      </c>
      <c r="Z471">
        <f t="shared" si="19"/>
        <v>2</v>
      </c>
      <c r="AA471">
        <f t="shared" si="20"/>
        <v>23.86</v>
      </c>
    </row>
    <row r="472" spans="1:27" x14ac:dyDescent="0.25">
      <c r="A472">
        <v>75</v>
      </c>
      <c r="B472" s="33"/>
      <c r="C472">
        <v>54</v>
      </c>
      <c r="D472">
        <v>49</v>
      </c>
      <c r="E472" s="35">
        <v>60</v>
      </c>
      <c r="F472">
        <v>85</v>
      </c>
      <c r="G472">
        <v>86</v>
      </c>
      <c r="H472">
        <v>66</v>
      </c>
      <c r="I472">
        <v>52</v>
      </c>
      <c r="J472">
        <v>57</v>
      </c>
      <c r="K472">
        <v>59</v>
      </c>
      <c r="L472">
        <v>49</v>
      </c>
      <c r="M472">
        <v>66</v>
      </c>
      <c r="N472">
        <v>53</v>
      </c>
      <c r="O472">
        <v>45</v>
      </c>
      <c r="P472">
        <v>132</v>
      </c>
      <c r="Q472">
        <v>88</v>
      </c>
      <c r="R472">
        <v>77</v>
      </c>
      <c r="S472">
        <v>100</v>
      </c>
      <c r="T472">
        <v>57</v>
      </c>
      <c r="U472">
        <v>44</v>
      </c>
      <c r="V472">
        <v>48</v>
      </c>
      <c r="W472">
        <v>72</v>
      </c>
      <c r="X472" s="18"/>
      <c r="Y472" s="34">
        <f t="shared" si="18"/>
        <v>67</v>
      </c>
      <c r="Z472">
        <f t="shared" si="19"/>
        <v>8</v>
      </c>
      <c r="AA472">
        <f t="shared" si="20"/>
        <v>21.26</v>
      </c>
    </row>
    <row r="473" spans="1:27" x14ac:dyDescent="0.25">
      <c r="A473">
        <v>49</v>
      </c>
      <c r="B473" s="33"/>
      <c r="C473">
        <v>43</v>
      </c>
      <c r="D473">
        <v>48</v>
      </c>
      <c r="E473" s="35">
        <v>75</v>
      </c>
      <c r="F473">
        <v>98</v>
      </c>
      <c r="G473">
        <v>79</v>
      </c>
      <c r="H473">
        <v>54</v>
      </c>
      <c r="I473">
        <v>71</v>
      </c>
      <c r="J473">
        <v>56</v>
      </c>
      <c r="K473">
        <v>74</v>
      </c>
      <c r="L473">
        <v>55</v>
      </c>
      <c r="M473">
        <v>52</v>
      </c>
      <c r="N473">
        <v>46</v>
      </c>
      <c r="O473">
        <v>45</v>
      </c>
      <c r="P473">
        <v>109</v>
      </c>
      <c r="Q473">
        <v>76</v>
      </c>
      <c r="R473">
        <v>71</v>
      </c>
      <c r="S473">
        <v>97</v>
      </c>
      <c r="T473">
        <v>71</v>
      </c>
      <c r="U473">
        <v>59</v>
      </c>
      <c r="V473">
        <v>95</v>
      </c>
      <c r="W473">
        <v>70</v>
      </c>
      <c r="X473" s="18"/>
      <c r="Y473" s="34">
        <f t="shared" ref="Y473:Y498" si="21">ROUND(AVERAGE(C473:X473),0)</f>
        <v>69</v>
      </c>
      <c r="Z473">
        <f t="shared" ref="Z473:Z498" si="22">ABS(Y473-A473)</f>
        <v>20</v>
      </c>
      <c r="AA473">
        <f t="shared" si="20"/>
        <v>18.670000000000002</v>
      </c>
    </row>
    <row r="474" spans="1:27" x14ac:dyDescent="0.25">
      <c r="A474">
        <v>60</v>
      </c>
      <c r="B474" s="33"/>
      <c r="C474">
        <v>43</v>
      </c>
      <c r="D474">
        <v>44</v>
      </c>
      <c r="E474" s="35">
        <v>114</v>
      </c>
      <c r="F474">
        <v>90</v>
      </c>
      <c r="G474">
        <v>76</v>
      </c>
      <c r="H474">
        <v>73</v>
      </c>
      <c r="I474">
        <v>73</v>
      </c>
      <c r="J474">
        <v>70</v>
      </c>
      <c r="K474">
        <v>115</v>
      </c>
      <c r="L474">
        <v>81</v>
      </c>
      <c r="M474">
        <v>110</v>
      </c>
      <c r="N474">
        <v>68</v>
      </c>
      <c r="O474">
        <v>70</v>
      </c>
      <c r="P474">
        <v>158</v>
      </c>
      <c r="Q474">
        <v>79</v>
      </c>
      <c r="R474">
        <v>74</v>
      </c>
      <c r="S474">
        <v>120</v>
      </c>
      <c r="T474">
        <v>82</v>
      </c>
      <c r="U474">
        <v>64</v>
      </c>
      <c r="V474">
        <v>93</v>
      </c>
      <c r="W474">
        <v>82</v>
      </c>
      <c r="X474" s="18"/>
      <c r="Y474" s="34">
        <f t="shared" si="21"/>
        <v>85</v>
      </c>
      <c r="Z474">
        <f t="shared" si="22"/>
        <v>25</v>
      </c>
      <c r="AA474">
        <f t="shared" si="20"/>
        <v>26</v>
      </c>
    </row>
    <row r="475" spans="1:27" x14ac:dyDescent="0.25">
      <c r="A475">
        <v>91</v>
      </c>
      <c r="B475" s="33"/>
      <c r="C475">
        <v>45</v>
      </c>
      <c r="D475">
        <v>89</v>
      </c>
      <c r="E475" s="35">
        <v>120</v>
      </c>
      <c r="F475">
        <v>142</v>
      </c>
      <c r="G475">
        <v>96</v>
      </c>
      <c r="H475">
        <v>119</v>
      </c>
      <c r="I475">
        <v>130</v>
      </c>
      <c r="J475">
        <v>124</v>
      </c>
      <c r="K475">
        <v>217</v>
      </c>
      <c r="L475">
        <v>149</v>
      </c>
      <c r="M475">
        <v>105</v>
      </c>
      <c r="N475">
        <v>67</v>
      </c>
      <c r="O475">
        <v>92</v>
      </c>
      <c r="P475">
        <v>130</v>
      </c>
      <c r="Q475">
        <v>84</v>
      </c>
      <c r="R475">
        <v>74</v>
      </c>
      <c r="S475">
        <v>135</v>
      </c>
      <c r="T475">
        <v>203</v>
      </c>
      <c r="U475">
        <v>94</v>
      </c>
      <c r="V475">
        <v>103</v>
      </c>
      <c r="W475">
        <v>77</v>
      </c>
      <c r="X475" s="18"/>
      <c r="Y475" s="34">
        <f t="shared" si="21"/>
        <v>114</v>
      </c>
      <c r="Z475">
        <f t="shared" si="22"/>
        <v>23</v>
      </c>
      <c r="AA475">
        <f t="shared" si="20"/>
        <v>40.549999999999997</v>
      </c>
    </row>
    <row r="476" spans="1:27" x14ac:dyDescent="0.25">
      <c r="A476">
        <v>136</v>
      </c>
      <c r="B476" s="33"/>
      <c r="C476">
        <v>125</v>
      </c>
      <c r="D476">
        <v>128</v>
      </c>
      <c r="E476" s="35">
        <v>141</v>
      </c>
      <c r="F476">
        <v>157</v>
      </c>
      <c r="G476">
        <v>172</v>
      </c>
      <c r="H476">
        <v>181</v>
      </c>
      <c r="I476">
        <v>164</v>
      </c>
      <c r="J476">
        <v>156</v>
      </c>
      <c r="K476">
        <v>220</v>
      </c>
      <c r="L476">
        <v>163</v>
      </c>
      <c r="M476">
        <v>105</v>
      </c>
      <c r="N476">
        <v>79</v>
      </c>
      <c r="O476">
        <v>155</v>
      </c>
      <c r="P476">
        <v>166</v>
      </c>
      <c r="Q476">
        <v>129</v>
      </c>
      <c r="R476">
        <v>102</v>
      </c>
      <c r="S476">
        <v>155</v>
      </c>
      <c r="T476">
        <v>276</v>
      </c>
      <c r="U476">
        <v>185</v>
      </c>
      <c r="V476">
        <v>144</v>
      </c>
      <c r="W476">
        <v>130</v>
      </c>
      <c r="X476" s="18"/>
      <c r="Y476" s="34">
        <f t="shared" si="21"/>
        <v>154</v>
      </c>
      <c r="Z476">
        <f t="shared" si="22"/>
        <v>18</v>
      </c>
      <c r="AA476">
        <f t="shared" si="20"/>
        <v>41.01</v>
      </c>
    </row>
    <row r="477" spans="1:27" x14ac:dyDescent="0.25">
      <c r="A477">
        <v>159</v>
      </c>
      <c r="B477" s="33"/>
      <c r="C477">
        <v>140</v>
      </c>
      <c r="D477">
        <v>149</v>
      </c>
      <c r="E477" s="35">
        <v>162</v>
      </c>
      <c r="F477">
        <v>171</v>
      </c>
      <c r="G477">
        <v>211</v>
      </c>
      <c r="H477">
        <v>142</v>
      </c>
      <c r="I477">
        <v>172</v>
      </c>
      <c r="J477">
        <v>191</v>
      </c>
      <c r="K477">
        <v>209</v>
      </c>
      <c r="L477">
        <v>158</v>
      </c>
      <c r="M477">
        <v>134</v>
      </c>
      <c r="N477">
        <v>97</v>
      </c>
      <c r="O477">
        <v>180</v>
      </c>
      <c r="P477">
        <v>193</v>
      </c>
      <c r="Q477">
        <v>176</v>
      </c>
      <c r="R477">
        <v>210</v>
      </c>
      <c r="S477">
        <v>228</v>
      </c>
      <c r="T477">
        <v>327</v>
      </c>
      <c r="U477">
        <v>224</v>
      </c>
      <c r="V477">
        <v>194</v>
      </c>
      <c r="W477">
        <v>142</v>
      </c>
      <c r="X477" s="18"/>
      <c r="Y477" s="34">
        <f t="shared" si="21"/>
        <v>181</v>
      </c>
      <c r="Z477">
        <f t="shared" si="22"/>
        <v>22</v>
      </c>
      <c r="AA477">
        <f t="shared" si="20"/>
        <v>45.99</v>
      </c>
    </row>
    <row r="478" spans="1:27" x14ac:dyDescent="0.25">
      <c r="A478">
        <v>73</v>
      </c>
      <c r="B478" s="33"/>
      <c r="C478">
        <v>56</v>
      </c>
      <c r="D478">
        <v>56</v>
      </c>
      <c r="E478" s="35">
        <v>76</v>
      </c>
      <c r="F478">
        <v>102</v>
      </c>
      <c r="G478">
        <v>69</v>
      </c>
      <c r="H478">
        <v>60</v>
      </c>
      <c r="I478">
        <v>52</v>
      </c>
      <c r="J478">
        <v>63</v>
      </c>
      <c r="K478">
        <v>74</v>
      </c>
      <c r="L478">
        <v>42</v>
      </c>
      <c r="M478">
        <v>79</v>
      </c>
      <c r="N478">
        <v>35</v>
      </c>
      <c r="O478">
        <v>43</v>
      </c>
      <c r="P478">
        <v>172</v>
      </c>
      <c r="Q478">
        <v>117</v>
      </c>
      <c r="R478">
        <v>89</v>
      </c>
      <c r="S478">
        <v>83</v>
      </c>
      <c r="T478">
        <v>105</v>
      </c>
      <c r="U478">
        <v>48</v>
      </c>
      <c r="V478">
        <v>113</v>
      </c>
      <c r="W478">
        <v>53</v>
      </c>
      <c r="X478" s="18"/>
      <c r="Y478" s="34">
        <f t="shared" si="21"/>
        <v>76</v>
      </c>
      <c r="Z478">
        <f t="shared" si="22"/>
        <v>3</v>
      </c>
      <c r="AA478">
        <f t="shared" si="20"/>
        <v>31.7</v>
      </c>
    </row>
    <row r="479" spans="1:27" x14ac:dyDescent="0.25">
      <c r="A479">
        <v>63</v>
      </c>
      <c r="B479" s="33"/>
      <c r="C479">
        <v>58</v>
      </c>
      <c r="D479">
        <v>50</v>
      </c>
      <c r="E479" s="35">
        <v>46</v>
      </c>
      <c r="F479">
        <v>85</v>
      </c>
      <c r="G479">
        <v>64</v>
      </c>
      <c r="H479">
        <v>62</v>
      </c>
      <c r="I479">
        <v>52</v>
      </c>
      <c r="J479">
        <v>53</v>
      </c>
      <c r="K479">
        <v>60</v>
      </c>
      <c r="L479">
        <v>42</v>
      </c>
      <c r="M479">
        <v>47</v>
      </c>
      <c r="N479">
        <v>24</v>
      </c>
      <c r="O479">
        <v>59</v>
      </c>
      <c r="P479">
        <v>212</v>
      </c>
      <c r="Q479">
        <v>88</v>
      </c>
      <c r="R479">
        <v>81</v>
      </c>
      <c r="S479">
        <v>102</v>
      </c>
      <c r="T479">
        <v>121</v>
      </c>
      <c r="U479">
        <v>50</v>
      </c>
      <c r="V479">
        <v>128</v>
      </c>
      <c r="W479">
        <v>63</v>
      </c>
      <c r="X479" s="18"/>
      <c r="Y479" s="34">
        <f t="shared" si="21"/>
        <v>74</v>
      </c>
      <c r="Z479">
        <f t="shared" si="22"/>
        <v>11</v>
      </c>
      <c r="AA479">
        <f t="shared" si="20"/>
        <v>39.92</v>
      </c>
    </row>
    <row r="480" spans="1:27" x14ac:dyDescent="0.25">
      <c r="A480">
        <v>55</v>
      </c>
      <c r="B480" s="33"/>
      <c r="C480">
        <v>44</v>
      </c>
      <c r="D480">
        <v>49</v>
      </c>
      <c r="E480" s="35">
        <v>101</v>
      </c>
      <c r="F480">
        <v>72</v>
      </c>
      <c r="G480">
        <v>81</v>
      </c>
      <c r="H480">
        <v>69</v>
      </c>
      <c r="I480">
        <v>68</v>
      </c>
      <c r="J480">
        <v>57</v>
      </c>
      <c r="K480">
        <v>73</v>
      </c>
      <c r="L480">
        <v>46</v>
      </c>
      <c r="M480">
        <v>69</v>
      </c>
      <c r="N480">
        <v>41</v>
      </c>
      <c r="O480">
        <v>66</v>
      </c>
      <c r="P480">
        <v>174</v>
      </c>
      <c r="Q480">
        <v>84</v>
      </c>
      <c r="R480">
        <v>77</v>
      </c>
      <c r="S480">
        <v>117</v>
      </c>
      <c r="T480">
        <v>72</v>
      </c>
      <c r="U480">
        <v>50</v>
      </c>
      <c r="V480">
        <v>81</v>
      </c>
      <c r="W480">
        <v>68</v>
      </c>
      <c r="X480" s="18"/>
      <c r="Y480" s="34">
        <f t="shared" si="21"/>
        <v>74</v>
      </c>
      <c r="Z480">
        <f t="shared" si="22"/>
        <v>19</v>
      </c>
      <c r="AA480">
        <f t="shared" si="20"/>
        <v>28.65</v>
      </c>
    </row>
    <row r="481" spans="1:28" x14ac:dyDescent="0.25">
      <c r="A481">
        <v>54</v>
      </c>
      <c r="B481" s="33"/>
      <c r="C481">
        <v>43</v>
      </c>
      <c r="D481">
        <v>44</v>
      </c>
      <c r="E481" s="35">
        <v>120</v>
      </c>
      <c r="F481">
        <v>85</v>
      </c>
      <c r="G481">
        <v>68</v>
      </c>
      <c r="H481">
        <v>73</v>
      </c>
      <c r="I481">
        <v>76</v>
      </c>
      <c r="J481">
        <v>71</v>
      </c>
      <c r="K481">
        <v>110</v>
      </c>
      <c r="L481">
        <v>81</v>
      </c>
      <c r="M481">
        <v>112</v>
      </c>
      <c r="N481">
        <v>67</v>
      </c>
      <c r="O481">
        <v>72</v>
      </c>
      <c r="P481">
        <v>165</v>
      </c>
      <c r="Q481">
        <v>81</v>
      </c>
      <c r="R481">
        <v>76</v>
      </c>
      <c r="S481">
        <v>130</v>
      </c>
      <c r="T481">
        <v>94</v>
      </c>
      <c r="U481">
        <v>64</v>
      </c>
      <c r="V481">
        <v>100</v>
      </c>
      <c r="W481">
        <v>91</v>
      </c>
      <c r="X481" s="18"/>
      <c r="Y481" s="34">
        <f t="shared" si="21"/>
        <v>87</v>
      </c>
      <c r="Z481">
        <f t="shared" si="22"/>
        <v>33</v>
      </c>
      <c r="AA481">
        <f t="shared" si="20"/>
        <v>28.01</v>
      </c>
    </row>
    <row r="482" spans="1:28" x14ac:dyDescent="0.25">
      <c r="A482">
        <v>82</v>
      </c>
      <c r="B482" s="33"/>
      <c r="C482">
        <v>50</v>
      </c>
      <c r="D482">
        <v>98</v>
      </c>
      <c r="E482" s="35">
        <v>217</v>
      </c>
      <c r="F482">
        <v>115</v>
      </c>
      <c r="G482">
        <v>66</v>
      </c>
      <c r="H482">
        <v>73</v>
      </c>
      <c r="I482">
        <v>71</v>
      </c>
      <c r="J482">
        <v>68</v>
      </c>
      <c r="K482">
        <v>171</v>
      </c>
      <c r="L482">
        <v>125</v>
      </c>
      <c r="M482">
        <v>117</v>
      </c>
      <c r="N482">
        <v>76</v>
      </c>
      <c r="O482">
        <v>72</v>
      </c>
      <c r="P482">
        <v>135</v>
      </c>
      <c r="Q482">
        <v>74</v>
      </c>
      <c r="R482">
        <v>71</v>
      </c>
      <c r="S482">
        <v>172</v>
      </c>
      <c r="T482">
        <v>150</v>
      </c>
      <c r="U482">
        <v>87</v>
      </c>
      <c r="V482">
        <v>160</v>
      </c>
      <c r="W482">
        <v>114</v>
      </c>
      <c r="X482" s="18"/>
      <c r="Y482" s="34">
        <f t="shared" si="21"/>
        <v>109</v>
      </c>
      <c r="Z482">
        <f t="shared" si="22"/>
        <v>27</v>
      </c>
      <c r="AA482">
        <f t="shared" si="20"/>
        <v>43.81</v>
      </c>
    </row>
    <row r="483" spans="1:28" x14ac:dyDescent="0.25">
      <c r="A483">
        <v>140</v>
      </c>
      <c r="B483" s="33"/>
      <c r="C483">
        <v>115</v>
      </c>
      <c r="D483">
        <v>134</v>
      </c>
      <c r="E483" s="35">
        <v>227</v>
      </c>
      <c r="F483">
        <v>156</v>
      </c>
      <c r="G483">
        <v>130</v>
      </c>
      <c r="H483">
        <v>149</v>
      </c>
      <c r="I483">
        <v>140</v>
      </c>
      <c r="J483">
        <v>162</v>
      </c>
      <c r="K483">
        <v>225</v>
      </c>
      <c r="L483">
        <v>183</v>
      </c>
      <c r="M483">
        <v>149</v>
      </c>
      <c r="N483">
        <v>91</v>
      </c>
      <c r="O483">
        <v>70</v>
      </c>
      <c r="P483">
        <v>121</v>
      </c>
      <c r="Q483">
        <v>71</v>
      </c>
      <c r="R483">
        <v>65</v>
      </c>
      <c r="S483">
        <v>173</v>
      </c>
      <c r="T483">
        <v>176</v>
      </c>
      <c r="U483">
        <v>99</v>
      </c>
      <c r="V483">
        <v>195</v>
      </c>
      <c r="W483">
        <v>127</v>
      </c>
      <c r="X483" s="18"/>
      <c r="Y483" s="34">
        <f t="shared" si="21"/>
        <v>141</v>
      </c>
      <c r="Z483">
        <f t="shared" si="22"/>
        <v>1</v>
      </c>
      <c r="AA483">
        <f t="shared" si="20"/>
        <v>45.56</v>
      </c>
    </row>
    <row r="484" spans="1:28" x14ac:dyDescent="0.25">
      <c r="A484">
        <v>162</v>
      </c>
      <c r="B484" s="33"/>
      <c r="C484">
        <v>83</v>
      </c>
      <c r="D484">
        <v>113</v>
      </c>
      <c r="E484" s="35">
        <v>138</v>
      </c>
      <c r="F484">
        <v>155</v>
      </c>
      <c r="G484">
        <v>164</v>
      </c>
      <c r="H484">
        <v>322</v>
      </c>
      <c r="I484">
        <v>339</v>
      </c>
      <c r="J484">
        <v>242</v>
      </c>
      <c r="K484">
        <v>190</v>
      </c>
      <c r="L484">
        <v>168</v>
      </c>
      <c r="M484">
        <v>126</v>
      </c>
      <c r="N484">
        <v>128</v>
      </c>
      <c r="O484">
        <v>75</v>
      </c>
      <c r="P484">
        <v>152</v>
      </c>
      <c r="Q484">
        <v>128</v>
      </c>
      <c r="R484">
        <v>130</v>
      </c>
      <c r="S484">
        <v>162</v>
      </c>
      <c r="T484">
        <v>203</v>
      </c>
      <c r="U484">
        <v>138</v>
      </c>
      <c r="V484">
        <v>78</v>
      </c>
      <c r="W484">
        <v>200</v>
      </c>
      <c r="X484" s="18"/>
      <c r="Y484" s="34">
        <f t="shared" si="21"/>
        <v>164</v>
      </c>
      <c r="Z484">
        <f t="shared" si="22"/>
        <v>2</v>
      </c>
      <c r="AA484">
        <f t="shared" si="20"/>
        <v>67.760000000000005</v>
      </c>
    </row>
    <row r="485" spans="1:28" x14ac:dyDescent="0.25">
      <c r="A485">
        <v>92</v>
      </c>
      <c r="B485" s="33"/>
      <c r="C485">
        <v>43</v>
      </c>
      <c r="D485">
        <v>71</v>
      </c>
      <c r="E485" s="35">
        <v>42</v>
      </c>
      <c r="F485">
        <v>64</v>
      </c>
      <c r="G485">
        <v>65</v>
      </c>
      <c r="H485">
        <v>105</v>
      </c>
      <c r="I485">
        <v>49</v>
      </c>
      <c r="J485">
        <v>54</v>
      </c>
      <c r="K485">
        <v>41</v>
      </c>
      <c r="L485">
        <v>42</v>
      </c>
      <c r="M485">
        <v>48</v>
      </c>
      <c r="N485">
        <v>162</v>
      </c>
      <c r="O485">
        <v>148</v>
      </c>
      <c r="P485">
        <v>167</v>
      </c>
      <c r="Q485">
        <v>137</v>
      </c>
      <c r="R485">
        <v>66</v>
      </c>
      <c r="S485">
        <v>54</v>
      </c>
      <c r="T485">
        <v>107</v>
      </c>
      <c r="U485">
        <v>40</v>
      </c>
      <c r="V485">
        <v>43</v>
      </c>
      <c r="W485">
        <v>68</v>
      </c>
      <c r="X485" s="18"/>
      <c r="Y485" s="34">
        <f t="shared" si="21"/>
        <v>77</v>
      </c>
      <c r="Z485">
        <f t="shared" si="22"/>
        <v>15</v>
      </c>
      <c r="AA485">
        <f t="shared" si="20"/>
        <v>41.58</v>
      </c>
    </row>
    <row r="486" spans="1:28" x14ac:dyDescent="0.25">
      <c r="A486">
        <v>86</v>
      </c>
      <c r="B486" s="33"/>
      <c r="C486">
        <v>43</v>
      </c>
      <c r="D486">
        <v>62</v>
      </c>
      <c r="E486" s="35">
        <v>42</v>
      </c>
      <c r="F486">
        <v>67</v>
      </c>
      <c r="G486">
        <v>68</v>
      </c>
      <c r="H486">
        <v>101</v>
      </c>
      <c r="I486">
        <v>55</v>
      </c>
      <c r="J486">
        <v>56</v>
      </c>
      <c r="K486">
        <v>45</v>
      </c>
      <c r="L486">
        <v>42</v>
      </c>
      <c r="M486">
        <v>47</v>
      </c>
      <c r="N486">
        <v>153</v>
      </c>
      <c r="O486">
        <v>107</v>
      </c>
      <c r="P486">
        <v>144</v>
      </c>
      <c r="Q486">
        <v>131</v>
      </c>
      <c r="R486">
        <v>69</v>
      </c>
      <c r="S486">
        <v>54</v>
      </c>
      <c r="T486">
        <v>95</v>
      </c>
      <c r="U486">
        <v>40</v>
      </c>
      <c r="V486">
        <v>41</v>
      </c>
      <c r="W486">
        <v>60</v>
      </c>
      <c r="X486" s="18">
        <v>93</v>
      </c>
      <c r="Y486" s="34">
        <f t="shared" si="21"/>
        <v>73</v>
      </c>
      <c r="Z486">
        <f t="shared" si="22"/>
        <v>13</v>
      </c>
      <c r="AA486">
        <f t="shared" si="20"/>
        <v>33.950000000000003</v>
      </c>
      <c r="AB486" cm="1">
        <f t="array" ref="AB486">SUMPRODUCT(--(ABS(X486:X498- A486:A498) &lt;= AC500))/13</f>
        <v>0.46153846153846156</v>
      </c>
    </row>
    <row r="487" spans="1:28" x14ac:dyDescent="0.25">
      <c r="A487">
        <v>62</v>
      </c>
      <c r="B487" s="33"/>
      <c r="C487">
        <v>43</v>
      </c>
      <c r="D487">
        <v>45</v>
      </c>
      <c r="E487" s="35">
        <v>105</v>
      </c>
      <c r="F487">
        <v>62</v>
      </c>
      <c r="G487">
        <v>86</v>
      </c>
      <c r="H487">
        <v>65</v>
      </c>
      <c r="I487">
        <v>73</v>
      </c>
      <c r="J487">
        <v>64</v>
      </c>
      <c r="K487">
        <v>65</v>
      </c>
      <c r="L487">
        <v>54</v>
      </c>
      <c r="M487">
        <v>91</v>
      </c>
      <c r="N487">
        <v>42</v>
      </c>
      <c r="O487">
        <v>69</v>
      </c>
      <c r="P487">
        <v>169</v>
      </c>
      <c r="Q487">
        <v>78</v>
      </c>
      <c r="R487">
        <v>71</v>
      </c>
      <c r="S487">
        <v>111</v>
      </c>
      <c r="T487">
        <v>64</v>
      </c>
      <c r="U487">
        <v>48</v>
      </c>
      <c r="V487">
        <v>66</v>
      </c>
      <c r="W487">
        <v>68</v>
      </c>
      <c r="X487" s="18">
        <v>52</v>
      </c>
      <c r="Y487" s="34">
        <f t="shared" si="21"/>
        <v>72</v>
      </c>
      <c r="Z487">
        <f t="shared" si="22"/>
        <v>10</v>
      </c>
      <c r="AA487">
        <f t="shared" si="20"/>
        <v>27.61</v>
      </c>
    </row>
    <row r="488" spans="1:28" x14ac:dyDescent="0.25">
      <c r="A488">
        <v>79</v>
      </c>
      <c r="B488" s="33"/>
      <c r="C488">
        <v>100</v>
      </c>
      <c r="D488">
        <v>81</v>
      </c>
      <c r="E488" s="35">
        <v>54</v>
      </c>
      <c r="F488">
        <v>100</v>
      </c>
      <c r="G488">
        <v>99</v>
      </c>
      <c r="H488">
        <v>108</v>
      </c>
      <c r="I488">
        <v>169</v>
      </c>
      <c r="J488">
        <v>85</v>
      </c>
      <c r="K488">
        <v>65</v>
      </c>
      <c r="L488">
        <v>69</v>
      </c>
      <c r="M488">
        <v>45</v>
      </c>
      <c r="N488">
        <v>47</v>
      </c>
      <c r="O488">
        <v>87</v>
      </c>
      <c r="P488">
        <v>82</v>
      </c>
      <c r="Q488">
        <v>63</v>
      </c>
      <c r="R488">
        <v>50</v>
      </c>
      <c r="S488">
        <v>52</v>
      </c>
      <c r="T488">
        <v>62</v>
      </c>
      <c r="U488">
        <v>87</v>
      </c>
      <c r="V488">
        <v>91</v>
      </c>
      <c r="W488">
        <v>52</v>
      </c>
      <c r="X488" s="18">
        <v>68</v>
      </c>
      <c r="Y488" s="34">
        <f t="shared" si="21"/>
        <v>78</v>
      </c>
      <c r="Z488">
        <f t="shared" si="22"/>
        <v>1</v>
      </c>
      <c r="AA488">
        <f t="shared" si="20"/>
        <v>27.46</v>
      </c>
    </row>
    <row r="489" spans="1:28" x14ac:dyDescent="0.25">
      <c r="A489">
        <v>128</v>
      </c>
      <c r="B489" s="33"/>
      <c r="C489">
        <v>77</v>
      </c>
      <c r="D489">
        <v>116</v>
      </c>
      <c r="E489" s="35">
        <v>132</v>
      </c>
      <c r="F489">
        <v>124</v>
      </c>
      <c r="G489">
        <v>131</v>
      </c>
      <c r="H489">
        <v>168</v>
      </c>
      <c r="I489">
        <v>149</v>
      </c>
      <c r="J489">
        <v>135</v>
      </c>
      <c r="K489">
        <v>196</v>
      </c>
      <c r="L489">
        <v>154</v>
      </c>
      <c r="M489">
        <v>109</v>
      </c>
      <c r="N489">
        <v>78</v>
      </c>
      <c r="O489">
        <v>145</v>
      </c>
      <c r="P489">
        <v>140</v>
      </c>
      <c r="Q489">
        <v>102</v>
      </c>
      <c r="R489">
        <v>62</v>
      </c>
      <c r="S489">
        <v>100</v>
      </c>
      <c r="T489">
        <v>209</v>
      </c>
      <c r="U489">
        <v>136</v>
      </c>
      <c r="V489">
        <v>115</v>
      </c>
      <c r="W489">
        <v>75</v>
      </c>
      <c r="X489" s="18">
        <v>118</v>
      </c>
      <c r="Y489" s="34">
        <f t="shared" si="21"/>
        <v>126</v>
      </c>
      <c r="Z489">
        <f t="shared" si="22"/>
        <v>2</v>
      </c>
      <c r="AA489">
        <f t="shared" si="20"/>
        <v>36.24</v>
      </c>
    </row>
    <row r="490" spans="1:28" x14ac:dyDescent="0.25">
      <c r="A490">
        <v>157</v>
      </c>
      <c r="B490" s="33"/>
      <c r="C490">
        <v>114</v>
      </c>
      <c r="D490">
        <v>149</v>
      </c>
      <c r="E490" s="35">
        <v>257</v>
      </c>
      <c r="F490">
        <v>149</v>
      </c>
      <c r="G490">
        <v>93</v>
      </c>
      <c r="H490">
        <v>114</v>
      </c>
      <c r="I490">
        <v>122</v>
      </c>
      <c r="J490">
        <v>87</v>
      </c>
      <c r="K490">
        <v>166</v>
      </c>
      <c r="L490">
        <v>178</v>
      </c>
      <c r="M490">
        <v>135</v>
      </c>
      <c r="N490">
        <v>108</v>
      </c>
      <c r="O490">
        <v>79</v>
      </c>
      <c r="P490">
        <v>125</v>
      </c>
      <c r="Q490">
        <v>66</v>
      </c>
      <c r="R490">
        <v>61</v>
      </c>
      <c r="S490">
        <v>198</v>
      </c>
      <c r="T490">
        <v>198</v>
      </c>
      <c r="U490">
        <v>100</v>
      </c>
      <c r="V490">
        <v>240</v>
      </c>
      <c r="W490">
        <v>135</v>
      </c>
      <c r="X490" s="18">
        <v>88</v>
      </c>
      <c r="Y490" s="34">
        <f t="shared" si="21"/>
        <v>135</v>
      </c>
      <c r="Z490">
        <f t="shared" si="22"/>
        <v>22</v>
      </c>
      <c r="AA490">
        <f t="shared" si="20"/>
        <v>52.14</v>
      </c>
    </row>
    <row r="491" spans="1:28" x14ac:dyDescent="0.25">
      <c r="A491">
        <v>216</v>
      </c>
      <c r="B491" s="33"/>
      <c r="C491">
        <v>159</v>
      </c>
      <c r="D491">
        <v>128</v>
      </c>
      <c r="E491" s="35">
        <v>141</v>
      </c>
      <c r="F491">
        <v>175</v>
      </c>
      <c r="G491">
        <v>215</v>
      </c>
      <c r="H491">
        <v>165</v>
      </c>
      <c r="I491">
        <v>173</v>
      </c>
      <c r="J491">
        <v>233</v>
      </c>
      <c r="K491">
        <v>227</v>
      </c>
      <c r="L491">
        <v>197</v>
      </c>
      <c r="M491">
        <v>165</v>
      </c>
      <c r="N491">
        <v>120</v>
      </c>
      <c r="O491">
        <v>198</v>
      </c>
      <c r="P491">
        <v>188</v>
      </c>
      <c r="Q491">
        <v>198</v>
      </c>
      <c r="R491">
        <v>181</v>
      </c>
      <c r="S491">
        <v>167</v>
      </c>
      <c r="T491">
        <v>309</v>
      </c>
      <c r="U491">
        <v>220</v>
      </c>
      <c r="V491">
        <v>195</v>
      </c>
      <c r="W491">
        <v>123</v>
      </c>
      <c r="X491" s="18">
        <v>192</v>
      </c>
      <c r="Y491" s="34">
        <f t="shared" si="21"/>
        <v>185</v>
      </c>
      <c r="Z491">
        <f t="shared" si="22"/>
        <v>31</v>
      </c>
      <c r="AA491">
        <f t="shared" si="20"/>
        <v>41.3</v>
      </c>
    </row>
    <row r="492" spans="1:28" x14ac:dyDescent="0.25">
      <c r="A492">
        <v>71</v>
      </c>
      <c r="B492" s="33"/>
      <c r="C492">
        <v>48</v>
      </c>
      <c r="D492">
        <v>62</v>
      </c>
      <c r="E492" s="35">
        <v>76</v>
      </c>
      <c r="F492">
        <v>110</v>
      </c>
      <c r="G492">
        <v>126</v>
      </c>
      <c r="H492">
        <v>51</v>
      </c>
      <c r="I492">
        <v>96</v>
      </c>
      <c r="J492">
        <v>47</v>
      </c>
      <c r="K492">
        <v>59</v>
      </c>
      <c r="L492">
        <v>42</v>
      </c>
      <c r="M492">
        <v>98</v>
      </c>
      <c r="N492">
        <v>40</v>
      </c>
      <c r="O492">
        <v>42</v>
      </c>
      <c r="P492">
        <v>97</v>
      </c>
      <c r="Q492">
        <v>71</v>
      </c>
      <c r="R492">
        <v>60</v>
      </c>
      <c r="S492">
        <v>44</v>
      </c>
      <c r="T492">
        <v>81</v>
      </c>
      <c r="U492">
        <v>40</v>
      </c>
      <c r="V492">
        <v>82</v>
      </c>
      <c r="W492">
        <v>64</v>
      </c>
      <c r="X492" s="18">
        <v>61</v>
      </c>
      <c r="Y492" s="34">
        <f t="shared" si="21"/>
        <v>68</v>
      </c>
      <c r="Z492">
        <f t="shared" si="22"/>
        <v>3</v>
      </c>
      <c r="AA492">
        <f t="shared" si="20"/>
        <v>24.27</v>
      </c>
    </row>
    <row r="493" spans="1:28" x14ac:dyDescent="0.25">
      <c r="A493">
        <v>34</v>
      </c>
      <c r="B493" s="33"/>
      <c r="C493">
        <v>43</v>
      </c>
      <c r="D493">
        <v>41</v>
      </c>
      <c r="E493" s="35">
        <v>57</v>
      </c>
      <c r="F493">
        <v>124</v>
      </c>
      <c r="G493">
        <v>119</v>
      </c>
      <c r="H493">
        <v>49</v>
      </c>
      <c r="I493">
        <v>73</v>
      </c>
      <c r="J493">
        <v>46</v>
      </c>
      <c r="K493">
        <v>41</v>
      </c>
      <c r="L493">
        <v>43</v>
      </c>
      <c r="M493">
        <v>73</v>
      </c>
      <c r="N493">
        <v>43</v>
      </c>
      <c r="O493">
        <v>43</v>
      </c>
      <c r="P493">
        <v>62</v>
      </c>
      <c r="Q493">
        <v>50</v>
      </c>
      <c r="R493">
        <v>49</v>
      </c>
      <c r="S493">
        <v>44</v>
      </c>
      <c r="T493">
        <v>60</v>
      </c>
      <c r="U493">
        <v>47</v>
      </c>
      <c r="V493">
        <v>60</v>
      </c>
      <c r="W493">
        <v>68</v>
      </c>
      <c r="X493" s="18">
        <v>80</v>
      </c>
      <c r="Y493" s="34">
        <f t="shared" si="21"/>
        <v>60</v>
      </c>
      <c r="Z493">
        <f t="shared" si="22"/>
        <v>26</v>
      </c>
      <c r="AA493">
        <f t="shared" si="20"/>
        <v>22.6</v>
      </c>
    </row>
    <row r="494" spans="1:28" x14ac:dyDescent="0.25">
      <c r="A494">
        <v>77</v>
      </c>
      <c r="B494" s="33"/>
      <c r="C494">
        <v>43</v>
      </c>
      <c r="D494">
        <v>44</v>
      </c>
      <c r="E494" s="35">
        <v>71</v>
      </c>
      <c r="F494">
        <v>94</v>
      </c>
      <c r="G494">
        <v>97</v>
      </c>
      <c r="H494">
        <v>48</v>
      </c>
      <c r="I494">
        <v>63</v>
      </c>
      <c r="J494">
        <v>63</v>
      </c>
      <c r="K494">
        <v>67</v>
      </c>
      <c r="L494">
        <v>67</v>
      </c>
      <c r="M494">
        <v>88</v>
      </c>
      <c r="N494">
        <v>51</v>
      </c>
      <c r="O494">
        <v>50</v>
      </c>
      <c r="P494">
        <v>101</v>
      </c>
      <c r="Q494">
        <v>62</v>
      </c>
      <c r="R494">
        <v>55</v>
      </c>
      <c r="S494">
        <v>74</v>
      </c>
      <c r="T494">
        <v>54</v>
      </c>
      <c r="U494">
        <v>57</v>
      </c>
      <c r="V494">
        <v>67</v>
      </c>
      <c r="W494">
        <v>68</v>
      </c>
      <c r="X494" s="18">
        <v>63</v>
      </c>
      <c r="Y494" s="34">
        <f t="shared" si="21"/>
        <v>66</v>
      </c>
      <c r="Z494">
        <f t="shared" si="22"/>
        <v>11</v>
      </c>
      <c r="AA494">
        <f t="shared" ref="AA494:AA498" si="23">ROUND(_xlfn.STDEV.P(C494:X494),2)</f>
        <v>16.170000000000002</v>
      </c>
    </row>
    <row r="495" spans="1:28" x14ac:dyDescent="0.25">
      <c r="A495">
        <v>102</v>
      </c>
      <c r="B495" s="33"/>
      <c r="C495">
        <v>43</v>
      </c>
      <c r="D495">
        <v>41</v>
      </c>
      <c r="E495" s="35">
        <v>91</v>
      </c>
      <c r="F495">
        <v>67</v>
      </c>
      <c r="G495">
        <v>80</v>
      </c>
      <c r="H495">
        <v>63</v>
      </c>
      <c r="I495">
        <v>61</v>
      </c>
      <c r="J495">
        <v>77</v>
      </c>
      <c r="K495">
        <v>92</v>
      </c>
      <c r="L495">
        <v>87</v>
      </c>
      <c r="M495">
        <v>83</v>
      </c>
      <c r="N495">
        <v>64</v>
      </c>
      <c r="O495">
        <v>78</v>
      </c>
      <c r="P495">
        <v>139</v>
      </c>
      <c r="Q495">
        <v>71</v>
      </c>
      <c r="R495">
        <v>59</v>
      </c>
      <c r="S495">
        <v>113</v>
      </c>
      <c r="T495">
        <v>123</v>
      </c>
      <c r="U495">
        <v>71</v>
      </c>
      <c r="V495">
        <v>102</v>
      </c>
      <c r="W495">
        <v>94</v>
      </c>
      <c r="X495" s="18">
        <v>57</v>
      </c>
      <c r="Y495" s="34">
        <f t="shared" si="21"/>
        <v>80</v>
      </c>
      <c r="Z495">
        <f t="shared" si="22"/>
        <v>22</v>
      </c>
      <c r="AA495">
        <f t="shared" si="23"/>
        <v>23.87</v>
      </c>
    </row>
    <row r="496" spans="1:28" x14ac:dyDescent="0.25">
      <c r="A496">
        <v>86</v>
      </c>
      <c r="B496" s="33"/>
      <c r="C496">
        <v>120</v>
      </c>
      <c r="D496">
        <v>120</v>
      </c>
      <c r="E496" s="35">
        <v>129</v>
      </c>
      <c r="F496">
        <v>116</v>
      </c>
      <c r="G496">
        <v>103</v>
      </c>
      <c r="H496">
        <v>132</v>
      </c>
      <c r="I496">
        <v>142</v>
      </c>
      <c r="J496">
        <v>149</v>
      </c>
      <c r="K496">
        <v>170</v>
      </c>
      <c r="L496">
        <v>150</v>
      </c>
      <c r="M496">
        <v>111</v>
      </c>
      <c r="N496">
        <v>85</v>
      </c>
      <c r="O496">
        <v>151</v>
      </c>
      <c r="P496">
        <v>152</v>
      </c>
      <c r="Q496">
        <v>159</v>
      </c>
      <c r="R496">
        <v>137</v>
      </c>
      <c r="S496">
        <v>147</v>
      </c>
      <c r="T496">
        <v>202</v>
      </c>
      <c r="U496">
        <v>157</v>
      </c>
      <c r="V496">
        <v>109</v>
      </c>
      <c r="W496">
        <v>91</v>
      </c>
      <c r="X496" s="18">
        <v>110</v>
      </c>
      <c r="Y496" s="34">
        <f t="shared" si="21"/>
        <v>134</v>
      </c>
      <c r="Z496">
        <f t="shared" si="22"/>
        <v>48</v>
      </c>
      <c r="AA496">
        <f t="shared" si="23"/>
        <v>27.05</v>
      </c>
    </row>
    <row r="497" spans="1:29" x14ac:dyDescent="0.25">
      <c r="A497">
        <v>140</v>
      </c>
      <c r="B497" s="33"/>
      <c r="C497">
        <v>168</v>
      </c>
      <c r="D497">
        <v>145</v>
      </c>
      <c r="E497" s="35">
        <v>153</v>
      </c>
      <c r="F497">
        <v>131</v>
      </c>
      <c r="G497">
        <v>178</v>
      </c>
      <c r="H497">
        <v>216</v>
      </c>
      <c r="I497">
        <v>162</v>
      </c>
      <c r="J497">
        <v>205</v>
      </c>
      <c r="K497">
        <v>188</v>
      </c>
      <c r="L497">
        <v>178</v>
      </c>
      <c r="M497">
        <v>157</v>
      </c>
      <c r="N497">
        <v>127</v>
      </c>
      <c r="O497">
        <v>162</v>
      </c>
      <c r="P497">
        <v>163</v>
      </c>
      <c r="Q497">
        <v>176</v>
      </c>
      <c r="R497">
        <v>63</v>
      </c>
      <c r="S497">
        <v>109</v>
      </c>
      <c r="T497">
        <v>211</v>
      </c>
      <c r="U497">
        <v>168</v>
      </c>
      <c r="V497">
        <v>157</v>
      </c>
      <c r="W497">
        <v>104</v>
      </c>
      <c r="X497" s="18">
        <v>171</v>
      </c>
      <c r="Y497" s="34">
        <f t="shared" si="21"/>
        <v>159</v>
      </c>
      <c r="Z497">
        <f t="shared" si="22"/>
        <v>19</v>
      </c>
      <c r="AA497">
        <f t="shared" si="23"/>
        <v>35.06</v>
      </c>
    </row>
    <row r="498" spans="1:29" x14ac:dyDescent="0.25">
      <c r="A498">
        <v>164</v>
      </c>
      <c r="B498" s="33"/>
      <c r="C498">
        <v>142</v>
      </c>
      <c r="D498">
        <v>115</v>
      </c>
      <c r="E498" s="35">
        <v>127</v>
      </c>
      <c r="F498">
        <v>139</v>
      </c>
      <c r="G498">
        <v>190</v>
      </c>
      <c r="H498">
        <v>328</v>
      </c>
      <c r="I498">
        <v>268</v>
      </c>
      <c r="J498">
        <v>246</v>
      </c>
      <c r="K498">
        <v>193</v>
      </c>
      <c r="L498">
        <v>191</v>
      </c>
      <c r="M498">
        <v>178</v>
      </c>
      <c r="N498">
        <v>143</v>
      </c>
      <c r="O498">
        <v>137</v>
      </c>
      <c r="P498">
        <v>169</v>
      </c>
      <c r="Q498">
        <v>186</v>
      </c>
      <c r="R498">
        <v>75</v>
      </c>
      <c r="S498">
        <v>121</v>
      </c>
      <c r="T498">
        <v>229</v>
      </c>
      <c r="U498">
        <v>179</v>
      </c>
      <c r="V498">
        <v>157</v>
      </c>
      <c r="W498">
        <v>128</v>
      </c>
      <c r="X498" s="18">
        <v>201</v>
      </c>
      <c r="Y498" s="34">
        <f t="shared" si="21"/>
        <v>175</v>
      </c>
      <c r="Z498">
        <f t="shared" si="22"/>
        <v>11</v>
      </c>
      <c r="AA498">
        <f t="shared" si="23"/>
        <v>55.55</v>
      </c>
      <c r="AC498">
        <f>AVERAGE(AB2:AB500)</f>
        <v>0.35568976478067388</v>
      </c>
    </row>
    <row r="499" spans="1:29" x14ac:dyDescent="0.25">
      <c r="A499" s="27">
        <v>70</v>
      </c>
      <c r="C499" cm="1">
        <f t="array" ref="C499">SUMPRODUCT(--(ABS(C2:C498- A2:A498) &lt;= AC500))</f>
        <v>178</v>
      </c>
      <c r="D499" cm="1">
        <f t="array" ref="D499">SUMPRODUCT(--(ABS(D46:D498- A46:A498) &lt;= 10))</f>
        <v>124</v>
      </c>
      <c r="E499" cm="1">
        <f t="array" ref="E499">SUMPRODUCT(--(ABS(E68:E498- A68:A498) &lt;= AC500))</f>
        <v>172</v>
      </c>
      <c r="F499" cm="1">
        <f t="array" ref="F499">SUMPRODUCT(--(ABS(F90:F498- A90:A498) &lt;= AC500))</f>
        <v>121</v>
      </c>
      <c r="G499" cm="1">
        <f t="array" ref="G499">SUMPRODUCT(--(ABS(G112:G498- A112:A498) &lt;= AC500))</f>
        <v>81</v>
      </c>
      <c r="H499" cm="1">
        <f t="array" ref="H499">SUMPRODUCT(--(ABS(H134:H498- A134:A498) &lt;= AC500))</f>
        <v>106</v>
      </c>
      <c r="I499" cm="1">
        <f t="array" ref="I499">SUMPRODUCT(--(ABS(I156:I498- A156:A498) &lt;= AC500))</f>
        <v>97</v>
      </c>
      <c r="J499" cm="1">
        <f t="array" ref="J499">SUMPRODUCT(--(ABS(J178:J498- A178:A498) &lt;= AC500))</f>
        <v>120</v>
      </c>
      <c r="K499" cm="1">
        <f t="array" ref="K499">SUMPRODUCT(--(ABS(K200:K498- A200:A498) &lt;= AC500))</f>
        <v>88</v>
      </c>
      <c r="L499" cm="1">
        <f t="array" ref="L499">SUMPRODUCT(--(ABS(L222:L498- A222:A498) &lt;= AC500))</f>
        <v>89</v>
      </c>
      <c r="M499" cm="1">
        <f t="array" ref="M499">SUMPRODUCT(--(ABS(M244:M498- A244:A498) &lt;= AC500))</f>
        <v>74</v>
      </c>
      <c r="N499" cm="1">
        <f t="array" ref="N499">SUMPRODUCT(--(ABS(N266:N498- A266:A498) &lt;= AC500))</f>
        <v>74</v>
      </c>
      <c r="O499" cm="1">
        <f t="array" ref="O499">SUMPRODUCT(--(ABS(O288:O498- A288:A498) &lt;= AC500))</f>
        <v>89</v>
      </c>
      <c r="P499" cm="1">
        <f t="array" ref="P499">SUMPRODUCT(--(ABS(P310:P498- A310:A498) &lt;= AC500))</f>
        <v>49</v>
      </c>
      <c r="Q499" cm="1">
        <f t="array" ref="Q499">SUMPRODUCT(--(ABS(Q332:Q498- A332:A498) &lt;= AC500))</f>
        <v>63</v>
      </c>
      <c r="R499" cm="1">
        <f t="array" ref="R499">SUMPRODUCT(--(ABS(R354:R498- A354:A498) &lt;= AC500))</f>
        <v>46</v>
      </c>
      <c r="S499" cm="1">
        <f t="array" ref="S499">SUMPRODUCT(--(ABS(S376:S498- A376:A498) &lt;= AC500))</f>
        <v>27</v>
      </c>
      <c r="T499" cm="1">
        <f t="array" ref="T499">SUMPRODUCT(--(ABS(T398:T498-A398:A498) &lt;= AC500))</f>
        <v>24</v>
      </c>
      <c r="U499" cm="1">
        <f t="array" ref="U499">SUMPRODUCT(--(ABS(U420:U498- A420:A498) &lt;= AC500))</f>
        <v>32</v>
      </c>
      <c r="V499" cm="1">
        <f t="array" ref="V499">SUMPRODUCT(--(ABS(V442:V498- A442:A498) &lt;= AC500))</f>
        <v>19</v>
      </c>
      <c r="W499" cm="1">
        <f t="array" ref="W499">SUMPRODUCT(--(ABS(W464:W498- A464:A498) &lt;= AC500))</f>
        <v>13</v>
      </c>
      <c r="X499" cm="1">
        <f t="array" ref="X499">SUMPRODUCT(--(ABS(X485:X498- A485:A498) &lt;= AC500))</f>
        <v>6</v>
      </c>
      <c r="Y499" t="s">
        <v>46</v>
      </c>
    </row>
    <row r="500" spans="1:29" x14ac:dyDescent="0.25">
      <c r="A500">
        <v>77</v>
      </c>
      <c r="C500">
        <f>C499/C501</f>
        <v>0.37473684210526315</v>
      </c>
      <c r="D500">
        <f t="shared" ref="D500:X500" si="24">D499/D501</f>
        <v>0.27373068432671083</v>
      </c>
      <c r="E500">
        <f t="shared" si="24"/>
        <v>0.39907192575406031</v>
      </c>
      <c r="F500">
        <f t="shared" si="24"/>
        <v>0.29584352078239606</v>
      </c>
      <c r="G500">
        <f t="shared" si="24"/>
        <v>0.20930232558139536</v>
      </c>
      <c r="H500">
        <f t="shared" si="24"/>
        <v>0.29041095890410956</v>
      </c>
      <c r="I500">
        <f t="shared" si="24"/>
        <v>0.28279883381924198</v>
      </c>
      <c r="J500">
        <f t="shared" si="24"/>
        <v>0.37383177570093457</v>
      </c>
      <c r="K500">
        <f t="shared" si="24"/>
        <v>0.29431438127090304</v>
      </c>
      <c r="L500">
        <f t="shared" si="24"/>
        <v>0.32129963898916969</v>
      </c>
      <c r="M500">
        <f t="shared" si="24"/>
        <v>0.29019607843137257</v>
      </c>
      <c r="N500">
        <f t="shared" si="24"/>
        <v>0.31759656652360513</v>
      </c>
      <c r="O500">
        <f t="shared" si="24"/>
        <v>0.4218009478672986</v>
      </c>
      <c r="P500">
        <f t="shared" si="24"/>
        <v>0.25925925925925924</v>
      </c>
      <c r="Q500">
        <f t="shared" si="24"/>
        <v>0.3772455089820359</v>
      </c>
      <c r="R500">
        <f t="shared" si="24"/>
        <v>0.31724137931034485</v>
      </c>
      <c r="S500">
        <f t="shared" si="24"/>
        <v>0.21951219512195122</v>
      </c>
      <c r="T500">
        <f t="shared" si="24"/>
        <v>0.23762376237623761</v>
      </c>
      <c r="U500">
        <f t="shared" si="24"/>
        <v>0.4050632911392405</v>
      </c>
      <c r="V500">
        <f t="shared" si="24"/>
        <v>0.33333333333333331</v>
      </c>
      <c r="W500">
        <f t="shared" si="24"/>
        <v>0.37142857142857144</v>
      </c>
      <c r="X500">
        <f t="shared" si="24"/>
        <v>0.46153846153846156</v>
      </c>
      <c r="Y500" t="s">
        <v>47</v>
      </c>
      <c r="AA500">
        <f>AVERAGE(C500:X500)</f>
        <v>0.3239627382975408</v>
      </c>
      <c r="AC500">
        <v>15</v>
      </c>
    </row>
    <row r="501" spans="1:29" x14ac:dyDescent="0.25">
      <c r="A501">
        <v>92</v>
      </c>
      <c r="C501" s="32">
        <f>COUNT(C24:C498)</f>
        <v>475</v>
      </c>
      <c r="D501" s="32">
        <f t="shared" ref="D501:X501" si="25">COUNT(D24:D498)</f>
        <v>453</v>
      </c>
      <c r="E501" s="32">
        <f t="shared" si="25"/>
        <v>431</v>
      </c>
      <c r="F501" s="32">
        <f t="shared" si="25"/>
        <v>409</v>
      </c>
      <c r="G501" s="32">
        <f t="shared" si="25"/>
        <v>387</v>
      </c>
      <c r="H501" s="32">
        <f t="shared" si="25"/>
        <v>365</v>
      </c>
      <c r="I501" s="32">
        <f t="shared" si="25"/>
        <v>343</v>
      </c>
      <c r="J501" s="32">
        <f t="shared" si="25"/>
        <v>321</v>
      </c>
      <c r="K501" s="32">
        <f t="shared" si="25"/>
        <v>299</v>
      </c>
      <c r="L501" s="32">
        <f t="shared" si="25"/>
        <v>277</v>
      </c>
      <c r="M501" s="32">
        <f t="shared" si="25"/>
        <v>255</v>
      </c>
      <c r="N501" s="32">
        <f t="shared" si="25"/>
        <v>233</v>
      </c>
      <c r="O501" s="32">
        <f t="shared" si="25"/>
        <v>211</v>
      </c>
      <c r="P501" s="32">
        <f t="shared" si="25"/>
        <v>189</v>
      </c>
      <c r="Q501" s="32">
        <f t="shared" si="25"/>
        <v>167</v>
      </c>
      <c r="R501" s="32">
        <f t="shared" si="25"/>
        <v>145</v>
      </c>
      <c r="S501" s="32">
        <f t="shared" si="25"/>
        <v>123</v>
      </c>
      <c r="T501" s="32">
        <f t="shared" si="25"/>
        <v>101</v>
      </c>
      <c r="U501" s="32">
        <f t="shared" si="25"/>
        <v>79</v>
      </c>
      <c r="V501" s="32">
        <f t="shared" si="25"/>
        <v>57</v>
      </c>
      <c r="W501" s="32">
        <f t="shared" si="25"/>
        <v>35</v>
      </c>
      <c r="X501" s="32">
        <f t="shared" si="25"/>
        <v>13</v>
      </c>
      <c r="Y501" t="s">
        <v>48</v>
      </c>
    </row>
    <row r="502" spans="1:29" x14ac:dyDescent="0.25">
      <c r="A502">
        <v>75</v>
      </c>
      <c r="B502">
        <f>_xlfn.STDEV.P(A24:A498)</f>
        <v>53.515571907297193</v>
      </c>
      <c r="C502">
        <f>_xlfn.STDEV.P(C24:C498)</f>
        <v>44.708741341650075</v>
      </c>
      <c r="D502">
        <f t="shared" ref="D502:X502" si="26">_xlfn.STDEV.P(D24:D498)</f>
        <v>48.928717785154895</v>
      </c>
      <c r="E502" s="27">
        <f t="shared" si="26"/>
        <v>56.39047089124464</v>
      </c>
      <c r="F502">
        <f t="shared" si="26"/>
        <v>39.060460183408743</v>
      </c>
      <c r="G502">
        <f t="shared" si="26"/>
        <v>38.284200403484412</v>
      </c>
      <c r="H502" s="27">
        <f t="shared" si="26"/>
        <v>52.432027788362568</v>
      </c>
      <c r="I502">
        <f t="shared" si="26"/>
        <v>56.894399161527112</v>
      </c>
      <c r="J502" s="27">
        <f t="shared" si="26"/>
        <v>57.864974015598712</v>
      </c>
      <c r="K502" s="27">
        <f t="shared" si="26"/>
        <v>52.072312316654845</v>
      </c>
      <c r="L502">
        <f t="shared" si="26"/>
        <v>48.362825013159942</v>
      </c>
      <c r="M502">
        <f t="shared" si="26"/>
        <v>39.513525052228083</v>
      </c>
      <c r="N502">
        <f t="shared" si="26"/>
        <v>34.816633632372273</v>
      </c>
      <c r="O502">
        <f t="shared" si="26"/>
        <v>47.85699480862214</v>
      </c>
      <c r="P502">
        <f t="shared" si="26"/>
        <v>46.040755063184655</v>
      </c>
      <c r="Q502">
        <f t="shared" si="26"/>
        <v>44.949572344217827</v>
      </c>
      <c r="R502">
        <f t="shared" si="26"/>
        <v>32.408382527151204</v>
      </c>
      <c r="S502">
        <f t="shared" si="26"/>
        <v>42.071972804123497</v>
      </c>
      <c r="T502">
        <f t="shared" si="26"/>
        <v>69.754730163328759</v>
      </c>
      <c r="U502" s="27">
        <f t="shared" si="26"/>
        <v>55.722948123771687</v>
      </c>
      <c r="V502">
        <f t="shared" si="26"/>
        <v>51.661325789540335</v>
      </c>
      <c r="W502">
        <f t="shared" si="26"/>
        <v>32.815675696663192</v>
      </c>
      <c r="X502">
        <f t="shared" si="26"/>
        <v>50.050507034773084</v>
      </c>
      <c r="Y502" t="s">
        <v>49</v>
      </c>
    </row>
    <row r="503" spans="1:29" x14ac:dyDescent="0.25">
      <c r="A503">
        <v>138</v>
      </c>
      <c r="B503">
        <f>AVERAGE(A24:A498)</f>
        <v>94.530526315789473</v>
      </c>
      <c r="C503">
        <f>AVERAGE(C24:C498)</f>
        <v>77.229473684210532</v>
      </c>
      <c r="D503">
        <f t="shared" ref="D503:X503" si="27">AVERAGE(D24:D498)</f>
        <v>89.783664459161145</v>
      </c>
      <c r="E503" s="27">
        <f t="shared" si="27"/>
        <v>95.675174013921108</v>
      </c>
      <c r="F503">
        <f t="shared" si="27"/>
        <v>100.84596577017115</v>
      </c>
      <c r="G503">
        <f t="shared" si="27"/>
        <v>110.74160206718346</v>
      </c>
      <c r="H503" s="27">
        <f t="shared" si="27"/>
        <v>98.016438356164386</v>
      </c>
      <c r="I503">
        <f t="shared" si="27"/>
        <v>115.31195335276968</v>
      </c>
      <c r="J503" s="27">
        <f t="shared" si="27"/>
        <v>92.806853582554524</v>
      </c>
      <c r="K503" s="27">
        <f t="shared" si="27"/>
        <v>95.903010033444815</v>
      </c>
      <c r="L503">
        <f t="shared" si="27"/>
        <v>87.967509025270758</v>
      </c>
      <c r="M503">
        <f t="shared" si="27"/>
        <v>95.223529411764702</v>
      </c>
      <c r="N503">
        <f t="shared" si="27"/>
        <v>79.313304721030036</v>
      </c>
      <c r="O503">
        <f t="shared" si="27"/>
        <v>85.27014218009478</v>
      </c>
      <c r="P503">
        <f t="shared" si="27"/>
        <v>117.07407407407408</v>
      </c>
      <c r="Q503">
        <f t="shared" si="27"/>
        <v>97.461077844311376</v>
      </c>
      <c r="R503">
        <f t="shared" si="27"/>
        <v>73.013793103448279</v>
      </c>
      <c r="S503">
        <f t="shared" si="27"/>
        <v>107.6910569105691</v>
      </c>
      <c r="T503">
        <f t="shared" si="27"/>
        <v>127.98019801980197</v>
      </c>
      <c r="U503" s="27">
        <f t="shared" si="27"/>
        <v>91.303797468354432</v>
      </c>
      <c r="V503">
        <f t="shared" si="27"/>
        <v>108.19298245614036</v>
      </c>
      <c r="W503">
        <f t="shared" si="27"/>
        <v>91.4</v>
      </c>
      <c r="X503">
        <f t="shared" si="27"/>
        <v>104.15384615384616</v>
      </c>
      <c r="Y503" t="s">
        <v>50</v>
      </c>
    </row>
    <row r="513" spans="5:7" x14ac:dyDescent="0.25">
      <c r="G513" s="36"/>
    </row>
    <row r="514" spans="5:7" x14ac:dyDescent="0.25">
      <c r="G514" s="36"/>
    </row>
    <row r="515" spans="5:7" x14ac:dyDescent="0.25">
      <c r="G515" s="36"/>
    </row>
    <row r="516" spans="5:7" x14ac:dyDescent="0.25">
      <c r="G516" s="36"/>
    </row>
    <row r="517" spans="5:7" x14ac:dyDescent="0.25">
      <c r="G517" s="36"/>
    </row>
    <row r="518" spans="5:7" x14ac:dyDescent="0.25">
      <c r="G518" s="36"/>
    </row>
    <row r="519" spans="5:7" x14ac:dyDescent="0.25">
      <c r="G519" s="36"/>
    </row>
    <row r="520" spans="5:7" x14ac:dyDescent="0.25">
      <c r="G520" s="36"/>
    </row>
    <row r="521" spans="5:7" x14ac:dyDescent="0.25">
      <c r="G521" s="36"/>
    </row>
    <row r="522" spans="5:7" x14ac:dyDescent="0.25">
      <c r="G522" s="36"/>
    </row>
    <row r="523" spans="5:7" x14ac:dyDescent="0.25">
      <c r="G523" s="36"/>
    </row>
    <row r="524" spans="5:7" x14ac:dyDescent="0.25">
      <c r="G524" s="36"/>
    </row>
    <row r="525" spans="5:7" x14ac:dyDescent="0.25">
      <c r="E525" s="35"/>
      <c r="G525" s="36"/>
    </row>
    <row r="526" spans="5:7" x14ac:dyDescent="0.25">
      <c r="E526" s="35"/>
      <c r="G526" s="36"/>
    </row>
    <row r="527" spans="5:7" x14ac:dyDescent="0.25">
      <c r="E527" s="35"/>
      <c r="G527" s="36"/>
    </row>
    <row r="528" spans="5:7" x14ac:dyDescent="0.25">
      <c r="E528" s="35"/>
      <c r="G528" s="36"/>
    </row>
    <row r="529" spans="5:7" x14ac:dyDescent="0.25">
      <c r="E529" s="35"/>
      <c r="G529" s="36"/>
    </row>
    <row r="530" spans="5:7" x14ac:dyDescent="0.25">
      <c r="E530" s="35"/>
      <c r="G530" s="36"/>
    </row>
    <row r="531" spans="5:7" x14ac:dyDescent="0.25">
      <c r="E531" s="35"/>
      <c r="G531" s="36"/>
    </row>
    <row r="532" spans="5:7" x14ac:dyDescent="0.25">
      <c r="E532" s="35"/>
      <c r="G532" s="36"/>
    </row>
    <row r="533" spans="5:7" x14ac:dyDescent="0.25">
      <c r="E533" s="35"/>
    </row>
    <row r="534" spans="5:7" x14ac:dyDescent="0.25">
      <c r="E534" s="35"/>
    </row>
    <row r="535" spans="5:7" x14ac:dyDescent="0.25">
      <c r="E535" s="35"/>
    </row>
    <row r="536" spans="5:7" x14ac:dyDescent="0.25">
      <c r="E536" s="35"/>
    </row>
    <row r="537" spans="5:7" x14ac:dyDescent="0.25">
      <c r="E537" s="35"/>
    </row>
    <row r="538" spans="5:7" x14ac:dyDescent="0.25">
      <c r="E538" s="35"/>
    </row>
    <row r="539" spans="5:7" x14ac:dyDescent="0.25">
      <c r="E539" s="35"/>
    </row>
    <row r="540" spans="5:7" x14ac:dyDescent="0.25">
      <c r="E540" s="35"/>
    </row>
    <row r="541" spans="5:7" x14ac:dyDescent="0.25">
      <c r="E541" s="35"/>
    </row>
    <row r="542" spans="5:7" x14ac:dyDescent="0.25">
      <c r="E542" s="35"/>
    </row>
    <row r="543" spans="5:7" x14ac:dyDescent="0.25">
      <c r="E543" s="35"/>
    </row>
    <row r="544" spans="5:7" x14ac:dyDescent="0.25">
      <c r="E544" s="35"/>
    </row>
    <row r="545" spans="5:5" x14ac:dyDescent="0.25">
      <c r="E545" s="35"/>
    </row>
    <row r="546" spans="5:5" x14ac:dyDescent="0.25">
      <c r="E546" s="35"/>
    </row>
    <row r="547" spans="5:5" x14ac:dyDescent="0.25">
      <c r="E547" s="35"/>
    </row>
    <row r="548" spans="5:5" x14ac:dyDescent="0.25">
      <c r="E548" s="35"/>
    </row>
    <row r="549" spans="5:5" x14ac:dyDescent="0.25">
      <c r="E549" s="35"/>
    </row>
    <row r="550" spans="5:5" x14ac:dyDescent="0.25">
      <c r="E550" s="35"/>
    </row>
    <row r="551" spans="5:5" x14ac:dyDescent="0.25">
      <c r="E551" s="35"/>
    </row>
    <row r="552" spans="5:5" x14ac:dyDescent="0.25">
      <c r="E552" s="35"/>
    </row>
    <row r="553" spans="5:5" x14ac:dyDescent="0.25">
      <c r="E553" s="35"/>
    </row>
    <row r="554" spans="5:5" x14ac:dyDescent="0.25">
      <c r="E554" s="35"/>
    </row>
    <row r="632" spans="2:2" x14ac:dyDescent="0.25">
      <c r="B632">
        <v>149</v>
      </c>
    </row>
    <row r="634" spans="2:2" x14ac:dyDescent="0.25">
      <c r="B634">
        <v>204</v>
      </c>
    </row>
    <row r="635" spans="2:2" x14ac:dyDescent="0.25">
      <c r="B635">
        <v>2</v>
      </c>
    </row>
    <row r="636" spans="2:2" x14ac:dyDescent="0.25">
      <c r="B636">
        <v>48</v>
      </c>
    </row>
    <row r="637" spans="2:2" x14ac:dyDescent="0.25">
      <c r="B637">
        <v>41</v>
      </c>
    </row>
    <row r="638" spans="2:2" x14ac:dyDescent="0.25">
      <c r="B638">
        <v>9</v>
      </c>
    </row>
    <row r="639" spans="2:2" x14ac:dyDescent="0.25">
      <c r="B639">
        <v>9</v>
      </c>
    </row>
    <row r="640" spans="2:2" x14ac:dyDescent="0.25">
      <c r="B640">
        <v>19</v>
      </c>
    </row>
    <row r="642" spans="2:2" x14ac:dyDescent="0.25">
      <c r="B642">
        <v>134</v>
      </c>
    </row>
    <row r="644" spans="2:2" x14ac:dyDescent="0.25">
      <c r="B644">
        <v>103</v>
      </c>
    </row>
    <row r="645" spans="2:2" x14ac:dyDescent="0.25">
      <c r="B645">
        <v>4</v>
      </c>
    </row>
    <row r="647" spans="2:2" x14ac:dyDescent="0.25">
      <c r="B647">
        <v>220</v>
      </c>
    </row>
    <row r="649" spans="2:2" x14ac:dyDescent="0.25">
      <c r="B649">
        <v>47</v>
      </c>
    </row>
    <row r="650" spans="2:2" x14ac:dyDescent="0.25">
      <c r="B650">
        <v>24</v>
      </c>
    </row>
    <row r="651" spans="2:2" x14ac:dyDescent="0.25">
      <c r="B651">
        <v>9</v>
      </c>
    </row>
    <row r="652" spans="2:2" x14ac:dyDescent="0.25">
      <c r="B652">
        <v>9</v>
      </c>
    </row>
    <row r="653" spans="2:2" x14ac:dyDescent="0.25">
      <c r="B653">
        <v>29</v>
      </c>
    </row>
    <row r="654" spans="2:2" x14ac:dyDescent="0.25">
      <c r="B654">
        <v>49</v>
      </c>
    </row>
    <row r="655" spans="2:2" x14ac:dyDescent="0.25">
      <c r="B655">
        <v>8</v>
      </c>
    </row>
    <row r="656" spans="2:2" x14ac:dyDescent="0.25">
      <c r="B656">
        <v>2</v>
      </c>
    </row>
    <row r="657" spans="2:2" x14ac:dyDescent="0.25">
      <c r="B657">
        <v>3</v>
      </c>
    </row>
  </sheetData>
  <mergeCells count="1">
    <mergeCell ref="C1:X1"/>
  </mergeCells>
  <conditionalFormatting sqref="C24:Y498">
    <cfRule type="expression" dxfId="1" priority="1">
      <formula>ABS(C24-$A24) &lt;= 10</formula>
    </cfRule>
    <cfRule type="expression" dxfId="0" priority="2">
      <formula>ABS(C24-$A24) &lt;= 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avg</vt:lpstr>
      <vt:lpstr>weighted</vt:lpstr>
      <vt:lpstr>sliding analysis</vt:lpstr>
      <vt:lpstr>day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cardiel</cp:lastModifiedBy>
  <dcterms:created xsi:type="dcterms:W3CDTF">2025-05-30T19:00:22Z</dcterms:created>
  <dcterms:modified xsi:type="dcterms:W3CDTF">2026-03-05T18:33:32Z</dcterms:modified>
</cp:coreProperties>
</file>