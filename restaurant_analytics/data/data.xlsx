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6009E2D6-01D7-461F-AA44-0A1C05AEF65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0" i="4" l="1"/>
  <c r="P290" i="4"/>
  <c r="O291" i="4"/>
  <c r="P291" i="4"/>
  <c r="O292" i="4"/>
  <c r="P292" i="4"/>
  <c r="O293" i="4"/>
  <c r="P293" i="4"/>
  <c r="O294" i="4"/>
  <c r="P294" i="4"/>
  <c r="O295" i="4"/>
  <c r="P295" i="4"/>
  <c r="O296" i="4"/>
  <c r="P296" i="4"/>
  <c r="O297" i="4"/>
  <c r="P297" i="4"/>
  <c r="O298" i="4"/>
  <c r="P298" i="4"/>
  <c r="O299" i="4"/>
  <c r="P299" i="4"/>
  <c r="O300" i="4"/>
  <c r="P300" i="4"/>
  <c r="O301" i="4"/>
  <c r="P301" i="4"/>
  <c r="O302" i="4"/>
  <c r="P302" i="4"/>
  <c r="O303" i="4"/>
  <c r="P303" i="4"/>
  <c r="O304" i="4"/>
  <c r="P304" i="4"/>
  <c r="O290" i="2"/>
  <c r="P290" i="2"/>
  <c r="O291" i="2"/>
  <c r="P291" i="2"/>
  <c r="O292" i="2"/>
  <c r="P292" i="2"/>
  <c r="O293" i="2"/>
  <c r="P293" i="2"/>
  <c r="O294" i="2"/>
  <c r="P294" i="2"/>
  <c r="O295" i="2"/>
  <c r="P295" i="2"/>
  <c r="O296" i="2"/>
  <c r="P296" i="2"/>
  <c r="O297" i="2"/>
  <c r="P297" i="2"/>
  <c r="O298" i="2"/>
  <c r="P298" i="2"/>
  <c r="O299" i="2"/>
  <c r="P299" i="2"/>
  <c r="O300" i="2"/>
  <c r="P300" i="2"/>
  <c r="O301" i="2"/>
  <c r="P301" i="2"/>
  <c r="O302" i="2"/>
  <c r="P302" i="2"/>
  <c r="O303" i="2"/>
  <c r="P303" i="2"/>
  <c r="O304" i="2"/>
  <c r="P304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S267" i="4"/>
  <c r="O264" i="4"/>
  <c r="R264" i="4" s="1"/>
  <c r="P264" i="4"/>
  <c r="O265" i="4"/>
  <c r="R265" i="4" s="1"/>
  <c r="P265" i="4"/>
  <c r="O266" i="4"/>
  <c r="R266" i="4" s="1"/>
  <c r="P266" i="4"/>
  <c r="O267" i="4"/>
  <c r="R267" i="4" s="1"/>
  <c r="P267" i="4"/>
  <c r="O268" i="4"/>
  <c r="R268" i="4" s="1"/>
  <c r="P268" i="4"/>
  <c r="O269" i="4"/>
  <c r="S269" i="4" s="1"/>
  <c r="P269" i="4"/>
  <c r="O270" i="4"/>
  <c r="R270" i="4" s="1"/>
  <c r="P270" i="4"/>
  <c r="O271" i="4"/>
  <c r="R271" i="4" s="1"/>
  <c r="P271" i="4"/>
  <c r="O272" i="4"/>
  <c r="P272" i="4"/>
  <c r="O273" i="4"/>
  <c r="P273" i="4"/>
  <c r="O274" i="4"/>
  <c r="P274" i="4"/>
  <c r="O275" i="4"/>
  <c r="P275" i="4"/>
  <c r="O276" i="4"/>
  <c r="P276" i="4"/>
  <c r="O277" i="4"/>
  <c r="P277" i="4"/>
  <c r="O278" i="4"/>
  <c r="P278" i="4"/>
  <c r="O279" i="4"/>
  <c r="P279" i="4"/>
  <c r="O280" i="4"/>
  <c r="P280" i="4"/>
  <c r="O281" i="4"/>
  <c r="P281" i="4"/>
  <c r="O282" i="4"/>
  <c r="P282" i="4"/>
  <c r="O283" i="4"/>
  <c r="P283" i="4"/>
  <c r="O284" i="4"/>
  <c r="P284" i="4"/>
  <c r="O285" i="4"/>
  <c r="P285" i="4"/>
  <c r="O286" i="4"/>
  <c r="P286" i="4"/>
  <c r="O287" i="4"/>
  <c r="P287" i="4"/>
  <c r="O288" i="4"/>
  <c r="P288" i="4"/>
  <c r="O289" i="4"/>
  <c r="P289" i="4"/>
  <c r="O265" i="2"/>
  <c r="P265" i="2"/>
  <c r="O266" i="2"/>
  <c r="P266" i="2"/>
  <c r="O267" i="2"/>
  <c r="P267" i="2"/>
  <c r="O268" i="2"/>
  <c r="P268" i="2"/>
  <c r="O269" i="2"/>
  <c r="P269" i="2"/>
  <c r="O270" i="2"/>
  <c r="P270" i="2"/>
  <c r="O271" i="2"/>
  <c r="P271" i="2"/>
  <c r="O272" i="2"/>
  <c r="P272" i="2"/>
  <c r="O273" i="2"/>
  <c r="P273" i="2"/>
  <c r="O274" i="2"/>
  <c r="P274" i="2"/>
  <c r="O275" i="2"/>
  <c r="P275" i="2"/>
  <c r="O276" i="2"/>
  <c r="P276" i="2"/>
  <c r="O277" i="2"/>
  <c r="P277" i="2"/>
  <c r="O278" i="2"/>
  <c r="P278" i="2"/>
  <c r="O279" i="2"/>
  <c r="P279" i="2"/>
  <c r="O280" i="2"/>
  <c r="P280" i="2"/>
  <c r="O281" i="2"/>
  <c r="P281" i="2"/>
  <c r="O282" i="2"/>
  <c r="P282" i="2"/>
  <c r="O283" i="2"/>
  <c r="P283" i="2"/>
  <c r="O284" i="2"/>
  <c r="P284" i="2"/>
  <c r="O285" i="2"/>
  <c r="P285" i="2"/>
  <c r="O286" i="2"/>
  <c r="P286" i="2"/>
  <c r="O287" i="2"/>
  <c r="P287" i="2"/>
  <c r="O288" i="2"/>
  <c r="P288" i="2"/>
  <c r="O289" i="2"/>
  <c r="P289" i="2"/>
  <c r="O264" i="2"/>
  <c r="P26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O245" i="2"/>
  <c r="S236" i="2"/>
  <c r="R235" i="2"/>
  <c r="S235" i="2"/>
  <c r="R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O242" i="2"/>
  <c r="P306" i="2"/>
  <c r="O306" i="2"/>
  <c r="P305" i="2"/>
  <c r="O305" i="2"/>
  <c r="S266" i="4" l="1"/>
  <c r="S264" i="4"/>
  <c r="S268" i="4"/>
  <c r="S265" i="4"/>
  <c r="S271" i="4"/>
  <c r="R269" i="4"/>
  <c r="S270" i="4"/>
  <c r="O242" i="4"/>
  <c r="S242" i="4" l="1"/>
  <c r="R242" i="4"/>
  <c r="R207" i="2"/>
  <c r="S207" i="2"/>
  <c r="R208" i="2"/>
  <c r="O194" i="4"/>
  <c r="P193" i="4"/>
  <c r="R194" i="4"/>
  <c r="S194" i="4"/>
  <c r="R199" i="2"/>
  <c r="S199" i="2"/>
  <c r="O198" i="4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R204" i="2" s="1"/>
  <c r="P204" i="2"/>
  <c r="O205" i="2"/>
  <c r="R205" i="2" s="1"/>
  <c r="P205" i="2"/>
  <c r="O206" i="2"/>
  <c r="R206" i="2" s="1"/>
  <c r="P206" i="2"/>
  <c r="O207" i="2"/>
  <c r="P207" i="2"/>
  <c r="O208" i="2"/>
  <c r="S208" i="2" s="1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P242" i="2"/>
  <c r="O243" i="2"/>
  <c r="P243" i="2"/>
  <c r="O244" i="2"/>
  <c r="P244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R250" i="4" l="1"/>
  <c r="S250" i="4"/>
  <c r="R225" i="4"/>
  <c r="S225" i="4"/>
  <c r="R233" i="4"/>
  <c r="S233" i="4"/>
  <c r="S248" i="4"/>
  <c r="R248" i="4"/>
  <c r="R241" i="4"/>
  <c r="S241" i="4"/>
  <c r="R247" i="4"/>
  <c r="S247" i="4"/>
  <c r="S254" i="4"/>
  <c r="R254" i="4"/>
  <c r="R257" i="4"/>
  <c r="S257" i="4"/>
  <c r="R239" i="4"/>
  <c r="S239" i="4"/>
  <c r="S229" i="4"/>
  <c r="R229" i="4"/>
  <c r="S256" i="4"/>
  <c r="R256" i="4"/>
  <c r="R253" i="4"/>
  <c r="S253" i="4"/>
  <c r="S234" i="4"/>
  <c r="R234" i="4"/>
  <c r="R258" i="4"/>
  <c r="S258" i="4"/>
  <c r="S240" i="4"/>
  <c r="R240" i="4"/>
  <c r="S231" i="4"/>
  <c r="R231" i="4"/>
  <c r="R263" i="4"/>
  <c r="S263" i="4"/>
  <c r="R230" i="4"/>
  <c r="S230" i="4"/>
  <c r="R262" i="4"/>
  <c r="S262" i="4"/>
  <c r="S246" i="4"/>
  <c r="R246" i="4"/>
  <c r="R237" i="4"/>
  <c r="S237" i="4"/>
  <c r="R236" i="4"/>
  <c r="S236" i="4"/>
  <c r="R228" i="4"/>
  <c r="S228" i="4"/>
  <c r="R249" i="4"/>
  <c r="S249" i="4"/>
  <c r="R224" i="4"/>
  <c r="S224" i="4"/>
  <c r="R238" i="4"/>
  <c r="S238" i="4"/>
  <c r="R260" i="4"/>
  <c r="S260" i="4"/>
  <c r="S252" i="4"/>
  <c r="R252" i="4"/>
  <c r="S244" i="4"/>
  <c r="R244" i="4"/>
  <c r="R255" i="4"/>
  <c r="S255" i="4"/>
  <c r="R235" i="4"/>
  <c r="S235" i="4"/>
  <c r="R227" i="4"/>
  <c r="S227" i="4"/>
  <c r="S226" i="4"/>
  <c r="R226" i="4"/>
  <c r="R232" i="4"/>
  <c r="S232" i="4"/>
  <c r="S261" i="4"/>
  <c r="R261" i="4"/>
  <c r="S245" i="4"/>
  <c r="R245" i="4"/>
  <c r="S259" i="4"/>
  <c r="R259" i="4"/>
  <c r="R251" i="4"/>
  <c r="S251" i="4"/>
  <c r="S243" i="4"/>
  <c r="R243" i="4"/>
  <c r="S214" i="2"/>
  <c r="R214" i="2"/>
  <c r="R221" i="2"/>
  <c r="S221" i="2"/>
  <c r="S211" i="2"/>
  <c r="R211" i="2"/>
  <c r="R228" i="2"/>
  <c r="S228" i="2"/>
  <c r="S206" i="2"/>
  <c r="R222" i="2"/>
  <c r="S222" i="2"/>
  <c r="R212" i="2"/>
  <c r="S212" i="2"/>
  <c r="R227" i="2"/>
  <c r="S227" i="2"/>
  <c r="S205" i="2"/>
  <c r="R210" i="2"/>
  <c r="S210" i="2"/>
  <c r="S233" i="2"/>
  <c r="R233" i="2"/>
  <c r="R225" i="2"/>
  <c r="S225" i="2"/>
  <c r="S217" i="2"/>
  <c r="R217" i="2"/>
  <c r="R209" i="2"/>
  <c r="S209" i="2"/>
  <c r="R198" i="2"/>
  <c r="S213" i="2"/>
  <c r="R213" i="2"/>
  <c r="S220" i="2"/>
  <c r="R220" i="2"/>
  <c r="R226" i="2"/>
  <c r="S226" i="2"/>
  <c r="S204" i="2"/>
  <c r="R230" i="2"/>
  <c r="S230" i="2"/>
  <c r="R219" i="2"/>
  <c r="S219" i="2"/>
  <c r="R232" i="2"/>
  <c r="S232" i="2"/>
  <c r="R224" i="2"/>
  <c r="S224" i="2"/>
  <c r="R216" i="2"/>
  <c r="S216" i="2"/>
  <c r="R229" i="2"/>
  <c r="S229" i="2"/>
  <c r="R234" i="2"/>
  <c r="S234" i="2"/>
  <c r="S218" i="2"/>
  <c r="R218" i="2"/>
  <c r="R231" i="2"/>
  <c r="S231" i="2"/>
  <c r="R223" i="2"/>
  <c r="S223" i="2"/>
  <c r="R215" i="2"/>
  <c r="S215" i="2"/>
  <c r="R198" i="4"/>
  <c r="S198" i="4"/>
  <c r="R215" i="4"/>
  <c r="S215" i="4"/>
  <c r="S223" i="4"/>
  <c r="R223" i="4"/>
  <c r="R220" i="4"/>
  <c r="S220" i="4"/>
  <c r="R214" i="4"/>
  <c r="S214" i="4"/>
  <c r="R221" i="4"/>
  <c r="S221" i="4"/>
  <c r="R219" i="4"/>
  <c r="S219" i="4"/>
  <c r="R222" i="4"/>
  <c r="S222" i="4"/>
  <c r="R218" i="4"/>
  <c r="S218" i="4"/>
  <c r="R217" i="4"/>
  <c r="S217" i="4"/>
  <c r="R216" i="4"/>
  <c r="S216" i="4"/>
  <c r="R213" i="4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R167" i="2" l="1"/>
  <c r="S167" i="2"/>
  <c r="S168" i="2"/>
  <c r="S170" i="2"/>
  <c r="S171" i="2"/>
  <c r="S174" i="2"/>
  <c r="O168" i="2"/>
  <c r="R168" i="2" s="1"/>
  <c r="P168" i="2"/>
  <c r="O169" i="2"/>
  <c r="R169" i="2" s="1"/>
  <c r="P169" i="2"/>
  <c r="O170" i="2"/>
  <c r="R170" i="2" s="1"/>
  <c r="P170" i="2"/>
  <c r="O171" i="2"/>
  <c r="R171" i="2" s="1"/>
  <c r="P171" i="2"/>
  <c r="O172" i="2"/>
  <c r="R172" i="2" s="1"/>
  <c r="P172" i="2"/>
  <c r="O173" i="2"/>
  <c r="R173" i="2" s="1"/>
  <c r="P173" i="2"/>
  <c r="O174" i="2"/>
  <c r="R174" i="2" s="1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R166" i="2" s="1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66" i="4" s="1"/>
  <c r="R151" i="2"/>
  <c r="S151" i="2"/>
  <c r="R156" i="2"/>
  <c r="S156" i="2"/>
  <c r="R161" i="2"/>
  <c r="S161" i="2"/>
  <c r="R162" i="2"/>
  <c r="S162" i="2"/>
  <c r="R163" i="2"/>
  <c r="S163" i="2"/>
  <c r="R164" i="2"/>
  <c r="S164" i="2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S163" i="4" s="1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R151" i="4" s="1"/>
  <c r="O165" i="2"/>
  <c r="R165" i="2" s="1"/>
  <c r="O164" i="2"/>
  <c r="O163" i="2"/>
  <c r="O162" i="2"/>
  <c r="O161" i="2"/>
  <c r="O160" i="2"/>
  <c r="R160" i="2" s="1"/>
  <c r="O159" i="2"/>
  <c r="R159" i="2" s="1"/>
  <c r="O158" i="2"/>
  <c r="R158" i="2" s="1"/>
  <c r="O157" i="2"/>
  <c r="R157" i="2" s="1"/>
  <c r="O156" i="2"/>
  <c r="O155" i="2"/>
  <c r="R155" i="2" s="1"/>
  <c r="O154" i="2"/>
  <c r="R154" i="2" s="1"/>
  <c r="O153" i="2"/>
  <c r="R153" i="2" s="1"/>
  <c r="O152" i="2"/>
  <c r="R152" i="2" s="1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S50" i="4" l="1"/>
  <c r="R50" i="4"/>
  <c r="R81" i="4"/>
  <c r="S81" i="4"/>
  <c r="S65" i="4"/>
  <c r="R65" i="4"/>
  <c r="S49" i="4"/>
  <c r="R49" i="4"/>
  <c r="S33" i="4"/>
  <c r="R33" i="4"/>
  <c r="R17" i="4"/>
  <c r="S17" i="4"/>
  <c r="R191" i="4"/>
  <c r="S191" i="4"/>
  <c r="R175" i="4"/>
  <c r="S175" i="4"/>
  <c r="R83" i="4"/>
  <c r="S83" i="4"/>
  <c r="S18" i="4"/>
  <c r="R18" i="4"/>
  <c r="S48" i="4"/>
  <c r="R48" i="4"/>
  <c r="S16" i="4"/>
  <c r="R16" i="4"/>
  <c r="S190" i="4"/>
  <c r="R190" i="4"/>
  <c r="R15" i="4"/>
  <c r="S15" i="4"/>
  <c r="S177" i="4"/>
  <c r="R177" i="4"/>
  <c r="S192" i="4"/>
  <c r="R192" i="4"/>
  <c r="R47" i="4"/>
  <c r="S47" i="4"/>
  <c r="R94" i="4"/>
  <c r="S94" i="4"/>
  <c r="R78" i="4"/>
  <c r="S78" i="4"/>
  <c r="S62" i="4"/>
  <c r="R62" i="4"/>
  <c r="S46" i="4"/>
  <c r="R46" i="4"/>
  <c r="S30" i="4"/>
  <c r="R30" i="4"/>
  <c r="S14" i="4"/>
  <c r="R14" i="4"/>
  <c r="R188" i="4"/>
  <c r="S188" i="4"/>
  <c r="S19" i="4"/>
  <c r="R19" i="4"/>
  <c r="S66" i="4"/>
  <c r="R66" i="4"/>
  <c r="R189" i="4"/>
  <c r="S189" i="4"/>
  <c r="R93" i="4"/>
  <c r="S93" i="4"/>
  <c r="R77" i="4"/>
  <c r="S77" i="4"/>
  <c r="S61" i="4"/>
  <c r="R61" i="4"/>
  <c r="R45" i="4"/>
  <c r="S45" i="4"/>
  <c r="S29" i="4"/>
  <c r="R29" i="4"/>
  <c r="S13" i="4"/>
  <c r="R13" i="4"/>
  <c r="S187" i="4"/>
  <c r="R187" i="4"/>
  <c r="S99" i="4"/>
  <c r="R99" i="4"/>
  <c r="R64" i="4"/>
  <c r="S64" i="4"/>
  <c r="R92" i="4"/>
  <c r="S92" i="4"/>
  <c r="R76" i="4"/>
  <c r="S76" i="4"/>
  <c r="R60" i="4"/>
  <c r="S60" i="4"/>
  <c r="S44" i="4"/>
  <c r="R44" i="4"/>
  <c r="R28" i="4"/>
  <c r="S28" i="4"/>
  <c r="S12" i="4"/>
  <c r="R12" i="4"/>
  <c r="R186" i="4"/>
  <c r="S186" i="4"/>
  <c r="R35" i="4"/>
  <c r="S35" i="4"/>
  <c r="R80" i="4"/>
  <c r="S80" i="4"/>
  <c r="R91" i="4"/>
  <c r="S91" i="4"/>
  <c r="R75" i="4"/>
  <c r="S75" i="4"/>
  <c r="R59" i="4"/>
  <c r="S59" i="4"/>
  <c r="S43" i="4"/>
  <c r="R43" i="4"/>
  <c r="R27" i="4"/>
  <c r="S27" i="4"/>
  <c r="S11" i="4"/>
  <c r="R11" i="4"/>
  <c r="S185" i="4"/>
  <c r="R185" i="4"/>
  <c r="S166" i="4"/>
  <c r="S34" i="4"/>
  <c r="R34" i="4"/>
  <c r="S31" i="4"/>
  <c r="R31" i="4"/>
  <c r="R90" i="4"/>
  <c r="S90" i="4"/>
  <c r="S58" i="4"/>
  <c r="R58" i="4"/>
  <c r="S42" i="4"/>
  <c r="R42" i="4"/>
  <c r="S26" i="4"/>
  <c r="R26" i="4"/>
  <c r="R10" i="4"/>
  <c r="S10" i="4"/>
  <c r="R184" i="4"/>
  <c r="S184" i="4"/>
  <c r="S193" i="4"/>
  <c r="R193" i="4"/>
  <c r="R176" i="4"/>
  <c r="S176" i="4"/>
  <c r="R89" i="4"/>
  <c r="S89" i="4"/>
  <c r="R57" i="4"/>
  <c r="S57" i="4"/>
  <c r="R41" i="4"/>
  <c r="S41" i="4"/>
  <c r="S25" i="4"/>
  <c r="R25" i="4"/>
  <c r="R9" i="4"/>
  <c r="S9" i="4"/>
  <c r="R183" i="4"/>
  <c r="S183" i="4"/>
  <c r="R51" i="4"/>
  <c r="S51" i="4"/>
  <c r="S79" i="4"/>
  <c r="R79" i="4"/>
  <c r="S104" i="4"/>
  <c r="R104" i="4"/>
  <c r="S88" i="4"/>
  <c r="R88" i="4"/>
  <c r="S56" i="4"/>
  <c r="R56" i="4"/>
  <c r="S40" i="4"/>
  <c r="R40" i="4"/>
  <c r="R24" i="4"/>
  <c r="S24" i="4"/>
  <c r="S8" i="4"/>
  <c r="R8" i="4"/>
  <c r="S182" i="4"/>
  <c r="R182" i="4"/>
  <c r="R67" i="4"/>
  <c r="S67" i="4"/>
  <c r="R82" i="4"/>
  <c r="S82" i="4"/>
  <c r="R63" i="4"/>
  <c r="S63" i="4"/>
  <c r="S103" i="4"/>
  <c r="R103" i="4"/>
  <c r="R87" i="4"/>
  <c r="S87" i="4"/>
  <c r="S55" i="4"/>
  <c r="R55" i="4"/>
  <c r="S39" i="4"/>
  <c r="R39" i="4"/>
  <c r="R23" i="4"/>
  <c r="S23" i="4"/>
  <c r="S7" i="4"/>
  <c r="R7" i="4"/>
  <c r="R181" i="4"/>
  <c r="S181" i="4"/>
  <c r="R32" i="4"/>
  <c r="S32" i="4"/>
  <c r="S102" i="4"/>
  <c r="R102" i="4"/>
  <c r="S86" i="4"/>
  <c r="R86" i="4"/>
  <c r="R54" i="4"/>
  <c r="S54" i="4"/>
  <c r="S38" i="4"/>
  <c r="R38" i="4"/>
  <c r="S22" i="4"/>
  <c r="R22" i="4"/>
  <c r="S6" i="4"/>
  <c r="R6" i="4"/>
  <c r="R197" i="4"/>
  <c r="S197" i="4"/>
  <c r="R180" i="4"/>
  <c r="S180" i="4"/>
  <c r="S101" i="4"/>
  <c r="R101" i="4"/>
  <c r="S85" i="4"/>
  <c r="R85" i="4"/>
  <c r="S53" i="4"/>
  <c r="R53" i="4"/>
  <c r="R37" i="4"/>
  <c r="S37" i="4"/>
  <c r="S21" i="4"/>
  <c r="R21" i="4"/>
  <c r="R196" i="4"/>
  <c r="S196" i="4"/>
  <c r="S179" i="4"/>
  <c r="R179" i="4"/>
  <c r="R98" i="4"/>
  <c r="S98" i="4"/>
  <c r="R100" i="4"/>
  <c r="S100" i="4"/>
  <c r="R84" i="4"/>
  <c r="S84" i="4"/>
  <c r="R68" i="4"/>
  <c r="S68" i="4"/>
  <c r="S52" i="4"/>
  <c r="R52" i="4"/>
  <c r="R36" i="4"/>
  <c r="S36" i="4"/>
  <c r="S20" i="4"/>
  <c r="R20" i="4"/>
  <c r="S195" i="4"/>
  <c r="R195" i="4"/>
  <c r="R178" i="4"/>
  <c r="S178" i="4"/>
  <c r="S173" i="2"/>
  <c r="S197" i="2"/>
  <c r="R197" i="2"/>
  <c r="R189" i="2"/>
  <c r="S189" i="2"/>
  <c r="R181" i="2"/>
  <c r="S181" i="2"/>
  <c r="S155" i="2"/>
  <c r="S172" i="2"/>
  <c r="R196" i="2"/>
  <c r="S196" i="2"/>
  <c r="R188" i="2"/>
  <c r="S188" i="2"/>
  <c r="S180" i="2"/>
  <c r="R180" i="2"/>
  <c r="S154" i="2"/>
  <c r="S195" i="2"/>
  <c r="R195" i="2"/>
  <c r="R187" i="2"/>
  <c r="S187" i="2"/>
  <c r="R179" i="2"/>
  <c r="S179" i="2"/>
  <c r="S153" i="2"/>
  <c r="R194" i="2"/>
  <c r="S194" i="2"/>
  <c r="R186" i="2"/>
  <c r="S186" i="2"/>
  <c r="R178" i="2"/>
  <c r="S178" i="2"/>
  <c r="S160" i="2"/>
  <c r="S152" i="2"/>
  <c r="S169" i="2"/>
  <c r="R193" i="2"/>
  <c r="S193" i="2"/>
  <c r="S185" i="2"/>
  <c r="R185" i="2"/>
  <c r="R177" i="2"/>
  <c r="S177" i="2"/>
  <c r="S159" i="2"/>
  <c r="R192" i="2"/>
  <c r="S192" i="2"/>
  <c r="R184" i="2"/>
  <c r="S184" i="2"/>
  <c r="R176" i="2"/>
  <c r="S176" i="2"/>
  <c r="S158" i="2"/>
  <c r="S191" i="2"/>
  <c r="R191" i="2"/>
  <c r="R183" i="2"/>
  <c r="S183" i="2"/>
  <c r="R175" i="2"/>
  <c r="S175" i="2"/>
  <c r="S165" i="2"/>
  <c r="S157" i="2"/>
  <c r="S166" i="2"/>
  <c r="R190" i="2"/>
  <c r="S190" i="2"/>
  <c r="S182" i="2"/>
  <c r="R182" i="2"/>
  <c r="R172" i="4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105" i="4"/>
  <c r="S110" i="4"/>
  <c r="S111" i="4"/>
  <c r="S109" i="4"/>
  <c r="S108" i="4"/>
  <c r="S107" i="4"/>
  <c r="S106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O3" i="4"/>
  <c r="P72" i="2" l="1"/>
  <c r="O72" i="2"/>
  <c r="O69" i="2"/>
  <c r="P69" i="2"/>
  <c r="O70" i="2"/>
  <c r="P70" i="2"/>
  <c r="O71" i="2"/>
  <c r="S71" i="2" s="1"/>
  <c r="P71" i="2"/>
  <c r="O73" i="2"/>
  <c r="P73" i="2"/>
  <c r="P74" i="2"/>
  <c r="O74" i="2"/>
  <c r="R74" i="2" s="1"/>
  <c r="R73" i="2"/>
  <c r="S73" i="2"/>
  <c r="S72" i="2"/>
  <c r="R72" i="2"/>
  <c r="R69" i="2"/>
  <c r="S69" i="2"/>
  <c r="R70" i="2"/>
  <c r="S70" i="2"/>
  <c r="R71" i="2"/>
  <c r="S3" i="4"/>
  <c r="R4" i="4"/>
  <c r="R3" i="4"/>
  <c r="S4" i="4"/>
  <c r="S5" i="4"/>
  <c r="R5" i="4"/>
  <c r="S74" i="2" l="1"/>
  <c r="R68" i="2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<sst xmlns="http://schemas.openxmlformats.org/spreadsheetml/2006/main" count="134" uniqueCount="69">
  <si>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</si>
  <si>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</si>
  <si>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</si>
  <si>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</si>
  <si>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</si>
  <si>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</si>
  <si>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</si>
  <si>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</si>
  <si>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</si>
  <si>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</si>
  <si>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</si>
  <si>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</si>
  <si>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</si>
  <si>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</si>
  <si>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</si>
  <si>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</si>
  <si>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</si>
  <si>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</si>
  <si>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</si>
  <si>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</si>
  <si>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</si>
  <si>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</si>
  <si>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</si>
  <si>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</si>
  <si>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</si>
  <si>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</si>
  <si>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</si>
  <si>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</si>
  <si>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</si>
  <si>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</si>
  <si>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</si>
  <si>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</si>
  <si>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</si>
  <si>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</si>
  <si>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</si>
  <si>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</si>
  <si>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</si>
  <si>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</si>
  <si>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</si>
  <si>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</si>
  <si>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</si>
  <si>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</si>
  <si>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</si>
  <si>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</si>
  <si>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</si>
  <si>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</si>
  <si>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</si>
  <si>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</si>
  <si>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</si>
  <si>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</si>
  <si>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</si>
  <si>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</si>
  <si>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</si>
  <si>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</si>
  <si>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</si>
  <si>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</si>
  <si>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</si>
  <si>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</si>
  <si>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</si>
  <si>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</si>
  <si>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</si>
  <si>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</si>
  <si>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</si>
  <si>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</si>
  <si>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</si>
  <si>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</si>
  <si>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</si>
  <si>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</si>
  <si>
    <t>lent Friday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</si>
</sst>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28">
    <dxf>
      <fill>
        <patternFill>
          <bgColor rgb="FF00B050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-0.24994659260841701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BA3A3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BA3A3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58"/>
  <sheetViews>
    <sheetView tabSelected="1" zoomScaleNormal="100" workbookViewId="0">
      <pane ySplit="1" topLeftCell="A725" activePane="bottomLeft" state="frozen"/>
      <selection pane="bottomLeft" activeCell="P736" sqref="P736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1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49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8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0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39" t="s">
        <v>10</v>
      </c>
    </row>
    <row r="3" spans="1:11" ht="15" customHeight="1" x14ac:dyDescent="0.25">
      <c r="A3" s="5">
        <v>7</v>
      </c>
      <c r="B3" s="5">
        <v>2</v>
      </c>
      <c r="C3" s="50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0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0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0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0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0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0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39" t="s">
        <v>11</v>
      </c>
    </row>
    <row r="10" spans="1:11" ht="15" customHeight="1" x14ac:dyDescent="0.25">
      <c r="A10" s="5">
        <v>7</v>
      </c>
      <c r="B10" s="5">
        <v>9</v>
      </c>
      <c r="C10" s="50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0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39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0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0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0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0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0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0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0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0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0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0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0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0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0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0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0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0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0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0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0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0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0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0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0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0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0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0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0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0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0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0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0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0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0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0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0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39" t="s">
        <v>13</v>
      </c>
    </row>
    <row r="47" spans="1:9" ht="15" customHeight="1" x14ac:dyDescent="0.25">
      <c r="A47" s="5">
        <v>2</v>
      </c>
      <c r="B47" s="5">
        <v>46</v>
      </c>
      <c r="C47" s="50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0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0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0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0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0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0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39" t="s">
        <v>14</v>
      </c>
    </row>
    <row r="54" spans="1:9" ht="15" customHeight="1" x14ac:dyDescent="0.25">
      <c r="A54" s="5">
        <v>2</v>
      </c>
      <c r="B54" s="5">
        <v>53</v>
      </c>
      <c r="C54" s="50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0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0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0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0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0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0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0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0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0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0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0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0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0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0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39" t="s">
        <v>15</v>
      </c>
    </row>
    <row r="69" spans="1:9" ht="15" customHeight="1" x14ac:dyDescent="0.25">
      <c r="A69" s="5">
        <v>3</v>
      </c>
      <c r="B69" s="5">
        <v>68</v>
      </c>
      <c r="C69" s="50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0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0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0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0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0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0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0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0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0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0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0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0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0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0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0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0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0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0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0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39" t="s">
        <v>16</v>
      </c>
    </row>
    <row r="89" spans="1:9" ht="15" customHeight="1" x14ac:dyDescent="0.25">
      <c r="A89" s="5">
        <v>2</v>
      </c>
      <c r="B89" s="5">
        <v>88</v>
      </c>
      <c r="C89" s="50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0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0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39" t="s">
        <v>17</v>
      </c>
    </row>
    <row r="92" spans="1:9" ht="15" customHeight="1" x14ac:dyDescent="0.25">
      <c r="A92" s="5">
        <v>5</v>
      </c>
      <c r="B92" s="5">
        <v>91</v>
      </c>
      <c r="C92" s="50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0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0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0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0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0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0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0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0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0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0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0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0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0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0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39" t="s">
        <v>18</v>
      </c>
    </row>
    <row r="107" spans="1:9" ht="15" customHeight="1" x14ac:dyDescent="0.25">
      <c r="A107" s="5">
        <v>6</v>
      </c>
      <c r="B107" s="5">
        <v>106</v>
      </c>
      <c r="C107" s="50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0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0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0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0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0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0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0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0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0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0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0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0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0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0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0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0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0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0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0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0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0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0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0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0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0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0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0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0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0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0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0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0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0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0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0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0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0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0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0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0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0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0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0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0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0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0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0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0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0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0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0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0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0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0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0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0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0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0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0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39" t="s">
        <v>19</v>
      </c>
    </row>
    <row r="167" spans="1:9" ht="15" customHeight="1" x14ac:dyDescent="0.25">
      <c r="A167" s="5">
        <v>3</v>
      </c>
      <c r="B167" s="5">
        <v>166</v>
      </c>
      <c r="C167" s="50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0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0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0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0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0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0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0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0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0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0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0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0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0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0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0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0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0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0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0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0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0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0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0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0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0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0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0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0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0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0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0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0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0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0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0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0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0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0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0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39" t="s">
        <v>20</v>
      </c>
    </row>
    <row r="207" spans="1:9" ht="15" customHeight="1" x14ac:dyDescent="0.25">
      <c r="A207" s="5">
        <v>1</v>
      </c>
      <c r="B207" s="5">
        <v>206</v>
      </c>
      <c r="C207" s="50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0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39" t="s">
        <v>21</v>
      </c>
    </row>
    <row r="209" spans="1:8" ht="15" customHeight="1" x14ac:dyDescent="0.25">
      <c r="A209" s="5">
        <v>3</v>
      </c>
      <c r="B209" s="5">
        <v>208</v>
      </c>
      <c r="C209" s="50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0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0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0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0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0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0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0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0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0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0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0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0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0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0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0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0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39" t="s">
        <v>22</v>
      </c>
    </row>
    <row r="226" spans="1:9" ht="15" customHeight="1" x14ac:dyDescent="0.25">
      <c r="A226" s="5">
        <v>6</v>
      </c>
      <c r="B226" s="5">
        <v>225</v>
      </c>
      <c r="C226" s="50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0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0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0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0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39" t="s">
        <v>23</v>
      </c>
    </row>
    <row r="231" spans="1:9" ht="15" customHeight="1" x14ac:dyDescent="0.25">
      <c r="A231" s="5">
        <v>4</v>
      </c>
      <c r="B231" s="5">
        <v>230</v>
      </c>
      <c r="C231" s="50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0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0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0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0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0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39" t="s">
        <v>24</v>
      </c>
    </row>
    <row r="237" spans="1:9" ht="15" customHeight="1" x14ac:dyDescent="0.25">
      <c r="A237" s="5">
        <v>3</v>
      </c>
      <c r="B237" s="5">
        <v>236</v>
      </c>
      <c r="C237" s="50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0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0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0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0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0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0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0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0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0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0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0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0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0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0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0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0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39" t="s">
        <v>25</v>
      </c>
    </row>
    <row r="254" spans="1:9" ht="15" customHeight="1" x14ac:dyDescent="0.25">
      <c r="A254" s="5">
        <v>6</v>
      </c>
      <c r="B254" s="5">
        <v>253</v>
      </c>
      <c r="C254" s="50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39" t="s">
        <v>26</v>
      </c>
    </row>
    <row r="255" spans="1:9" ht="15" customHeight="1" x14ac:dyDescent="0.25">
      <c r="A255" s="5">
        <v>7</v>
      </c>
      <c r="B255" s="5">
        <v>254</v>
      </c>
      <c r="C255" s="50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0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0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0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0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0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0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0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0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0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0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0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0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0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0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0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0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0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0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0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0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0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0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0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0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39" t="s">
        <v>27</v>
      </c>
    </row>
    <row r="280" spans="1:9" ht="15" customHeight="1" x14ac:dyDescent="0.25">
      <c r="A280" s="5">
        <v>4</v>
      </c>
      <c r="B280" s="5">
        <v>279</v>
      </c>
      <c r="C280" s="50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39" t="s">
        <v>28</v>
      </c>
    </row>
    <row r="281" spans="1:9" ht="15" customHeight="1" x14ac:dyDescent="0.25">
      <c r="A281" s="5">
        <v>5</v>
      </c>
      <c r="B281" s="5">
        <v>280</v>
      </c>
      <c r="C281" s="50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39" t="s">
        <v>29</v>
      </c>
    </row>
    <row r="282" spans="1:9" ht="15" customHeight="1" x14ac:dyDescent="0.25">
      <c r="A282" s="5">
        <v>6</v>
      </c>
      <c r="B282" s="5">
        <v>281</v>
      </c>
      <c r="C282" s="50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0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0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0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0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39" t="s">
        <v>30</v>
      </c>
    </row>
    <row r="287" spans="1:9" ht="15" customHeight="1" x14ac:dyDescent="0.25">
      <c r="A287" s="5">
        <v>4</v>
      </c>
      <c r="B287" s="5">
        <v>286</v>
      </c>
      <c r="C287" s="50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39" t="s">
        <v>31</v>
      </c>
    </row>
    <row r="288" spans="1:9" ht="15" customHeight="1" x14ac:dyDescent="0.25">
      <c r="A288" s="5">
        <v>5</v>
      </c>
      <c r="B288" s="5">
        <v>287</v>
      </c>
      <c r="C288" s="50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0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0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0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0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0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0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0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0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0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0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0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0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0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0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0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0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0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0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39" t="s">
        <v>32</v>
      </c>
    </row>
    <row r="307" spans="1:9" ht="15" customHeight="1" x14ac:dyDescent="0.25">
      <c r="A307" s="5">
        <v>3</v>
      </c>
      <c r="B307" s="5">
        <v>306</v>
      </c>
      <c r="C307" s="50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0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0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0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0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0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0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0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0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0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0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0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0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0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0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0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0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0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0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0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39" t="s">
        <v>33</v>
      </c>
    </row>
    <row r="327" spans="1:9" ht="15" customHeight="1" x14ac:dyDescent="0.25">
      <c r="A327" s="5">
        <v>2</v>
      </c>
      <c r="B327" s="5">
        <v>326</v>
      </c>
      <c r="C327" s="50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0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0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0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0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39" t="s">
        <v>34</v>
      </c>
    </row>
    <row r="332" spans="1:9" ht="15" customHeight="1" x14ac:dyDescent="0.25">
      <c r="A332" s="5">
        <v>7</v>
      </c>
      <c r="B332" s="5">
        <v>331</v>
      </c>
      <c r="C332" s="50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0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0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39" t="s">
        <v>35</v>
      </c>
    </row>
    <row r="335" spans="1:9" ht="15" customHeight="1" x14ac:dyDescent="0.25">
      <c r="A335" s="5">
        <v>3</v>
      </c>
      <c r="B335" s="5">
        <v>334</v>
      </c>
      <c r="C335" s="50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0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0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0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0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0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0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0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0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0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0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0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39" t="s">
        <v>36</v>
      </c>
    </row>
    <row r="347" spans="1:9" ht="15" customHeight="1" x14ac:dyDescent="0.25">
      <c r="A347" s="5">
        <v>1</v>
      </c>
      <c r="B347" s="5">
        <v>346</v>
      </c>
      <c r="C347" s="50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0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0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0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39" t="s">
        <v>37</v>
      </c>
    </row>
    <row r="351" spans="1:9" ht="15" customHeight="1" x14ac:dyDescent="0.25">
      <c r="A351" s="5">
        <v>5</v>
      </c>
      <c r="B351" s="5">
        <v>350</v>
      </c>
      <c r="C351" s="50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0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39" t="s">
        <v>10</v>
      </c>
    </row>
    <row r="353" spans="1:9" ht="15" customHeight="1" x14ac:dyDescent="0.25">
      <c r="A353" s="5">
        <v>7</v>
      </c>
      <c r="B353" s="5">
        <v>352</v>
      </c>
      <c r="C353" s="50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0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0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0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0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0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0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39" t="s">
        <v>10</v>
      </c>
    </row>
    <row r="360" spans="1:9" ht="15" customHeight="1" x14ac:dyDescent="0.25">
      <c r="A360" s="5">
        <v>7</v>
      </c>
      <c r="B360" s="5">
        <v>359</v>
      </c>
      <c r="C360" s="50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0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0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39" t="s">
        <v>38</v>
      </c>
    </row>
    <row r="363" spans="1:9" ht="15" customHeight="1" x14ac:dyDescent="0.25">
      <c r="A363" s="5">
        <v>3</v>
      </c>
      <c r="B363" s="5">
        <v>362</v>
      </c>
      <c r="C363" s="50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0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0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0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39" t="s">
        <v>10</v>
      </c>
    </row>
    <row r="367" spans="1:9" ht="15" customHeight="1" x14ac:dyDescent="0.25">
      <c r="A367" s="5">
        <v>7</v>
      </c>
      <c r="B367" s="5">
        <v>366</v>
      </c>
      <c r="C367" s="50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0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0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0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0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0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0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39" t="s">
        <v>10</v>
      </c>
    </row>
    <row r="374" spans="1:9" ht="15" customHeight="1" x14ac:dyDescent="0.25">
      <c r="A374" s="5">
        <v>7</v>
      </c>
      <c r="B374" s="5">
        <v>373</v>
      </c>
      <c r="C374" s="50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0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0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0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0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0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0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39" t="s">
        <v>10</v>
      </c>
    </row>
    <row r="381" spans="1:9" ht="15" customHeight="1" x14ac:dyDescent="0.25">
      <c r="A381" s="5">
        <v>7</v>
      </c>
      <c r="B381" s="5">
        <v>380</v>
      </c>
      <c r="C381" s="50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0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0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0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0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0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0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39" t="s">
        <v>10</v>
      </c>
    </row>
    <row r="388" spans="1:9" ht="15" customHeight="1" x14ac:dyDescent="0.25">
      <c r="A388" s="5">
        <v>7</v>
      </c>
      <c r="B388" s="5">
        <v>387</v>
      </c>
      <c r="C388" s="50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0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0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0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0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0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0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39" t="s">
        <v>11</v>
      </c>
    </row>
    <row r="395" spans="1:9" ht="15" customHeight="1" x14ac:dyDescent="0.25">
      <c r="A395" s="5">
        <v>7</v>
      </c>
      <c r="B395" s="5">
        <v>394</v>
      </c>
      <c r="C395" s="50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0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39" t="s">
        <v>12</v>
      </c>
    </row>
    <row r="397" spans="1:9" ht="15" customHeight="1" x14ac:dyDescent="0.25">
      <c r="A397" s="5">
        <v>2</v>
      </c>
      <c r="B397" s="5">
        <v>396</v>
      </c>
      <c r="C397" s="50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0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0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0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0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0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0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0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0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0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0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0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0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0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0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39" t="s">
        <v>13</v>
      </c>
    </row>
    <row r="412" spans="1:9" ht="15" customHeight="1" x14ac:dyDescent="0.25">
      <c r="A412" s="5">
        <v>3</v>
      </c>
      <c r="B412" s="5">
        <v>411</v>
      </c>
      <c r="C412" s="50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0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0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0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0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0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39" t="s">
        <v>14</v>
      </c>
    </row>
    <row r="418" spans="1:9" ht="15" customHeight="1" x14ac:dyDescent="0.25">
      <c r="A418" s="5">
        <v>2</v>
      </c>
      <c r="B418" s="5">
        <v>417</v>
      </c>
      <c r="C418" s="50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0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0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0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0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0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0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0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0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0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0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0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0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0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0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39" t="s">
        <v>15</v>
      </c>
    </row>
    <row r="433" spans="1:11" ht="15" customHeight="1" x14ac:dyDescent="0.25">
      <c r="A433" s="5">
        <v>3</v>
      </c>
      <c r="B433" s="5">
        <v>432</v>
      </c>
      <c r="C433" s="50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0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0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0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0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0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0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0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0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0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0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0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0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0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0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0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0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0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0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0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39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0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0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0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0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39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0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0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0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0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0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0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0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0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0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0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0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0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0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0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0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39" t="s">
        <v>18</v>
      </c>
    </row>
    <row r="472" spans="1:11" ht="15" customHeight="1" x14ac:dyDescent="0.25">
      <c r="A472" s="5">
        <v>7</v>
      </c>
      <c r="B472" s="5">
        <v>471</v>
      </c>
      <c r="C472" s="50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0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0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0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0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0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0">
        <v>45849</v>
      </c>
      <c r="D478">
        <v>146</v>
      </c>
      <c r="E478" s="8">
        <v>76.8</v>
      </c>
      <c r="F478" s="28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0">
        <v>45850</v>
      </c>
      <c r="D479">
        <v>178</v>
      </c>
      <c r="E479" s="8">
        <v>76.599999999999994</v>
      </c>
      <c r="F479" s="29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0">
        <v>45851</v>
      </c>
      <c r="D480">
        <v>92</v>
      </c>
      <c r="E480" s="8">
        <v>75.900000000000006</v>
      </c>
      <c r="F480" s="29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0">
        <v>45852</v>
      </c>
      <c r="D481">
        <v>113</v>
      </c>
      <c r="E481" s="8">
        <v>75.900000000000006</v>
      </c>
      <c r="F481" s="29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0">
        <v>45853</v>
      </c>
      <c r="D482">
        <v>77</v>
      </c>
      <c r="E482" s="8">
        <v>80.2</v>
      </c>
      <c r="F482" s="29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0">
        <v>45854</v>
      </c>
      <c r="D483">
        <v>80</v>
      </c>
      <c r="E483" s="8">
        <v>81.099999999999994</v>
      </c>
      <c r="F483" s="29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0">
        <v>45855</v>
      </c>
      <c r="D484">
        <v>84</v>
      </c>
      <c r="E484" s="8">
        <v>70.3</v>
      </c>
      <c r="F484" s="29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0">
        <v>45856</v>
      </c>
      <c r="D485">
        <v>127</v>
      </c>
      <c r="E485" s="8">
        <v>67.5</v>
      </c>
      <c r="F485" s="29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0">
        <v>45857</v>
      </c>
      <c r="D486">
        <v>210</v>
      </c>
      <c r="E486" s="8">
        <v>75.900000000000006</v>
      </c>
      <c r="F486" s="29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0">
        <v>45858</v>
      </c>
      <c r="D487">
        <v>53</v>
      </c>
      <c r="E487" s="8">
        <v>73.2</v>
      </c>
      <c r="F487" s="28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0">
        <v>45859</v>
      </c>
      <c r="D488">
        <v>66</v>
      </c>
      <c r="E488" s="8">
        <v>72.099999999999994</v>
      </c>
      <c r="F488" s="29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0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0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0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0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0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0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0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0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0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0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0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0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0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0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0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0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0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0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0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0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0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0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0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0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0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0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0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0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0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0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0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0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0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0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0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0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0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0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0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0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0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7"/>
    </row>
    <row r="530" spans="1:10" ht="15" customHeight="1" x14ac:dyDescent="0.25">
      <c r="A530" s="5">
        <v>2</v>
      </c>
      <c r="B530" s="5">
        <v>529</v>
      </c>
      <c r="C530" s="50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39" t="s">
        <v>19</v>
      </c>
      <c r="J530" s="37"/>
    </row>
    <row r="531" spans="1:10" ht="15" customHeight="1" x14ac:dyDescent="0.25">
      <c r="A531" s="5">
        <v>3</v>
      </c>
      <c r="B531" s="5">
        <v>530</v>
      </c>
      <c r="C531" s="50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7"/>
    </row>
    <row r="532" spans="1:10" ht="15" customHeight="1" x14ac:dyDescent="0.25">
      <c r="A532" s="5">
        <v>4</v>
      </c>
      <c r="B532" s="5">
        <v>531</v>
      </c>
      <c r="C532" s="50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7"/>
    </row>
    <row r="533" spans="1:10" ht="15" customHeight="1" x14ac:dyDescent="0.25">
      <c r="A533" s="5">
        <v>5</v>
      </c>
      <c r="B533" s="5">
        <v>532</v>
      </c>
      <c r="C533" s="50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7"/>
    </row>
    <row r="534" spans="1:10" ht="15" customHeight="1" x14ac:dyDescent="0.25">
      <c r="A534" s="5">
        <v>6</v>
      </c>
      <c r="B534" s="5">
        <v>533</v>
      </c>
      <c r="C534" s="50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7"/>
    </row>
    <row r="535" spans="1:10" ht="15" customHeight="1" x14ac:dyDescent="0.25">
      <c r="A535" s="5">
        <v>7</v>
      </c>
      <c r="B535" s="5">
        <v>534</v>
      </c>
      <c r="C535" s="50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7"/>
    </row>
    <row r="536" spans="1:10" ht="15" customHeight="1" x14ac:dyDescent="0.25">
      <c r="A536" s="5">
        <v>1</v>
      </c>
      <c r="B536" s="5">
        <v>535</v>
      </c>
      <c r="C536" s="50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7"/>
    </row>
    <row r="537" spans="1:10" ht="15" customHeight="1" x14ac:dyDescent="0.25">
      <c r="A537" s="5">
        <v>2</v>
      </c>
      <c r="B537" s="5">
        <v>536</v>
      </c>
      <c r="C537" s="50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7"/>
    </row>
    <row r="538" spans="1:10" ht="15" customHeight="1" x14ac:dyDescent="0.25">
      <c r="A538" s="5">
        <v>3</v>
      </c>
      <c r="B538" s="5">
        <v>537</v>
      </c>
      <c r="C538" s="50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7"/>
    </row>
    <row r="539" spans="1:10" ht="15" customHeight="1" x14ac:dyDescent="0.25">
      <c r="A539" s="5">
        <v>4</v>
      </c>
      <c r="B539" s="5">
        <v>538</v>
      </c>
      <c r="C539" s="50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7"/>
    </row>
    <row r="540" spans="1:10" ht="15" customHeight="1" x14ac:dyDescent="0.25">
      <c r="A540" s="5">
        <v>5</v>
      </c>
      <c r="B540" s="5">
        <v>539</v>
      </c>
      <c r="C540" s="50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7"/>
    </row>
    <row r="541" spans="1:10" ht="15" customHeight="1" x14ac:dyDescent="0.25">
      <c r="A541" s="5">
        <v>6</v>
      </c>
      <c r="B541" s="5">
        <v>540</v>
      </c>
      <c r="C541" s="50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7"/>
    </row>
    <row r="542" spans="1:10" ht="15" customHeight="1" x14ac:dyDescent="0.25">
      <c r="A542" s="5">
        <v>7</v>
      </c>
      <c r="B542" s="5">
        <v>541</v>
      </c>
      <c r="C542" s="50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7"/>
    </row>
    <row r="543" spans="1:10" ht="15" customHeight="1" x14ac:dyDescent="0.25">
      <c r="A543" s="5">
        <v>1</v>
      </c>
      <c r="B543" s="5">
        <v>542</v>
      </c>
      <c r="C543" s="50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7"/>
    </row>
    <row r="544" spans="1:10" ht="15" customHeight="1" x14ac:dyDescent="0.25">
      <c r="A544" s="5">
        <v>2</v>
      </c>
      <c r="B544" s="5">
        <v>543</v>
      </c>
      <c r="C544" s="50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7"/>
    </row>
    <row r="545" spans="1:17" ht="15" customHeight="1" x14ac:dyDescent="0.25">
      <c r="A545" s="5">
        <v>3</v>
      </c>
      <c r="B545" s="5">
        <v>544</v>
      </c>
      <c r="C545" s="50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7"/>
    </row>
    <row r="546" spans="1:17" ht="15" customHeight="1" x14ac:dyDescent="0.25">
      <c r="A546" s="5">
        <v>4</v>
      </c>
      <c r="B546" s="5">
        <v>545</v>
      </c>
      <c r="C546" s="50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7"/>
    </row>
    <row r="547" spans="1:17" ht="15" customHeight="1" x14ac:dyDescent="0.25">
      <c r="A547" s="5">
        <v>5</v>
      </c>
      <c r="B547" s="5">
        <v>546</v>
      </c>
      <c r="C547" s="50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7"/>
    </row>
    <row r="548" spans="1:17" ht="15" customHeight="1" x14ac:dyDescent="0.25">
      <c r="A548" s="5">
        <v>6</v>
      </c>
      <c r="B548" s="5">
        <v>547</v>
      </c>
      <c r="C548" s="50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7"/>
    </row>
    <row r="549" spans="1:17" ht="15" customHeight="1" x14ac:dyDescent="0.25">
      <c r="A549" s="5">
        <v>7</v>
      </c>
      <c r="B549" s="5">
        <v>548</v>
      </c>
      <c r="C549" s="50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0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0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0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0"/>
    </row>
    <row r="553" spans="1:17" ht="15" customHeight="1" x14ac:dyDescent="0.25">
      <c r="A553" s="5">
        <v>4</v>
      </c>
      <c r="B553" s="5">
        <v>552</v>
      </c>
      <c r="C553" s="50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0"/>
    </row>
    <row r="554" spans="1:17" ht="15" customHeight="1" x14ac:dyDescent="0.25">
      <c r="A554" s="5">
        <v>5</v>
      </c>
      <c r="B554" s="5">
        <v>553</v>
      </c>
      <c r="C554" s="50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0"/>
    </row>
    <row r="555" spans="1:17" ht="15" customHeight="1" x14ac:dyDescent="0.25">
      <c r="A555" s="5">
        <v>6</v>
      </c>
      <c r="B555" s="5">
        <v>554</v>
      </c>
      <c r="C555" s="50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0"/>
    </row>
    <row r="556" spans="1:17" ht="15" customHeight="1" x14ac:dyDescent="0.25">
      <c r="A556" s="5">
        <v>7</v>
      </c>
      <c r="B556" s="5">
        <v>555</v>
      </c>
      <c r="C556" s="50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0"/>
    </row>
    <row r="557" spans="1:17" ht="15" customHeight="1" x14ac:dyDescent="0.25">
      <c r="A557" s="5">
        <v>1</v>
      </c>
      <c r="B557" s="5">
        <v>556</v>
      </c>
      <c r="C557" s="50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0"/>
    </row>
    <row r="558" spans="1:17" ht="15" customHeight="1" x14ac:dyDescent="0.25">
      <c r="A558" s="5">
        <v>2</v>
      </c>
      <c r="B558" s="5">
        <v>557</v>
      </c>
      <c r="C558" s="50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0"/>
    </row>
    <row r="559" spans="1:17" ht="15" customHeight="1" x14ac:dyDescent="0.25">
      <c r="A559" s="5">
        <v>3</v>
      </c>
      <c r="B559" s="5">
        <v>558</v>
      </c>
      <c r="C559" s="50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0"/>
    </row>
    <row r="560" spans="1:17" ht="15" customHeight="1" x14ac:dyDescent="0.25">
      <c r="A560" s="5">
        <v>4</v>
      </c>
      <c r="B560" s="5">
        <v>559</v>
      </c>
      <c r="C560" s="50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0"/>
    </row>
    <row r="561" spans="1:17" ht="15" customHeight="1" x14ac:dyDescent="0.25">
      <c r="A561" s="5">
        <v>5</v>
      </c>
      <c r="B561" s="5">
        <v>560</v>
      </c>
      <c r="C561" s="50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39" t="s">
        <v>20</v>
      </c>
      <c r="N561" s="25"/>
      <c r="P561" s="25"/>
      <c r="Q561" s="40"/>
    </row>
    <row r="562" spans="1:17" ht="15" customHeight="1" x14ac:dyDescent="0.25">
      <c r="A562" s="5">
        <v>6</v>
      </c>
      <c r="B562" s="5">
        <v>561</v>
      </c>
      <c r="C562" s="50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0"/>
    </row>
    <row r="563" spans="1:17" ht="15" customHeight="1" x14ac:dyDescent="0.25">
      <c r="A563" s="5">
        <v>7</v>
      </c>
      <c r="B563" s="5">
        <v>562</v>
      </c>
      <c r="C563" s="50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0"/>
    </row>
    <row r="564" spans="1:17" ht="15" customHeight="1" x14ac:dyDescent="0.25">
      <c r="A564" s="5">
        <v>1</v>
      </c>
      <c r="B564" s="5">
        <v>563</v>
      </c>
      <c r="C564" s="50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0"/>
    </row>
    <row r="565" spans="1:17" ht="15" customHeight="1" x14ac:dyDescent="0.25">
      <c r="A565" s="5">
        <v>2</v>
      </c>
      <c r="B565" s="5">
        <v>564</v>
      </c>
      <c r="C565" s="50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0"/>
    </row>
    <row r="566" spans="1:17" ht="15" customHeight="1" x14ac:dyDescent="0.25">
      <c r="A566" s="5">
        <v>3</v>
      </c>
      <c r="B566" s="5">
        <v>565</v>
      </c>
      <c r="C566" s="50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0"/>
    </row>
    <row r="567" spans="1:17" ht="15" customHeight="1" x14ac:dyDescent="0.25">
      <c r="A567" s="5">
        <v>4</v>
      </c>
      <c r="B567" s="5">
        <v>566</v>
      </c>
      <c r="C567" s="50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0"/>
    </row>
    <row r="568" spans="1:17" ht="15" customHeight="1" x14ac:dyDescent="0.25">
      <c r="A568" s="5">
        <v>5</v>
      </c>
      <c r="B568" s="5">
        <v>567</v>
      </c>
      <c r="C568" s="50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7"/>
      <c r="Q568" s="25"/>
    </row>
    <row r="569" spans="1:17" ht="15" customHeight="1" x14ac:dyDescent="0.25">
      <c r="A569" s="5">
        <v>6</v>
      </c>
      <c r="B569" s="5">
        <v>568</v>
      </c>
      <c r="C569" s="50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7"/>
      <c r="Q569" s="25"/>
    </row>
    <row r="570" spans="1:17" ht="15" customHeight="1" x14ac:dyDescent="0.25">
      <c r="A570" s="5">
        <v>7</v>
      </c>
      <c r="B570" s="5">
        <v>569</v>
      </c>
      <c r="C570" s="50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7"/>
      <c r="Q570" s="25"/>
    </row>
    <row r="571" spans="1:17" ht="15" customHeight="1" x14ac:dyDescent="0.25">
      <c r="A571" s="5">
        <v>1</v>
      </c>
      <c r="B571" s="5">
        <v>570</v>
      </c>
      <c r="C571" s="50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7"/>
      <c r="Q571" s="25"/>
    </row>
    <row r="572" spans="1:17" ht="15" customHeight="1" x14ac:dyDescent="0.25">
      <c r="A572" s="5">
        <v>2</v>
      </c>
      <c r="B572" s="5">
        <v>571</v>
      </c>
      <c r="C572" s="50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7"/>
      <c r="Q572" s="25"/>
    </row>
    <row r="573" spans="1:17" ht="15" customHeight="1" x14ac:dyDescent="0.25">
      <c r="A573" s="5">
        <v>3</v>
      </c>
      <c r="B573" s="5">
        <v>572</v>
      </c>
      <c r="C573" s="50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7"/>
      <c r="Q573" s="25"/>
    </row>
    <row r="574" spans="1:17" ht="15" customHeight="1" x14ac:dyDescent="0.25">
      <c r="A574" s="5">
        <v>4</v>
      </c>
      <c r="B574" s="5">
        <v>573</v>
      </c>
      <c r="C574" s="50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7"/>
      <c r="Q574" s="25"/>
    </row>
    <row r="575" spans="1:17" ht="15" customHeight="1" x14ac:dyDescent="0.25">
      <c r="A575" s="5">
        <v>5</v>
      </c>
      <c r="B575" s="5">
        <v>574</v>
      </c>
      <c r="C575" s="50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7"/>
      <c r="Q575" s="25"/>
    </row>
    <row r="576" spans="1:17" ht="15" customHeight="1" x14ac:dyDescent="0.25">
      <c r="A576" s="5">
        <v>6</v>
      </c>
      <c r="B576" s="5">
        <v>575</v>
      </c>
      <c r="C576" s="50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7"/>
      <c r="Q576" s="25"/>
    </row>
    <row r="577" spans="1:17" ht="15" customHeight="1" x14ac:dyDescent="0.25">
      <c r="A577" s="5">
        <v>7</v>
      </c>
      <c r="B577" s="5">
        <v>576</v>
      </c>
      <c r="C577" s="50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7"/>
      <c r="Q577" s="25"/>
    </row>
    <row r="578" spans="1:17" ht="15" customHeight="1" x14ac:dyDescent="0.25">
      <c r="A578" s="5">
        <v>1</v>
      </c>
      <c r="B578" s="5">
        <v>577</v>
      </c>
      <c r="C578" s="50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7"/>
      <c r="Q578" s="25"/>
    </row>
    <row r="579" spans="1:17" ht="15" customHeight="1" x14ac:dyDescent="0.25">
      <c r="A579" s="5">
        <v>2</v>
      </c>
      <c r="B579" s="5">
        <v>578</v>
      </c>
      <c r="C579" s="50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7"/>
      <c r="Q579" s="25"/>
    </row>
    <row r="580" spans="1:17" ht="15" customHeight="1" x14ac:dyDescent="0.25">
      <c r="A580" s="5">
        <v>3</v>
      </c>
      <c r="B580" s="5">
        <v>579</v>
      </c>
      <c r="C580" s="50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7"/>
      <c r="Q580" s="25"/>
    </row>
    <row r="581" spans="1:17" ht="15" customHeight="1" x14ac:dyDescent="0.25">
      <c r="A581" s="5">
        <v>4</v>
      </c>
      <c r="B581" s="5">
        <v>580</v>
      </c>
      <c r="C581" s="50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7"/>
      <c r="Q581" s="25"/>
    </row>
    <row r="582" spans="1:17" ht="15" customHeight="1" x14ac:dyDescent="0.25">
      <c r="A582" s="5">
        <v>5</v>
      </c>
      <c r="B582" s="5">
        <v>581</v>
      </c>
      <c r="C582" s="50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7"/>
      <c r="Q582" s="25"/>
    </row>
    <row r="583" spans="1:17" ht="15" customHeight="1" x14ac:dyDescent="0.25">
      <c r="A583" s="5">
        <v>6</v>
      </c>
      <c r="B583" s="5">
        <v>582</v>
      </c>
      <c r="C583" s="50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7"/>
      <c r="Q583" s="25"/>
    </row>
    <row r="584" spans="1:17" ht="15" customHeight="1" x14ac:dyDescent="0.25">
      <c r="A584" s="5">
        <v>7</v>
      </c>
      <c r="B584" s="5">
        <v>583</v>
      </c>
      <c r="C584" s="50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7"/>
      <c r="Q584" s="25"/>
    </row>
    <row r="585" spans="1:17" ht="15" customHeight="1" x14ac:dyDescent="0.25">
      <c r="A585" s="5">
        <v>1</v>
      </c>
      <c r="B585" s="5">
        <v>584</v>
      </c>
      <c r="C585" s="50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7"/>
      <c r="Q585" s="25"/>
    </row>
    <row r="586" spans="1:17" ht="15" customHeight="1" x14ac:dyDescent="0.25">
      <c r="A586" s="5">
        <v>2</v>
      </c>
      <c r="B586" s="5">
        <v>585</v>
      </c>
      <c r="C586" s="50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7"/>
      <c r="Q586" s="25"/>
    </row>
    <row r="587" spans="1:17" ht="15" customHeight="1" x14ac:dyDescent="0.25">
      <c r="A587" s="5">
        <v>3</v>
      </c>
      <c r="B587" s="5">
        <v>586</v>
      </c>
      <c r="C587" s="50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7"/>
      <c r="Q587" s="25"/>
    </row>
    <row r="588" spans="1:17" ht="15" customHeight="1" x14ac:dyDescent="0.25">
      <c r="A588" s="5">
        <v>4</v>
      </c>
      <c r="B588" s="5">
        <v>587</v>
      </c>
      <c r="C588" s="50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2"/>
      <c r="K588" s="43"/>
      <c r="Q588" s="25"/>
    </row>
    <row r="589" spans="1:17" ht="15" customHeight="1" x14ac:dyDescent="0.25">
      <c r="A589" s="5">
        <v>5</v>
      </c>
      <c r="B589" s="5">
        <v>588</v>
      </c>
      <c r="C589" s="50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2"/>
      <c r="K589" s="43"/>
      <c r="Q589" s="25"/>
    </row>
    <row r="590" spans="1:17" ht="15" customHeight="1" x14ac:dyDescent="0.25">
      <c r="A590" s="5">
        <v>6</v>
      </c>
      <c r="B590" s="5">
        <v>589</v>
      </c>
      <c r="C590" s="50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2"/>
      <c r="K590" s="43"/>
      <c r="Q590" s="25"/>
    </row>
    <row r="591" spans="1:17" ht="15" customHeight="1" x14ac:dyDescent="0.25">
      <c r="A591" s="5">
        <v>7</v>
      </c>
      <c r="B591" s="5">
        <v>590</v>
      </c>
      <c r="C591" s="50">
        <v>45962</v>
      </c>
      <c r="D591" s="36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2"/>
      <c r="K591" s="43"/>
      <c r="Q591" s="25"/>
    </row>
    <row r="592" spans="1:17" ht="15" customHeight="1" x14ac:dyDescent="0.25">
      <c r="A592" s="5">
        <v>1</v>
      </c>
      <c r="B592" s="5">
        <v>591</v>
      </c>
      <c r="C592" s="50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2"/>
      <c r="K592" s="43"/>
      <c r="Q592" s="25"/>
    </row>
    <row r="593" spans="1:17" ht="15" customHeight="1" x14ac:dyDescent="0.25">
      <c r="A593" s="5">
        <v>2</v>
      </c>
      <c r="B593" s="5">
        <v>592</v>
      </c>
      <c r="C593" s="50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2"/>
      <c r="K593" s="43"/>
      <c r="Q593" s="25"/>
    </row>
    <row r="594" spans="1:17" ht="15" customHeight="1" x14ac:dyDescent="0.25">
      <c r="A594" s="5">
        <v>3</v>
      </c>
      <c r="B594" s="5">
        <v>593</v>
      </c>
      <c r="C594" s="50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2"/>
      <c r="K594" s="43"/>
      <c r="Q594" s="25"/>
    </row>
    <row r="595" spans="1:17" ht="15" customHeight="1" x14ac:dyDescent="0.25">
      <c r="A595" s="5">
        <v>4</v>
      </c>
      <c r="B595" s="5">
        <v>594</v>
      </c>
      <c r="C595" s="50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2"/>
      <c r="K595" s="43"/>
      <c r="Q595" s="25"/>
    </row>
    <row r="596" spans="1:17" ht="15" customHeight="1" x14ac:dyDescent="0.25">
      <c r="A596" s="5">
        <v>5</v>
      </c>
      <c r="B596" s="5">
        <v>595</v>
      </c>
      <c r="C596" s="50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2"/>
      <c r="K596" s="43"/>
      <c r="Q596" s="25"/>
    </row>
    <row r="597" spans="1:17" ht="15" customHeight="1" x14ac:dyDescent="0.25">
      <c r="A597" s="5">
        <v>6</v>
      </c>
      <c r="B597" s="5">
        <v>596</v>
      </c>
      <c r="C597" s="50">
        <v>45968</v>
      </c>
      <c r="D597" s="36">
        <v>145</v>
      </c>
      <c r="E597" s="8">
        <v>54</v>
      </c>
      <c r="F597" s="8">
        <v>0.224</v>
      </c>
      <c r="G597" s="8">
        <v>0</v>
      </c>
      <c r="H597" s="8">
        <v>11.4</v>
      </c>
      <c r="J597" s="42"/>
      <c r="K597" s="43"/>
      <c r="Q597" s="25"/>
    </row>
    <row r="598" spans="1:17" ht="15" customHeight="1" x14ac:dyDescent="0.25">
      <c r="A598" s="5">
        <v>7</v>
      </c>
      <c r="B598" s="5">
        <v>597</v>
      </c>
      <c r="C598" s="50">
        <v>45969</v>
      </c>
      <c r="D598" s="36">
        <v>142</v>
      </c>
      <c r="E598" s="8">
        <v>43.7</v>
      </c>
      <c r="F598" s="8">
        <v>0.378</v>
      </c>
      <c r="G598" s="8">
        <v>0</v>
      </c>
      <c r="H598" s="8">
        <v>11.2</v>
      </c>
      <c r="J598" s="42"/>
      <c r="K598" s="43"/>
      <c r="Q598" s="25"/>
    </row>
    <row r="599" spans="1:17" ht="15" customHeight="1" x14ac:dyDescent="0.25">
      <c r="A599" s="5">
        <v>1</v>
      </c>
      <c r="B599" s="5">
        <v>598</v>
      </c>
      <c r="C599" s="50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2"/>
      <c r="K599" s="43"/>
      <c r="Q599" s="25"/>
    </row>
    <row r="600" spans="1:17" ht="15" customHeight="1" x14ac:dyDescent="0.25">
      <c r="A600" s="5">
        <v>2</v>
      </c>
      <c r="B600" s="5">
        <v>599</v>
      </c>
      <c r="C600" s="50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2"/>
      <c r="K600" s="43"/>
      <c r="Q600" s="25"/>
    </row>
    <row r="601" spans="1:17" ht="15" customHeight="1" x14ac:dyDescent="0.25">
      <c r="A601" s="5">
        <v>3</v>
      </c>
      <c r="B601" s="5">
        <v>600</v>
      </c>
      <c r="C601" s="50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2"/>
      <c r="K601" s="43"/>
      <c r="Q601" s="25"/>
    </row>
    <row r="602" spans="1:17" ht="15" customHeight="1" x14ac:dyDescent="0.25">
      <c r="A602" s="5">
        <v>4</v>
      </c>
      <c r="B602" s="5">
        <v>601</v>
      </c>
      <c r="C602" s="50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2"/>
      <c r="K602" s="43"/>
      <c r="Q602" s="25"/>
    </row>
    <row r="603" spans="1:17" ht="15" customHeight="1" x14ac:dyDescent="0.25">
      <c r="A603" s="5">
        <v>5</v>
      </c>
      <c r="B603" s="5">
        <v>602</v>
      </c>
      <c r="C603" s="50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2"/>
      <c r="K603" s="43"/>
      <c r="Q603" s="25"/>
    </row>
    <row r="604" spans="1:17" ht="15" customHeight="1" x14ac:dyDescent="0.25">
      <c r="A604" s="5">
        <v>6</v>
      </c>
      <c r="B604" s="5">
        <v>603</v>
      </c>
      <c r="C604" s="50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0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0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0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0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0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0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0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0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0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0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0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0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20.100000000000001</v>
      </c>
    </row>
    <row r="617" spans="1:17" ht="15" customHeight="1" x14ac:dyDescent="0.25">
      <c r="A617" s="5">
        <v>5</v>
      </c>
      <c r="B617" s="5">
        <v>616</v>
      </c>
      <c r="C617" s="50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39" t="s">
        <v>25</v>
      </c>
    </row>
    <row r="618" spans="1:17" ht="15" customHeight="1" x14ac:dyDescent="0.25">
      <c r="A618" s="5">
        <v>6</v>
      </c>
      <c r="B618" s="5">
        <v>617</v>
      </c>
      <c r="C618" s="50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39" t="s">
        <v>26</v>
      </c>
    </row>
    <row r="619" spans="1:17" ht="15" customHeight="1" x14ac:dyDescent="0.25">
      <c r="A619" s="5">
        <v>7</v>
      </c>
      <c r="B619" s="5">
        <v>618</v>
      </c>
      <c r="C619" s="50">
        <v>45990</v>
      </c>
      <c r="D619" s="13">
        <v>52</v>
      </c>
      <c r="E619" s="8">
        <v>27.7</v>
      </c>
      <c r="F619" s="8">
        <v>0.66900000000000004</v>
      </c>
      <c r="G619" s="8">
        <v>9</v>
      </c>
      <c r="H619" s="8">
        <v>9.8000000000000007</v>
      </c>
    </row>
    <row r="620" spans="1:17" ht="15" customHeight="1" x14ac:dyDescent="0.25">
      <c r="A620" s="5">
        <v>1</v>
      </c>
      <c r="B620" s="5">
        <v>619</v>
      </c>
      <c r="C620" s="50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7"/>
    </row>
    <row r="621" spans="1:17" ht="15" customHeight="1" x14ac:dyDescent="0.25">
      <c r="A621" s="5">
        <v>2</v>
      </c>
      <c r="B621" s="5">
        <v>620</v>
      </c>
      <c r="C621" s="50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7"/>
    </row>
    <row r="622" spans="1:17" ht="15" customHeight="1" x14ac:dyDescent="0.25">
      <c r="A622" s="5">
        <v>3</v>
      </c>
      <c r="B622" s="5">
        <v>621</v>
      </c>
      <c r="C622" s="50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7"/>
    </row>
    <row r="623" spans="1:17" ht="15" customHeight="1" x14ac:dyDescent="0.25">
      <c r="A623" s="5">
        <v>4</v>
      </c>
      <c r="B623" s="5">
        <v>622</v>
      </c>
      <c r="C623" s="50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11.2</v>
      </c>
      <c r="Q623" s="37"/>
    </row>
    <row r="624" spans="1:17" ht="15" customHeight="1" x14ac:dyDescent="0.25">
      <c r="A624" s="5">
        <v>5</v>
      </c>
      <c r="B624" s="5">
        <v>623</v>
      </c>
      <c r="C624" s="50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7"/>
    </row>
    <row r="625" spans="1:18" ht="15" customHeight="1" x14ac:dyDescent="0.25">
      <c r="A625" s="5">
        <v>6</v>
      </c>
      <c r="B625" s="5">
        <v>624</v>
      </c>
      <c r="C625" s="50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7"/>
    </row>
    <row r="626" spans="1:18" ht="15" customHeight="1" x14ac:dyDescent="0.25">
      <c r="A626" s="5">
        <v>7</v>
      </c>
      <c r="B626" s="5">
        <v>625</v>
      </c>
      <c r="C626" s="50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7"/>
    </row>
    <row r="627" spans="1:18" ht="15" customHeight="1" x14ac:dyDescent="0.25">
      <c r="A627" s="5">
        <v>1</v>
      </c>
      <c r="B627" s="5">
        <v>626</v>
      </c>
      <c r="C627" s="50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10.9</v>
      </c>
      <c r="Q627" s="37"/>
    </row>
    <row r="628" spans="1:18" ht="15" customHeight="1" x14ac:dyDescent="0.25">
      <c r="A628" s="5">
        <v>2</v>
      </c>
      <c r="B628" s="5">
        <v>627</v>
      </c>
      <c r="C628" s="50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7"/>
    </row>
    <row r="629" spans="1:18" ht="15" customHeight="1" x14ac:dyDescent="0.25">
      <c r="A629" s="5">
        <v>3</v>
      </c>
      <c r="B629" s="5">
        <v>628</v>
      </c>
      <c r="C629" s="50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6"/>
      <c r="R629" s="37"/>
    </row>
    <row r="630" spans="1:18" ht="15" customHeight="1" x14ac:dyDescent="0.25">
      <c r="A630" s="5">
        <v>4</v>
      </c>
      <c r="B630" s="5">
        <v>629</v>
      </c>
      <c r="C630" s="50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</v>
      </c>
      <c r="Q630" s="36"/>
      <c r="R630" s="37"/>
    </row>
    <row r="631" spans="1:18" ht="15" customHeight="1" x14ac:dyDescent="0.25">
      <c r="A631" s="5">
        <v>5</v>
      </c>
      <c r="B631" s="5">
        <v>630</v>
      </c>
      <c r="C631" s="50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6"/>
      <c r="R631" s="37"/>
    </row>
    <row r="632" spans="1:18" ht="15" customHeight="1" x14ac:dyDescent="0.25">
      <c r="A632" s="5">
        <v>6</v>
      </c>
      <c r="B632" s="5">
        <v>631</v>
      </c>
      <c r="C632" s="50">
        <v>46003</v>
      </c>
      <c r="D632" s="13">
        <v>176</v>
      </c>
      <c r="E632" s="8">
        <v>25.5</v>
      </c>
      <c r="F632" s="8">
        <v>4.0000000000000001E-3</v>
      </c>
      <c r="G632" s="8">
        <v>0</v>
      </c>
      <c r="H632" s="8">
        <v>7.3</v>
      </c>
      <c r="Q632" s="36"/>
      <c r="R632" s="37"/>
    </row>
    <row r="633" spans="1:18" ht="15" customHeight="1" x14ac:dyDescent="0.25">
      <c r="A633" s="5">
        <v>7</v>
      </c>
      <c r="B633" s="5">
        <v>632</v>
      </c>
      <c r="C633" s="50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11.9</v>
      </c>
      <c r="Q633" s="36"/>
      <c r="R633" s="37"/>
    </row>
    <row r="634" spans="1:18" ht="15" customHeight="1" x14ac:dyDescent="0.25">
      <c r="A634" s="5">
        <v>1</v>
      </c>
      <c r="B634" s="5">
        <v>633</v>
      </c>
      <c r="C634" s="50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6"/>
      <c r="R634" s="37"/>
    </row>
    <row r="635" spans="1:18" ht="15" customHeight="1" x14ac:dyDescent="0.25">
      <c r="A635" s="5">
        <v>2</v>
      </c>
      <c r="B635" s="5">
        <v>634</v>
      </c>
      <c r="C635" s="50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6"/>
      <c r="R635" s="37"/>
    </row>
    <row r="636" spans="1:18" ht="15" customHeight="1" x14ac:dyDescent="0.25">
      <c r="A636" s="5">
        <v>3</v>
      </c>
      <c r="B636" s="5">
        <v>635</v>
      </c>
      <c r="C636" s="50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6"/>
      <c r="R636" s="37"/>
    </row>
    <row r="637" spans="1:18" ht="15" customHeight="1" x14ac:dyDescent="0.25">
      <c r="A637" s="5">
        <v>4</v>
      </c>
      <c r="B637" s="5">
        <v>636</v>
      </c>
      <c r="C637" s="50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6"/>
      <c r="R637" s="37"/>
    </row>
    <row r="638" spans="1:18" ht="15" customHeight="1" x14ac:dyDescent="0.25">
      <c r="A638" s="5">
        <v>5</v>
      </c>
      <c r="B638" s="5">
        <v>637</v>
      </c>
      <c r="C638" s="50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17.3</v>
      </c>
      <c r="Q638" s="36"/>
      <c r="R638" s="37"/>
    </row>
    <row r="639" spans="1:18" ht="15" customHeight="1" x14ac:dyDescent="0.25">
      <c r="A639" s="5">
        <v>6</v>
      </c>
      <c r="B639" s="5">
        <v>638</v>
      </c>
      <c r="C639" s="50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6"/>
      <c r="R639" s="37"/>
    </row>
    <row r="640" spans="1:18" ht="15" customHeight="1" x14ac:dyDescent="0.25">
      <c r="A640" s="5">
        <v>7</v>
      </c>
      <c r="B640" s="5">
        <v>639</v>
      </c>
      <c r="C640" s="50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6"/>
      <c r="R640" s="37"/>
    </row>
    <row r="641" spans="1:18" ht="15" customHeight="1" x14ac:dyDescent="0.25">
      <c r="A641" s="5">
        <v>1</v>
      </c>
      <c r="B641" s="5">
        <v>640</v>
      </c>
      <c r="C641" s="50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6"/>
      <c r="R641" s="37"/>
    </row>
    <row r="642" spans="1:18" ht="15" customHeight="1" x14ac:dyDescent="0.25">
      <c r="A642" s="5">
        <v>2</v>
      </c>
      <c r="B642" s="5">
        <v>641</v>
      </c>
      <c r="C642" s="50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6"/>
      <c r="R642" s="37"/>
    </row>
    <row r="643" spans="1:18" ht="15" customHeight="1" x14ac:dyDescent="0.25">
      <c r="A643" s="5">
        <v>3</v>
      </c>
      <c r="B643" s="5">
        <v>642</v>
      </c>
      <c r="C643" s="50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6"/>
      <c r="R643" s="37"/>
    </row>
    <row r="644" spans="1:18" ht="15" customHeight="1" x14ac:dyDescent="0.25">
      <c r="A644" s="5">
        <v>4</v>
      </c>
      <c r="B644" s="5">
        <v>643</v>
      </c>
      <c r="C644" s="50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6"/>
      <c r="R644" s="37"/>
    </row>
    <row r="645" spans="1:18" ht="15" customHeight="1" x14ac:dyDescent="0.25">
      <c r="A645" s="5">
        <v>5</v>
      </c>
      <c r="B645" s="5">
        <v>644</v>
      </c>
      <c r="C645" s="50">
        <v>46016</v>
      </c>
      <c r="D645" s="13">
        <v>0</v>
      </c>
      <c r="E645" s="8">
        <v>40.6</v>
      </c>
      <c r="F645" s="8">
        <v>0</v>
      </c>
      <c r="G645" s="8">
        <v>0</v>
      </c>
      <c r="H645" s="8">
        <v>12</v>
      </c>
      <c r="I645" t="s">
        <v>28</v>
      </c>
      <c r="Q645" s="36"/>
      <c r="R645" s="37"/>
    </row>
    <row r="646" spans="1:18" ht="15" customHeight="1" x14ac:dyDescent="0.25">
      <c r="A646" s="5">
        <v>6</v>
      </c>
      <c r="B646" s="5">
        <v>645</v>
      </c>
      <c r="C646" s="50">
        <v>46017</v>
      </c>
      <c r="D646" s="13">
        <v>138</v>
      </c>
      <c r="E646" s="8">
        <v>42.3</v>
      </c>
      <c r="F646" s="8">
        <v>0.20100000000000001</v>
      </c>
      <c r="G646" s="8">
        <v>0</v>
      </c>
      <c r="H646" s="8">
        <v>8.1999999999999993</v>
      </c>
      <c r="I646" s="39" t="s">
        <v>29</v>
      </c>
      <c r="Q646" s="36"/>
      <c r="R646" s="37"/>
    </row>
    <row r="647" spans="1:18" ht="15" customHeight="1" x14ac:dyDescent="0.25">
      <c r="A647" s="5">
        <v>7</v>
      </c>
      <c r="B647" s="5">
        <v>646</v>
      </c>
      <c r="C647" s="50">
        <v>46018</v>
      </c>
      <c r="D647" s="13">
        <v>152</v>
      </c>
      <c r="E647" s="8">
        <v>40.1</v>
      </c>
      <c r="F647" s="8">
        <v>0</v>
      </c>
      <c r="G647" s="8">
        <v>0</v>
      </c>
      <c r="H647" s="8">
        <v>8.5</v>
      </c>
      <c r="Q647" s="36"/>
      <c r="R647" s="37"/>
    </row>
    <row r="648" spans="1:18" ht="15" customHeight="1" x14ac:dyDescent="0.25">
      <c r="A648" s="5">
        <v>1</v>
      </c>
      <c r="B648" s="5">
        <v>647</v>
      </c>
      <c r="C648" s="50">
        <v>46019</v>
      </c>
      <c r="D648" s="13">
        <v>78</v>
      </c>
      <c r="E648" s="8">
        <v>47.7</v>
      </c>
      <c r="F648" s="8">
        <v>0.96899999999999997</v>
      </c>
      <c r="G648" s="8">
        <v>0</v>
      </c>
      <c r="H648" s="8">
        <v>10.1</v>
      </c>
      <c r="Q648" s="36"/>
      <c r="R648" s="37"/>
    </row>
    <row r="649" spans="1:18" ht="15" customHeight="1" x14ac:dyDescent="0.25">
      <c r="A649" s="5">
        <v>2</v>
      </c>
      <c r="B649" s="5">
        <v>648</v>
      </c>
      <c r="C649" s="50">
        <v>46020</v>
      </c>
      <c r="D649" s="13">
        <v>49</v>
      </c>
      <c r="E649" s="8">
        <v>22.6</v>
      </c>
      <c r="F649" s="8">
        <v>3.9E-2</v>
      </c>
      <c r="G649" s="8">
        <v>0.98399999999999999</v>
      </c>
      <c r="H649" s="8">
        <v>19</v>
      </c>
      <c r="Q649" s="36"/>
      <c r="R649" s="37"/>
    </row>
    <row r="650" spans="1:18" ht="15" customHeight="1" x14ac:dyDescent="0.25">
      <c r="A650" s="5">
        <v>3</v>
      </c>
      <c r="B650" s="5">
        <v>649</v>
      </c>
      <c r="C650" s="50">
        <v>46021</v>
      </c>
      <c r="D650" s="13">
        <v>70</v>
      </c>
      <c r="E650" s="8">
        <v>16</v>
      </c>
      <c r="F650" s="8">
        <v>7.9000000000000001E-2</v>
      </c>
      <c r="G650" s="8">
        <v>0.98399999999999999</v>
      </c>
      <c r="H650" s="8">
        <v>9.8000000000000007</v>
      </c>
      <c r="Q650" s="36"/>
      <c r="R650" s="37"/>
    </row>
    <row r="651" spans="1:18" ht="15" customHeight="1" x14ac:dyDescent="0.25">
      <c r="A651" s="5">
        <v>4</v>
      </c>
      <c r="B651" s="5">
        <v>650</v>
      </c>
      <c r="C651" s="50">
        <v>46022</v>
      </c>
      <c r="D651" s="13">
        <v>199</v>
      </c>
      <c r="E651" s="8">
        <v>29.3</v>
      </c>
      <c r="F651" s="8">
        <v>3.9E-2</v>
      </c>
      <c r="G651" s="8">
        <v>2.008</v>
      </c>
      <c r="H651" s="8">
        <v>12.3</v>
      </c>
      <c r="I651" s="39" t="s">
        <v>30</v>
      </c>
      <c r="Q651" s="36"/>
      <c r="R651" s="37"/>
    </row>
    <row r="652" spans="1:18" ht="15" customHeight="1" x14ac:dyDescent="0.25">
      <c r="A652" s="5">
        <v>5</v>
      </c>
      <c r="B652" s="5">
        <v>651</v>
      </c>
      <c r="C652" s="50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39" t="s">
        <v>31</v>
      </c>
    </row>
    <row r="653" spans="1:18" ht="15" customHeight="1" x14ac:dyDescent="0.25">
      <c r="A653" s="5">
        <v>6</v>
      </c>
      <c r="B653" s="5">
        <v>652</v>
      </c>
      <c r="C653" s="50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0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0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0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9" ht="15" customHeight="1" x14ac:dyDescent="0.25">
      <c r="A657" s="5">
        <v>3</v>
      </c>
      <c r="B657" s="5">
        <v>656</v>
      </c>
      <c r="C657" s="50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9" ht="15" customHeight="1" x14ac:dyDescent="0.25">
      <c r="A658" s="5">
        <v>4</v>
      </c>
      <c r="B658" s="5">
        <v>657</v>
      </c>
      <c r="C658" s="50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8.6</v>
      </c>
    </row>
    <row r="659" spans="1:9" ht="15" customHeight="1" x14ac:dyDescent="0.25">
      <c r="A659" s="5">
        <v>5</v>
      </c>
      <c r="B659" s="5">
        <v>658</v>
      </c>
      <c r="C659" s="50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9" ht="15" customHeight="1" x14ac:dyDescent="0.25">
      <c r="A660" s="5">
        <v>6</v>
      </c>
      <c r="B660" s="5">
        <v>659</v>
      </c>
      <c r="C660" s="50">
        <v>46031</v>
      </c>
      <c r="D660" s="13">
        <v>113</v>
      </c>
      <c r="E660" s="8">
        <v>45.7</v>
      </c>
      <c r="F660" s="8">
        <v>2.4E-2</v>
      </c>
      <c r="G660" s="8">
        <v>0</v>
      </c>
      <c r="H660" s="8">
        <v>13.6</v>
      </c>
    </row>
    <row r="661" spans="1:9" ht="15" customHeight="1" x14ac:dyDescent="0.25">
      <c r="A661" s="5">
        <v>7</v>
      </c>
      <c r="B661" s="5">
        <v>660</v>
      </c>
      <c r="C661" s="50">
        <v>46032</v>
      </c>
      <c r="D661" s="13">
        <v>66</v>
      </c>
      <c r="E661" s="8">
        <v>37.9</v>
      </c>
      <c r="F661" s="8">
        <v>0.18099999999999999</v>
      </c>
      <c r="G661" s="8">
        <v>0</v>
      </c>
      <c r="H661" s="8">
        <v>11.2</v>
      </c>
    </row>
    <row r="662" spans="1:9" ht="15" customHeight="1" x14ac:dyDescent="0.25">
      <c r="A662" s="5">
        <v>1</v>
      </c>
      <c r="B662" s="5">
        <v>661</v>
      </c>
      <c r="C662" s="50">
        <v>46033</v>
      </c>
      <c r="D662" s="13">
        <v>50</v>
      </c>
      <c r="E662" s="8">
        <v>27.9</v>
      </c>
      <c r="F662" s="8">
        <v>0</v>
      </c>
      <c r="G662" s="8">
        <v>0</v>
      </c>
      <c r="H662" s="8">
        <v>13.2</v>
      </c>
    </row>
    <row r="663" spans="1:9" ht="15" customHeight="1" x14ac:dyDescent="0.25">
      <c r="A663" s="5">
        <v>2</v>
      </c>
      <c r="B663" s="5">
        <v>662</v>
      </c>
      <c r="C663" s="50">
        <v>46034</v>
      </c>
      <c r="D663" s="13">
        <v>20</v>
      </c>
      <c r="E663" s="8">
        <v>31.5</v>
      </c>
      <c r="F663" s="8">
        <v>0</v>
      </c>
      <c r="G663" s="8">
        <v>0</v>
      </c>
      <c r="H663" s="8">
        <v>11.4</v>
      </c>
    </row>
    <row r="664" spans="1:9" ht="15" customHeight="1" x14ac:dyDescent="0.25">
      <c r="A664" s="5">
        <v>3</v>
      </c>
      <c r="B664" s="5">
        <v>663</v>
      </c>
      <c r="C664" s="50">
        <v>46035</v>
      </c>
      <c r="D664" s="13">
        <v>20</v>
      </c>
      <c r="E664" s="8">
        <v>40.1</v>
      </c>
      <c r="F664" s="8">
        <v>0</v>
      </c>
      <c r="G664" s="8">
        <v>0</v>
      </c>
      <c r="H664" s="8">
        <v>13.9</v>
      </c>
    </row>
    <row r="665" spans="1:9" ht="15" customHeight="1" x14ac:dyDescent="0.25">
      <c r="A665" s="5">
        <v>4</v>
      </c>
      <c r="B665" s="5">
        <v>664</v>
      </c>
      <c r="C665" s="50">
        <v>46036</v>
      </c>
      <c r="D665" s="13">
        <v>35</v>
      </c>
      <c r="E665" s="8">
        <v>32</v>
      </c>
      <c r="F665" s="8">
        <v>5.8999999999999997E-2</v>
      </c>
      <c r="G665" s="8">
        <v>0</v>
      </c>
      <c r="H665" s="8">
        <v>17</v>
      </c>
    </row>
    <row r="666" spans="1:9" ht="15" customHeight="1" x14ac:dyDescent="0.25">
      <c r="A666" s="5">
        <v>5</v>
      </c>
      <c r="B666" s="5">
        <v>665</v>
      </c>
      <c r="C666" s="50">
        <v>46037</v>
      </c>
      <c r="D666" s="13">
        <v>11</v>
      </c>
      <c r="E666" s="8">
        <v>18.100000000000001</v>
      </c>
      <c r="F666" s="8">
        <v>0</v>
      </c>
      <c r="G666" s="8">
        <v>0.98399999999999999</v>
      </c>
      <c r="H666" s="8">
        <v>11.9</v>
      </c>
    </row>
    <row r="667" spans="1:9" ht="15" customHeight="1" x14ac:dyDescent="0.25">
      <c r="A667" s="5">
        <v>6</v>
      </c>
      <c r="B667" s="5">
        <v>666</v>
      </c>
      <c r="C667" s="50">
        <v>46038</v>
      </c>
      <c r="D667" s="13">
        <v>81</v>
      </c>
      <c r="E667" s="8">
        <v>28</v>
      </c>
      <c r="F667" s="8">
        <v>7.0999999999999994E-2</v>
      </c>
      <c r="G667" s="8">
        <v>0.98399999999999999</v>
      </c>
      <c r="H667" s="8">
        <v>13.9</v>
      </c>
    </row>
    <row r="668" spans="1:9" ht="15" customHeight="1" x14ac:dyDescent="0.25">
      <c r="A668" s="5">
        <v>7</v>
      </c>
      <c r="B668" s="5">
        <v>667</v>
      </c>
      <c r="C668" s="50">
        <v>46039</v>
      </c>
      <c r="D668" s="13">
        <v>174</v>
      </c>
      <c r="E668" s="8">
        <v>18.7</v>
      </c>
      <c r="F668" s="8">
        <v>0</v>
      </c>
      <c r="G668" s="8">
        <v>0</v>
      </c>
      <c r="H668" s="8">
        <v>15</v>
      </c>
    </row>
    <row r="669" spans="1:9" ht="15" customHeight="1" x14ac:dyDescent="0.25">
      <c r="A669" s="5">
        <v>1</v>
      </c>
      <c r="B669" s="5">
        <v>668</v>
      </c>
      <c r="C669" s="50">
        <v>46040</v>
      </c>
      <c r="D669" s="13">
        <v>18</v>
      </c>
      <c r="E669" s="8">
        <v>12.6</v>
      </c>
      <c r="F669" s="8">
        <v>1.2E-2</v>
      </c>
      <c r="G669" s="8">
        <v>0</v>
      </c>
      <c r="H669" s="8">
        <v>11.6</v>
      </c>
    </row>
    <row r="670" spans="1:9" ht="15" customHeight="1" x14ac:dyDescent="0.25">
      <c r="A670" s="5">
        <v>2</v>
      </c>
      <c r="B670" s="5">
        <v>669</v>
      </c>
      <c r="C670" s="50">
        <v>46041</v>
      </c>
      <c r="D670" s="13">
        <v>16</v>
      </c>
      <c r="E670" s="8">
        <v>8.1999999999999993</v>
      </c>
      <c r="F670" s="8">
        <v>0</v>
      </c>
      <c r="G670" s="8">
        <v>0.98399999999999999</v>
      </c>
      <c r="H670" s="8">
        <v>14.3</v>
      </c>
      <c r="I670" t="s">
        <v>32</v>
      </c>
    </row>
    <row r="671" spans="1:9" ht="15" customHeight="1" x14ac:dyDescent="0.25">
      <c r="A671" s="5">
        <v>3</v>
      </c>
      <c r="B671" s="5">
        <v>670</v>
      </c>
      <c r="C671" s="50">
        <v>46042</v>
      </c>
      <c r="D671" s="13">
        <v>23</v>
      </c>
      <c r="E671" s="8">
        <v>7.7</v>
      </c>
      <c r="F671" s="8">
        <v>1.2E-2</v>
      </c>
      <c r="G671" s="8">
        <v>0.98399999999999999</v>
      </c>
      <c r="H671" s="8">
        <v>8.3000000000000007</v>
      </c>
    </row>
    <row r="672" spans="1:9" ht="15" customHeight="1" x14ac:dyDescent="0.25">
      <c r="A672" s="5">
        <v>4</v>
      </c>
      <c r="B672" s="5">
        <v>671</v>
      </c>
      <c r="C672" s="50">
        <v>46043</v>
      </c>
      <c r="D672" s="13">
        <v>103</v>
      </c>
      <c r="E672" s="8">
        <v>25.7</v>
      </c>
      <c r="F672" s="8">
        <v>3.9E-2</v>
      </c>
      <c r="G672" s="8">
        <v>0.98399999999999999</v>
      </c>
      <c r="H672" s="8">
        <v>10.9</v>
      </c>
    </row>
    <row r="673" spans="1:8" ht="15" customHeight="1" x14ac:dyDescent="0.25">
      <c r="A673" s="5">
        <v>5</v>
      </c>
      <c r="B673" s="5">
        <v>672</v>
      </c>
      <c r="C673" s="50">
        <v>46044</v>
      </c>
      <c r="D673" s="13">
        <v>43</v>
      </c>
      <c r="E673" s="8">
        <v>20.8</v>
      </c>
      <c r="F673" s="8">
        <v>0</v>
      </c>
      <c r="G673" s="8">
        <v>0.98399999999999999</v>
      </c>
      <c r="H673" s="8">
        <v>15.7</v>
      </c>
    </row>
    <row r="674" spans="1:8" ht="15" customHeight="1" x14ac:dyDescent="0.25">
      <c r="A674" s="5">
        <v>6</v>
      </c>
      <c r="B674" s="5">
        <v>673</v>
      </c>
      <c r="C674" s="50">
        <v>46045</v>
      </c>
      <c r="D674" s="13">
        <v>38</v>
      </c>
      <c r="E674" s="8">
        <v>-1.3</v>
      </c>
      <c r="F674" s="8">
        <v>0</v>
      </c>
      <c r="G674" s="8">
        <v>0.98399999999999999</v>
      </c>
      <c r="H674" s="8">
        <v>13.2</v>
      </c>
    </row>
    <row r="675" spans="1:8" ht="15" customHeight="1" x14ac:dyDescent="0.25">
      <c r="A675" s="5">
        <v>7</v>
      </c>
      <c r="B675" s="5">
        <v>674</v>
      </c>
      <c r="C675" s="50">
        <v>46046</v>
      </c>
      <c r="D675" s="13">
        <v>156</v>
      </c>
      <c r="E675" s="8">
        <v>-4.4000000000000004</v>
      </c>
      <c r="F675" s="8">
        <v>3.9E-2</v>
      </c>
      <c r="G675" s="8">
        <v>0.98399999999999999</v>
      </c>
      <c r="H675" s="8">
        <v>5.8</v>
      </c>
    </row>
    <row r="676" spans="1:8" ht="15" customHeight="1" x14ac:dyDescent="0.25">
      <c r="A676" s="5">
        <v>1</v>
      </c>
      <c r="B676" s="5">
        <v>675</v>
      </c>
      <c r="C676" s="50">
        <v>46047</v>
      </c>
      <c r="D676" s="13">
        <v>40</v>
      </c>
      <c r="E676" s="8">
        <v>8.1999999999999993</v>
      </c>
      <c r="F676" s="8">
        <v>9.8000000000000004E-2</v>
      </c>
      <c r="G676" s="8">
        <v>0.98399999999999999</v>
      </c>
      <c r="H676" s="8">
        <v>12.3</v>
      </c>
    </row>
    <row r="677" spans="1:8" ht="15" customHeight="1" x14ac:dyDescent="0.25">
      <c r="A677" s="5">
        <v>2</v>
      </c>
      <c r="B677" s="5">
        <v>676</v>
      </c>
      <c r="C677" s="50">
        <v>46048</v>
      </c>
      <c r="D677" s="13">
        <v>22</v>
      </c>
      <c r="E677" s="8">
        <v>4.5</v>
      </c>
      <c r="F677" s="8">
        <v>0</v>
      </c>
      <c r="G677" s="8">
        <v>5</v>
      </c>
      <c r="H677" s="8">
        <v>12.9</v>
      </c>
    </row>
    <row r="678" spans="1:8" ht="15" customHeight="1" x14ac:dyDescent="0.25">
      <c r="A678" s="5">
        <v>3</v>
      </c>
      <c r="B678" s="5">
        <v>677</v>
      </c>
      <c r="C678" s="50">
        <v>46049</v>
      </c>
      <c r="D678" s="13">
        <v>41</v>
      </c>
      <c r="E678" s="8">
        <v>11.1</v>
      </c>
      <c r="F678" s="8">
        <v>0</v>
      </c>
      <c r="G678" s="8">
        <v>2.992</v>
      </c>
      <c r="H678" s="8">
        <v>13.2</v>
      </c>
    </row>
    <row r="679" spans="1:8" ht="15" customHeight="1" x14ac:dyDescent="0.25">
      <c r="A679" s="5">
        <v>4</v>
      </c>
      <c r="B679" s="5">
        <v>678</v>
      </c>
      <c r="C679" s="50">
        <v>46050</v>
      </c>
      <c r="D679" s="13">
        <v>32</v>
      </c>
      <c r="E679" s="8">
        <v>8.1999999999999993</v>
      </c>
      <c r="F679" s="8">
        <v>0</v>
      </c>
      <c r="G679" s="8">
        <v>2.008</v>
      </c>
      <c r="H679" s="8">
        <v>9.1</v>
      </c>
    </row>
    <row r="680" spans="1:8" ht="15" customHeight="1" x14ac:dyDescent="0.25">
      <c r="A680" s="5">
        <v>5</v>
      </c>
      <c r="B680" s="5">
        <v>679</v>
      </c>
      <c r="C680" s="50">
        <v>46051</v>
      </c>
      <c r="D680" s="13">
        <v>85</v>
      </c>
      <c r="E680" s="8">
        <v>8.1999999999999993</v>
      </c>
      <c r="F680" s="8">
        <v>0</v>
      </c>
      <c r="G680" s="8">
        <v>2.008</v>
      </c>
      <c r="H680" s="8">
        <v>5.8</v>
      </c>
    </row>
    <row r="681" spans="1:8" ht="15" customHeight="1" x14ac:dyDescent="0.25">
      <c r="A681" s="5">
        <v>6</v>
      </c>
      <c r="B681" s="5">
        <v>680</v>
      </c>
      <c r="C681" s="50">
        <v>46052</v>
      </c>
      <c r="D681" s="13">
        <v>111</v>
      </c>
      <c r="E681" s="8">
        <v>12.6</v>
      </c>
      <c r="F681" s="8">
        <v>5.0999999999999997E-2</v>
      </c>
      <c r="G681" s="8">
        <v>2.008</v>
      </c>
      <c r="H681" s="8">
        <v>10.4</v>
      </c>
    </row>
    <row r="682" spans="1:8" ht="15" customHeight="1" x14ac:dyDescent="0.25">
      <c r="A682" s="5">
        <v>7</v>
      </c>
      <c r="B682" s="5">
        <v>681</v>
      </c>
      <c r="C682" s="50">
        <v>46053</v>
      </c>
      <c r="D682" s="13">
        <v>163</v>
      </c>
      <c r="E682" s="8">
        <v>18.100000000000001</v>
      </c>
      <c r="F682" s="8">
        <v>4.0000000000000001E-3</v>
      </c>
      <c r="G682" s="8">
        <v>2.992</v>
      </c>
      <c r="H682" s="8">
        <v>13.2</v>
      </c>
    </row>
    <row r="683" spans="1:8" ht="15" customHeight="1" x14ac:dyDescent="0.25">
      <c r="A683" s="5">
        <v>1</v>
      </c>
      <c r="B683" s="5">
        <v>682</v>
      </c>
      <c r="C683" s="50">
        <v>46054</v>
      </c>
      <c r="D683" s="13">
        <v>62</v>
      </c>
      <c r="E683" s="8">
        <v>19.600000000000001</v>
      </c>
      <c r="F683" s="8">
        <v>0</v>
      </c>
      <c r="G683" s="8">
        <v>0</v>
      </c>
      <c r="H683" s="8">
        <v>7.9</v>
      </c>
    </row>
    <row r="684" spans="1:8" ht="15" customHeight="1" x14ac:dyDescent="0.25">
      <c r="A684" s="5">
        <v>2</v>
      </c>
      <c r="B684" s="5">
        <v>683</v>
      </c>
      <c r="C684" s="50">
        <v>46055</v>
      </c>
      <c r="D684" s="13">
        <v>51</v>
      </c>
      <c r="E684" s="8">
        <v>23.7</v>
      </c>
      <c r="F684" s="8">
        <v>8.0000000000000002E-3</v>
      </c>
      <c r="G684" s="8">
        <v>2.008</v>
      </c>
      <c r="H684" s="8">
        <v>7</v>
      </c>
    </row>
    <row r="685" spans="1:8" ht="15" customHeight="1" x14ac:dyDescent="0.25">
      <c r="A685" s="5">
        <v>3</v>
      </c>
      <c r="B685" s="5">
        <v>684</v>
      </c>
      <c r="C685" s="50">
        <v>46056</v>
      </c>
      <c r="D685" s="13">
        <v>42</v>
      </c>
      <c r="E685" s="8">
        <v>21.6</v>
      </c>
      <c r="F685" s="8">
        <v>0</v>
      </c>
      <c r="G685" s="8">
        <v>2.008</v>
      </c>
      <c r="H685" s="8">
        <v>7.3</v>
      </c>
    </row>
    <row r="686" spans="1:8" ht="15" customHeight="1" x14ac:dyDescent="0.25">
      <c r="A686" s="5">
        <v>4</v>
      </c>
      <c r="B686" s="5">
        <v>685</v>
      </c>
      <c r="C686" s="50">
        <v>46057</v>
      </c>
      <c r="D686" s="13">
        <v>38</v>
      </c>
      <c r="E686" s="8">
        <v>21.6</v>
      </c>
      <c r="F686" s="8">
        <v>0</v>
      </c>
      <c r="G686" s="8">
        <v>0</v>
      </c>
      <c r="H686" s="8">
        <v>4.2</v>
      </c>
    </row>
    <row r="687" spans="1:8" ht="15" customHeight="1" x14ac:dyDescent="0.25">
      <c r="A687" s="5">
        <v>5</v>
      </c>
      <c r="B687" s="5">
        <v>686</v>
      </c>
      <c r="C687" s="50">
        <v>46058</v>
      </c>
      <c r="D687" s="13">
        <v>29</v>
      </c>
      <c r="E687" s="8">
        <v>24.4</v>
      </c>
      <c r="F687" s="8">
        <v>5.8999999999999997E-2</v>
      </c>
      <c r="G687" s="8">
        <v>0</v>
      </c>
      <c r="H687" s="8">
        <v>9.4</v>
      </c>
    </row>
    <row r="688" spans="1:8" ht="15" customHeight="1" x14ac:dyDescent="0.25">
      <c r="A688" s="5">
        <v>6</v>
      </c>
      <c r="B688" s="5">
        <v>687</v>
      </c>
      <c r="C688" s="50">
        <v>46059</v>
      </c>
      <c r="D688" s="13">
        <v>140</v>
      </c>
      <c r="E688" s="8">
        <v>31.1</v>
      </c>
      <c r="F688" s="8">
        <v>6.7000000000000004E-2</v>
      </c>
      <c r="G688" s="8">
        <v>0</v>
      </c>
      <c r="H688" s="8">
        <v>13.2</v>
      </c>
    </row>
    <row r="689" spans="1:9" ht="15" customHeight="1" x14ac:dyDescent="0.25">
      <c r="A689" s="5">
        <v>7</v>
      </c>
      <c r="B689" s="5">
        <v>688</v>
      </c>
      <c r="C689" s="50">
        <v>46060</v>
      </c>
      <c r="D689" s="13">
        <v>186</v>
      </c>
      <c r="E689" s="8">
        <v>18.899999999999999</v>
      </c>
      <c r="F689" s="8">
        <v>1.2E-2</v>
      </c>
      <c r="G689" s="8">
        <v>0</v>
      </c>
      <c r="H689" s="8">
        <v>7.4</v>
      </c>
    </row>
    <row r="690" spans="1:9" ht="15" customHeight="1" x14ac:dyDescent="0.25">
      <c r="A690" s="5">
        <v>1</v>
      </c>
      <c r="B690" s="5">
        <v>689</v>
      </c>
      <c r="C690" s="50">
        <v>46061</v>
      </c>
      <c r="D690" s="13">
        <v>0</v>
      </c>
      <c r="E690" s="8">
        <v>25.3</v>
      </c>
      <c r="F690" s="8">
        <v>1.6E-2</v>
      </c>
      <c r="G690" s="8">
        <v>0</v>
      </c>
      <c r="H690" s="8">
        <v>10.199999999999999</v>
      </c>
      <c r="I690" t="s">
        <v>33</v>
      </c>
    </row>
    <row r="691" spans="1:9" ht="15" customHeight="1" x14ac:dyDescent="0.25">
      <c r="A691" s="5">
        <v>2</v>
      </c>
      <c r="B691" s="5">
        <v>690</v>
      </c>
      <c r="C691" s="50">
        <v>46062</v>
      </c>
      <c r="D691" s="13">
        <v>30</v>
      </c>
      <c r="E691" s="8">
        <v>31.3</v>
      </c>
      <c r="F691" s="8">
        <v>0</v>
      </c>
      <c r="G691" s="8">
        <v>0</v>
      </c>
      <c r="H691" s="8">
        <v>7.5</v>
      </c>
    </row>
    <row r="692" spans="1:9" ht="15" customHeight="1" x14ac:dyDescent="0.25">
      <c r="A692" s="5">
        <v>3</v>
      </c>
      <c r="B692" s="5">
        <v>691</v>
      </c>
      <c r="C692" s="50">
        <v>46063</v>
      </c>
      <c r="D692" s="13">
        <v>26</v>
      </c>
      <c r="E692" s="8">
        <v>37.799999999999997</v>
      </c>
      <c r="F692" s="8">
        <v>0</v>
      </c>
      <c r="G692" s="8">
        <v>0</v>
      </c>
      <c r="H692" s="8">
        <v>11.1</v>
      </c>
    </row>
    <row r="693" spans="1:9" ht="15" customHeight="1" x14ac:dyDescent="0.25">
      <c r="A693" s="5">
        <v>4</v>
      </c>
      <c r="B693" s="5">
        <v>692</v>
      </c>
      <c r="C693" s="50">
        <v>46064</v>
      </c>
      <c r="D693" s="13">
        <v>59</v>
      </c>
      <c r="E693" s="8">
        <v>31.1</v>
      </c>
      <c r="F693" s="8">
        <v>0</v>
      </c>
      <c r="G693" s="8">
        <v>0</v>
      </c>
      <c r="H693" s="8">
        <v>9.5</v>
      </c>
    </row>
    <row r="694" spans="1:9" ht="15" customHeight="1" x14ac:dyDescent="0.25">
      <c r="A694" s="5">
        <v>5</v>
      </c>
      <c r="B694" s="5">
        <v>693</v>
      </c>
      <c r="C694" s="50">
        <v>46065</v>
      </c>
      <c r="D694" s="13">
        <v>37</v>
      </c>
      <c r="E694" s="8">
        <v>31.3</v>
      </c>
      <c r="F694" s="8">
        <v>0</v>
      </c>
      <c r="G694" s="8">
        <v>0</v>
      </c>
      <c r="H694" s="8">
        <v>4.7</v>
      </c>
    </row>
    <row r="695" spans="1:9" ht="15" customHeight="1" x14ac:dyDescent="0.25">
      <c r="A695" s="5">
        <v>6</v>
      </c>
      <c r="B695" s="5">
        <v>694</v>
      </c>
      <c r="C695" s="50">
        <v>46066</v>
      </c>
      <c r="D695" s="13">
        <v>199</v>
      </c>
      <c r="E695" s="8">
        <v>36.1</v>
      </c>
      <c r="F695" s="8">
        <v>0</v>
      </c>
      <c r="G695" s="8">
        <v>0</v>
      </c>
      <c r="H695" s="8">
        <v>7.6</v>
      </c>
    </row>
    <row r="696" spans="1:9" ht="15" customHeight="1" x14ac:dyDescent="0.25">
      <c r="A696" s="5">
        <v>7</v>
      </c>
      <c r="B696" s="5">
        <v>695</v>
      </c>
      <c r="C696" s="50">
        <v>46067</v>
      </c>
      <c r="D696" s="13">
        <v>283</v>
      </c>
      <c r="E696" s="8">
        <v>41.2</v>
      </c>
      <c r="F696" s="8">
        <v>0</v>
      </c>
      <c r="G696" s="8">
        <v>0</v>
      </c>
      <c r="H696" s="8">
        <v>3.4</v>
      </c>
      <c r="I696" s="39" t="s">
        <v>34</v>
      </c>
    </row>
    <row r="697" spans="1:9" ht="15" customHeight="1" x14ac:dyDescent="0.25">
      <c r="A697" s="5">
        <v>1</v>
      </c>
      <c r="B697" s="5">
        <v>696</v>
      </c>
      <c r="C697" s="50">
        <v>46068</v>
      </c>
      <c r="D697" s="13">
        <v>91</v>
      </c>
      <c r="E697" s="8">
        <v>42.8</v>
      </c>
      <c r="F697" s="8">
        <v>0</v>
      </c>
      <c r="G697" s="8">
        <v>0</v>
      </c>
      <c r="H697" s="8">
        <v>5.6</v>
      </c>
    </row>
    <row r="698" spans="1:9" ht="15" customHeight="1" x14ac:dyDescent="0.25">
      <c r="A698" s="5">
        <v>2</v>
      </c>
      <c r="B698" s="5">
        <v>697</v>
      </c>
      <c r="C698" s="50">
        <v>46069</v>
      </c>
      <c r="D698" s="13">
        <v>35</v>
      </c>
      <c r="E698" s="8">
        <v>47.7</v>
      </c>
      <c r="F698" s="8">
        <v>0</v>
      </c>
      <c r="G698" s="8">
        <v>0</v>
      </c>
      <c r="H698" s="8">
        <v>11.4</v>
      </c>
      <c r="I698" s="39" t="s">
        <v>35</v>
      </c>
    </row>
    <row r="699" spans="1:9" ht="15" customHeight="1" x14ac:dyDescent="0.25">
      <c r="A699" s="5">
        <v>3</v>
      </c>
      <c r="B699" s="5">
        <v>698</v>
      </c>
      <c r="C699" s="50">
        <v>46070</v>
      </c>
      <c r="D699" s="13">
        <v>79</v>
      </c>
      <c r="E699" s="8">
        <v>50.2</v>
      </c>
      <c r="F699" s="8">
        <v>3.9E-2</v>
      </c>
      <c r="G699" s="8">
        <v>0</v>
      </c>
      <c r="H699" s="8">
        <v>8.5</v>
      </c>
    </row>
    <row r="700" spans="1:9" ht="15" customHeight="1" x14ac:dyDescent="0.25">
      <c r="A700" s="5">
        <v>4</v>
      </c>
      <c r="B700" s="5">
        <v>699</v>
      </c>
      <c r="C700" s="50">
        <v>46071</v>
      </c>
      <c r="D700" s="13">
        <v>29</v>
      </c>
      <c r="E700" s="8">
        <v>55.2</v>
      </c>
      <c r="F700" s="8">
        <v>1.2E-2</v>
      </c>
      <c r="G700" s="8">
        <v>0</v>
      </c>
      <c r="H700" s="8">
        <v>14.5</v>
      </c>
      <c r="I700" s="39" t="s">
        <v>37</v>
      </c>
    </row>
    <row r="701" spans="1:9" ht="15" customHeight="1" x14ac:dyDescent="0.25">
      <c r="A701" s="5">
        <v>5</v>
      </c>
      <c r="B701" s="5">
        <v>700</v>
      </c>
      <c r="C701" s="50">
        <v>46072</v>
      </c>
      <c r="D701" s="13">
        <v>38</v>
      </c>
      <c r="E701" s="8">
        <v>47.5</v>
      </c>
      <c r="F701" s="8">
        <v>5.8999999999999997E-2</v>
      </c>
      <c r="G701" s="8">
        <v>0</v>
      </c>
      <c r="H701" s="8">
        <v>7.8</v>
      </c>
    </row>
    <row r="702" spans="1:9" ht="15" customHeight="1" x14ac:dyDescent="0.25">
      <c r="A702" s="5">
        <v>6</v>
      </c>
      <c r="B702" s="5">
        <v>701</v>
      </c>
      <c r="C702" s="50">
        <v>46073</v>
      </c>
      <c r="D702" s="13">
        <v>101</v>
      </c>
      <c r="E702" s="8">
        <v>35.4</v>
      </c>
      <c r="F702" s="8">
        <v>0</v>
      </c>
      <c r="G702" s="8">
        <v>0</v>
      </c>
      <c r="H702" s="8">
        <v>17.5</v>
      </c>
      <c r="I702" s="39" t="s">
        <v>10</v>
      </c>
    </row>
    <row r="703" spans="1:9" ht="15" customHeight="1" x14ac:dyDescent="0.25">
      <c r="A703" s="5">
        <v>7</v>
      </c>
      <c r="B703" s="5">
        <v>702</v>
      </c>
      <c r="C703" s="50">
        <v>46074</v>
      </c>
      <c r="D703" s="13">
        <v>183</v>
      </c>
      <c r="E703" s="8">
        <v>27.1</v>
      </c>
      <c r="F703" s="8">
        <v>0.02</v>
      </c>
      <c r="G703" s="8">
        <v>0</v>
      </c>
      <c r="H703" s="8">
        <v>8.1</v>
      </c>
    </row>
    <row r="704" spans="1:9" ht="15" customHeight="1" x14ac:dyDescent="0.25">
      <c r="A704" s="5">
        <v>1</v>
      </c>
      <c r="B704" s="5">
        <v>703</v>
      </c>
      <c r="C704" s="50">
        <v>46075</v>
      </c>
      <c r="D704" s="13">
        <v>66</v>
      </c>
      <c r="E704" s="8">
        <v>24.4</v>
      </c>
      <c r="F704" s="8">
        <v>0</v>
      </c>
      <c r="G704" s="8">
        <v>0</v>
      </c>
      <c r="H704" s="8">
        <v>15</v>
      </c>
    </row>
    <row r="705" spans="1:9" ht="15" customHeight="1" x14ac:dyDescent="0.25">
      <c r="A705" s="5">
        <v>2</v>
      </c>
      <c r="B705" s="5">
        <v>704</v>
      </c>
      <c r="C705" s="50">
        <v>46076</v>
      </c>
      <c r="D705" s="13">
        <v>36</v>
      </c>
      <c r="E705" s="8">
        <v>21.9</v>
      </c>
      <c r="F705" s="8">
        <v>0</v>
      </c>
      <c r="G705" s="8">
        <v>0</v>
      </c>
      <c r="H705" s="8">
        <v>10.8</v>
      </c>
    </row>
    <row r="706" spans="1:9" ht="15" customHeight="1" x14ac:dyDescent="0.25">
      <c r="A706" s="5">
        <v>3</v>
      </c>
      <c r="B706" s="5">
        <v>705</v>
      </c>
      <c r="C706" s="50">
        <v>46077</v>
      </c>
      <c r="D706" s="13">
        <v>45</v>
      </c>
      <c r="E706" s="8">
        <v>25.7</v>
      </c>
      <c r="F706" s="8">
        <v>0</v>
      </c>
      <c r="G706" s="8">
        <v>0</v>
      </c>
      <c r="H706" s="8">
        <v>12.7</v>
      </c>
    </row>
    <row r="707" spans="1:9" ht="15" customHeight="1" x14ac:dyDescent="0.25">
      <c r="A707" s="5">
        <v>4</v>
      </c>
      <c r="B707" s="5">
        <v>706</v>
      </c>
      <c r="C707" s="50">
        <v>46078</v>
      </c>
      <c r="D707" s="13">
        <v>64</v>
      </c>
      <c r="E707" s="8">
        <v>32.5</v>
      </c>
      <c r="F707" s="8">
        <v>0</v>
      </c>
      <c r="G707" s="8">
        <v>0.36</v>
      </c>
      <c r="H707" s="8">
        <v>9.4</v>
      </c>
    </row>
    <row r="708" spans="1:9" ht="15" customHeight="1" x14ac:dyDescent="0.25">
      <c r="A708" s="5">
        <v>5</v>
      </c>
      <c r="B708" s="5">
        <v>707</v>
      </c>
      <c r="C708" s="50">
        <v>46079</v>
      </c>
      <c r="D708" s="13">
        <v>41</v>
      </c>
      <c r="E708" s="8">
        <v>30.2</v>
      </c>
      <c r="F708" s="8">
        <v>0</v>
      </c>
      <c r="G708" s="8">
        <v>0</v>
      </c>
      <c r="H708" s="8">
        <v>5.6</v>
      </c>
    </row>
    <row r="709" spans="1:9" ht="15" customHeight="1" x14ac:dyDescent="0.25">
      <c r="A709" s="5">
        <v>6</v>
      </c>
      <c r="B709" s="5">
        <v>708</v>
      </c>
      <c r="C709" s="50">
        <v>46080</v>
      </c>
      <c r="D709" s="13">
        <v>90</v>
      </c>
      <c r="E709" s="8">
        <v>43.2</v>
      </c>
      <c r="F709" s="8">
        <v>0</v>
      </c>
      <c r="G709" s="8">
        <v>0</v>
      </c>
      <c r="H709" s="8">
        <v>10.3</v>
      </c>
      <c r="I709" s="39" t="s">
        <v>10</v>
      </c>
    </row>
    <row r="710" spans="1:9" ht="15" customHeight="1" x14ac:dyDescent="0.25">
      <c r="A710" s="5">
        <v>7</v>
      </c>
      <c r="B710" s="5">
        <v>709</v>
      </c>
      <c r="C710" s="50">
        <v>46081</v>
      </c>
      <c r="D710" s="13">
        <v>137</v>
      </c>
      <c r="E710" s="8">
        <v>39.9</v>
      </c>
      <c r="F710" s="8">
        <v>0</v>
      </c>
      <c r="G710" s="8">
        <v>0</v>
      </c>
      <c r="H710" s="8">
        <v>14.3</v>
      </c>
    </row>
    <row r="711" spans="1:9" ht="15" customHeight="1" x14ac:dyDescent="0.25">
      <c r="A711" s="5">
        <v>1</v>
      </c>
      <c r="B711" s="5">
        <v>710</v>
      </c>
      <c r="C711" s="50">
        <v>46082</v>
      </c>
      <c r="D711" s="13">
        <v>43</v>
      </c>
      <c r="E711" s="8">
        <v>27.5</v>
      </c>
      <c r="F711" s="8">
        <v>0</v>
      </c>
      <c r="G711" s="8">
        <v>0</v>
      </c>
      <c r="H711" s="8">
        <v>12.5</v>
      </c>
    </row>
    <row r="712" spans="1:9" ht="15" customHeight="1" x14ac:dyDescent="0.25">
      <c r="A712" s="5">
        <v>2</v>
      </c>
      <c r="B712" s="5">
        <v>711</v>
      </c>
      <c r="C712" s="50">
        <v>46083</v>
      </c>
      <c r="D712" s="13">
        <v>39</v>
      </c>
      <c r="E712" s="8">
        <v>33.799999999999997</v>
      </c>
      <c r="F712" s="8">
        <v>0</v>
      </c>
      <c r="G712" s="8">
        <v>0</v>
      </c>
      <c r="H712" s="8">
        <v>7.3</v>
      </c>
    </row>
    <row r="713" spans="1:9" ht="15" customHeight="1" x14ac:dyDescent="0.25">
      <c r="A713" s="5">
        <v>3</v>
      </c>
      <c r="B713" s="5">
        <v>712</v>
      </c>
      <c r="C713" s="50">
        <v>46084</v>
      </c>
      <c r="D713" s="13">
        <v>46</v>
      </c>
      <c r="E713" s="8">
        <v>36.5</v>
      </c>
      <c r="F713" s="8">
        <v>3.1E-2</v>
      </c>
      <c r="G713" s="8">
        <v>0</v>
      </c>
      <c r="H713" s="8">
        <v>6.5</v>
      </c>
    </row>
    <row r="714" spans="1:9" ht="15" customHeight="1" x14ac:dyDescent="0.25">
      <c r="A714" s="5">
        <v>4</v>
      </c>
      <c r="B714" s="5">
        <v>713</v>
      </c>
      <c r="C714" s="50">
        <v>46085</v>
      </c>
      <c r="D714" s="13">
        <v>21</v>
      </c>
      <c r="E714" s="8">
        <v>37.9</v>
      </c>
      <c r="F714" s="8">
        <v>7.0000000000000007E-2</v>
      </c>
      <c r="G714" s="8">
        <v>0</v>
      </c>
      <c r="H714" s="8">
        <v>8.3000000000000007</v>
      </c>
    </row>
    <row r="715" spans="1:9" ht="15" customHeight="1" x14ac:dyDescent="0.25">
      <c r="A715" s="5">
        <v>5</v>
      </c>
      <c r="B715" s="5">
        <v>714</v>
      </c>
      <c r="C715" s="50">
        <v>46086</v>
      </c>
      <c r="D715" s="13">
        <v>40</v>
      </c>
      <c r="E715" s="8">
        <v>43.3</v>
      </c>
      <c r="F715" s="8">
        <v>0.03</v>
      </c>
      <c r="G715" s="8">
        <v>0</v>
      </c>
      <c r="H715" s="8">
        <v>5</v>
      </c>
    </row>
    <row r="716" spans="1:9" ht="15" customHeight="1" x14ac:dyDescent="0.25">
      <c r="A716" s="5">
        <v>6</v>
      </c>
      <c r="B716" s="5">
        <v>715</v>
      </c>
      <c r="C716" s="50">
        <v>46087</v>
      </c>
      <c r="D716" s="13">
        <v>120</v>
      </c>
      <c r="E716" s="8">
        <v>54.5</v>
      </c>
      <c r="F716" s="8">
        <v>0.65</v>
      </c>
      <c r="G716" s="8">
        <v>0</v>
      </c>
      <c r="H716" s="8">
        <v>7.2</v>
      </c>
      <c r="I716" s="39" t="s">
        <v>10</v>
      </c>
    </row>
    <row r="717" spans="1:9" ht="15" customHeight="1" x14ac:dyDescent="0.25">
      <c r="A717" s="5">
        <v>7</v>
      </c>
      <c r="B717" s="5">
        <v>716</v>
      </c>
      <c r="C717" s="50">
        <v>46088</v>
      </c>
      <c r="D717" s="13">
        <v>157</v>
      </c>
      <c r="E717" s="8">
        <v>52.3</v>
      </c>
      <c r="F717" s="8">
        <v>0.2</v>
      </c>
      <c r="G717" s="8">
        <v>0</v>
      </c>
      <c r="H717" s="8">
        <v>14.5</v>
      </c>
    </row>
    <row r="718" spans="1:9" ht="15" customHeight="1" x14ac:dyDescent="0.25">
      <c r="A718" s="5">
        <v>1</v>
      </c>
      <c r="B718" s="5">
        <v>717</v>
      </c>
      <c r="C718" s="50">
        <v>46089</v>
      </c>
      <c r="D718" s="13">
        <v>54</v>
      </c>
      <c r="E718" s="8">
        <v>48.6</v>
      </c>
      <c r="F718" s="8">
        <v>0</v>
      </c>
      <c r="G718" s="8">
        <v>0</v>
      </c>
      <c r="H718" s="8">
        <v>16.5</v>
      </c>
      <c r="I718" t="s">
        <v>61</v>
      </c>
    </row>
    <row r="719" spans="1:9" ht="15" customHeight="1" x14ac:dyDescent="0.25">
      <c r="A719" s="5">
        <v>2</v>
      </c>
      <c r="B719" s="5">
        <v>718</v>
      </c>
      <c r="C719" s="50">
        <v>46090</v>
      </c>
      <c r="D719" s="13">
        <v>28</v>
      </c>
      <c r="E719" s="8">
        <v>59.4</v>
      </c>
      <c r="F719" s="8">
        <v>0</v>
      </c>
      <c r="G719" s="8">
        <v>0</v>
      </c>
      <c r="H719" s="8">
        <v>13.4</v>
      </c>
    </row>
    <row r="720" spans="1:9" ht="15" customHeight="1" x14ac:dyDescent="0.25">
      <c r="A720" s="5">
        <v>3</v>
      </c>
      <c r="B720" s="5">
        <v>719</v>
      </c>
      <c r="C720" s="50">
        <v>46091</v>
      </c>
      <c r="D720" s="13">
        <v>33</v>
      </c>
      <c r="E720" s="8">
        <v>51.8</v>
      </c>
      <c r="F720" s="8">
        <v>1.1599999999999999</v>
      </c>
      <c r="G720" s="8">
        <v>0</v>
      </c>
      <c r="H720" s="8">
        <v>8.1999999999999993</v>
      </c>
    </row>
    <row r="721" spans="1:10" ht="15" customHeight="1" x14ac:dyDescent="0.25">
      <c r="A721" s="5">
        <v>4</v>
      </c>
      <c r="B721" s="5">
        <v>720</v>
      </c>
      <c r="C721" s="50">
        <v>46092</v>
      </c>
      <c r="D721" s="13">
        <v>31</v>
      </c>
      <c r="E721" s="8">
        <v>40.5</v>
      </c>
      <c r="F721" s="8">
        <v>0.36</v>
      </c>
      <c r="G721" s="8">
        <v>0</v>
      </c>
      <c r="H721" s="8">
        <v>13.7</v>
      </c>
    </row>
    <row r="722" spans="1:10" ht="15" customHeight="1" x14ac:dyDescent="0.25">
      <c r="A722" s="5">
        <v>5</v>
      </c>
      <c r="B722" s="5">
        <v>721</v>
      </c>
      <c r="C722" s="50">
        <v>46093</v>
      </c>
      <c r="D722" s="13">
        <v>34</v>
      </c>
      <c r="E722" s="8">
        <v>39.9</v>
      </c>
      <c r="F722" s="8">
        <v>0</v>
      </c>
      <c r="G722" s="8">
        <v>0</v>
      </c>
      <c r="H722" s="8">
        <v>10.9</v>
      </c>
    </row>
    <row r="723" spans="1:10" ht="15" customHeight="1" x14ac:dyDescent="0.25">
      <c r="A723" s="5">
        <v>6</v>
      </c>
      <c r="B723" s="5">
        <v>722</v>
      </c>
      <c r="C723" s="50">
        <v>46094</v>
      </c>
      <c r="D723" s="13">
        <v>111</v>
      </c>
      <c r="E723" s="8">
        <v>44.1</v>
      </c>
      <c r="F723" s="8">
        <v>0.06</v>
      </c>
      <c r="G723" s="8">
        <v>0</v>
      </c>
      <c r="H723" s="8">
        <v>17</v>
      </c>
      <c r="I723" s="39" t="s">
        <v>10</v>
      </c>
    </row>
    <row r="724" spans="1:10" ht="15" customHeight="1" x14ac:dyDescent="0.25">
      <c r="A724" s="5">
        <v>7</v>
      </c>
      <c r="B724" s="5">
        <v>723</v>
      </c>
      <c r="C724" s="50">
        <v>46095</v>
      </c>
      <c r="D724" s="13">
        <v>135</v>
      </c>
      <c r="E724" s="8">
        <v>38.299999999999997</v>
      </c>
      <c r="F724" s="8">
        <v>0</v>
      </c>
      <c r="G724" s="8">
        <v>0</v>
      </c>
      <c r="H724" s="8">
        <v>10</v>
      </c>
    </row>
    <row r="725" spans="1:10" ht="15" customHeight="1" x14ac:dyDescent="0.25">
      <c r="A725" s="5">
        <v>1</v>
      </c>
      <c r="B725" s="5">
        <v>724</v>
      </c>
      <c r="C725" s="50">
        <v>46096</v>
      </c>
      <c r="D725" s="13">
        <v>32</v>
      </c>
      <c r="E725" s="8">
        <v>38.1</v>
      </c>
      <c r="F725" s="8">
        <v>1.42</v>
      </c>
      <c r="G725" s="8">
        <v>0.14000000000000001</v>
      </c>
      <c r="H725" s="8">
        <v>15.7</v>
      </c>
    </row>
    <row r="726" spans="1:10" ht="15" customHeight="1" x14ac:dyDescent="0.25">
      <c r="A726" s="5">
        <v>2</v>
      </c>
      <c r="B726" s="5">
        <v>725</v>
      </c>
      <c r="C726" s="50">
        <v>46097</v>
      </c>
      <c r="D726" s="13">
        <v>43.5</v>
      </c>
      <c r="E726" s="8">
        <v>30.4</v>
      </c>
      <c r="F726" s="8">
        <v>0</v>
      </c>
      <c r="G726" s="8">
        <v>0</v>
      </c>
      <c r="H726" s="8">
        <v>13.3</v>
      </c>
      <c r="J726" s="8">
        <v>5.4749999999999996</v>
      </c>
    </row>
    <row r="727" spans="1:10" ht="15" customHeight="1" x14ac:dyDescent="0.25">
      <c r="A727" s="5">
        <v>3</v>
      </c>
      <c r="B727" s="5">
        <v>726</v>
      </c>
      <c r="C727" s="50">
        <v>46098</v>
      </c>
      <c r="D727" s="13">
        <v>35.5</v>
      </c>
      <c r="E727" s="8">
        <v>29.5</v>
      </c>
      <c r="F727" s="8">
        <v>0.02</v>
      </c>
      <c r="G727" s="8">
        <v>0</v>
      </c>
      <c r="H727" s="8">
        <v>10.4</v>
      </c>
      <c r="I727" s="39" t="s">
        <v>38</v>
      </c>
      <c r="J727" s="8">
        <v>8.42</v>
      </c>
    </row>
    <row r="728" spans="1:10" ht="15" customHeight="1" x14ac:dyDescent="0.25">
      <c r="A728" s="5">
        <v>4</v>
      </c>
      <c r="B728" s="5">
        <v>727</v>
      </c>
      <c r="C728" s="50">
        <v>46099</v>
      </c>
      <c r="D728" s="13">
        <v>44</v>
      </c>
      <c r="E728" s="8">
        <v>34.200000000000003</v>
      </c>
      <c r="F728" s="8">
        <v>0</v>
      </c>
      <c r="G728" s="8">
        <v>0</v>
      </c>
      <c r="H728" s="8">
        <v>10.3</v>
      </c>
      <c r="J728" s="8">
        <v>4.1550000000000002</v>
      </c>
    </row>
    <row r="729" spans="1:10" ht="15" customHeight="1" x14ac:dyDescent="0.25">
      <c r="A729" s="5">
        <v>5</v>
      </c>
      <c r="B729" s="5">
        <v>728</v>
      </c>
      <c r="C729" s="50">
        <v>46100</v>
      </c>
      <c r="D729" s="13">
        <v>54</v>
      </c>
      <c r="E729" s="8">
        <v>38.5</v>
      </c>
      <c r="F729" s="8">
        <v>0.02</v>
      </c>
      <c r="G729" s="8">
        <v>0</v>
      </c>
      <c r="H729" s="8">
        <v>10.7</v>
      </c>
      <c r="J729" s="8">
        <v>6.7650000000000006</v>
      </c>
    </row>
    <row r="730" spans="1:10" ht="15" customHeight="1" x14ac:dyDescent="0.25">
      <c r="A730" s="5">
        <v>6</v>
      </c>
      <c r="B730" s="5">
        <v>729</v>
      </c>
      <c r="C730" s="50">
        <v>46101</v>
      </c>
      <c r="D730" s="13">
        <v>112</v>
      </c>
      <c r="E730" s="8">
        <v>49</v>
      </c>
      <c r="F730" s="8">
        <v>0</v>
      </c>
      <c r="G730" s="8">
        <v>0</v>
      </c>
      <c r="H730" s="8">
        <v>9</v>
      </c>
      <c r="J730" s="8">
        <v>14.574999999999999</v>
      </c>
    </row>
    <row r="731" spans="1:10" ht="15" customHeight="1" x14ac:dyDescent="0.25">
      <c r="A731" s="5">
        <v>7</v>
      </c>
      <c r="B731" s="5">
        <v>730</v>
      </c>
      <c r="C731" s="50">
        <v>46102</v>
      </c>
      <c r="D731" s="13">
        <v>128.5</v>
      </c>
      <c r="E731" s="8">
        <v>58</v>
      </c>
      <c r="F731" s="8">
        <v>0</v>
      </c>
      <c r="G731" s="8">
        <v>0</v>
      </c>
      <c r="H731" s="8">
        <v>8</v>
      </c>
      <c r="J731" s="8">
        <v>13.215</v>
      </c>
    </row>
    <row r="732" spans="1:10" ht="15" customHeight="1" x14ac:dyDescent="0.25">
      <c r="A732" s="5">
        <v>1</v>
      </c>
      <c r="B732" s="5">
        <v>731</v>
      </c>
      <c r="C732" s="50">
        <v>46103</v>
      </c>
      <c r="D732" s="13">
        <v>44</v>
      </c>
      <c r="E732" s="8">
        <v>43.5</v>
      </c>
      <c r="F732" s="8">
        <v>0.02</v>
      </c>
      <c r="G732" s="8">
        <v>0</v>
      </c>
      <c r="H732" s="8">
        <v>17</v>
      </c>
      <c r="J732" s="8">
        <v>6.7200000000000006</v>
      </c>
    </row>
    <row r="733" spans="1:10" ht="15" customHeight="1" x14ac:dyDescent="0.25">
      <c r="A733" s="5">
        <v>2</v>
      </c>
      <c r="B733" s="5">
        <v>732</v>
      </c>
      <c r="C733" s="50">
        <v>46104</v>
      </c>
      <c r="D733" s="13">
        <v>47.5</v>
      </c>
      <c r="E733" s="8">
        <v>34</v>
      </c>
      <c r="F733" s="8">
        <v>0</v>
      </c>
      <c r="G733" s="8">
        <v>0</v>
      </c>
      <c r="H733" s="8">
        <v>8</v>
      </c>
      <c r="J733" s="8">
        <v>8.48</v>
      </c>
    </row>
    <row r="734" spans="1:10" ht="15" customHeight="1" x14ac:dyDescent="0.25">
      <c r="A734" s="5">
        <v>3</v>
      </c>
      <c r="B734" s="5">
        <v>733</v>
      </c>
      <c r="C734" s="50">
        <v>46105</v>
      </c>
      <c r="D734" s="13">
        <v>42.5</v>
      </c>
      <c r="E734" s="8">
        <v>39.5</v>
      </c>
      <c r="F734" s="8">
        <v>0</v>
      </c>
      <c r="G734" s="8">
        <v>0</v>
      </c>
      <c r="H734" s="8">
        <v>5</v>
      </c>
      <c r="J734" s="8">
        <v>9.11</v>
      </c>
    </row>
    <row r="735" spans="1:10" ht="15" customHeight="1" x14ac:dyDescent="0.25">
      <c r="A735" s="5">
        <v>4</v>
      </c>
      <c r="B735" s="5">
        <v>734</v>
      </c>
      <c r="C735" s="50">
        <v>46106</v>
      </c>
      <c r="D735" s="13">
        <v>43</v>
      </c>
      <c r="E735" s="8">
        <v>47.5</v>
      </c>
      <c r="F735" s="8">
        <v>0</v>
      </c>
      <c r="G735" s="8">
        <v>0</v>
      </c>
      <c r="H735" s="8">
        <v>6</v>
      </c>
      <c r="J735" s="8">
        <v>8.25</v>
      </c>
    </row>
    <row r="736" spans="1:10" ht="15" customHeight="1" x14ac:dyDescent="0.25">
      <c r="A736" s="5">
        <v>5</v>
      </c>
      <c r="B736" s="5">
        <v>735</v>
      </c>
      <c r="C736" s="50">
        <v>46107</v>
      </c>
      <c r="D736" s="13">
        <v>47</v>
      </c>
      <c r="E736" s="8">
        <v>42.5</v>
      </c>
      <c r="F736" s="8">
        <v>0</v>
      </c>
      <c r="G736" s="8">
        <v>0</v>
      </c>
      <c r="H736" s="8">
        <v>8</v>
      </c>
      <c r="J736" s="8">
        <v>6.7850000000000001</v>
      </c>
    </row>
    <row r="737" spans="1:10" ht="15" customHeight="1" x14ac:dyDescent="0.25">
      <c r="A737" s="5">
        <v>6</v>
      </c>
      <c r="B737" s="5">
        <v>736</v>
      </c>
      <c r="C737" s="50">
        <v>46108</v>
      </c>
      <c r="D737" s="13">
        <v>87.5</v>
      </c>
      <c r="E737" s="8">
        <v>33.5</v>
      </c>
      <c r="F737" s="8">
        <v>0</v>
      </c>
      <c r="G737" s="8">
        <v>0</v>
      </c>
      <c r="H737" s="8">
        <v>8</v>
      </c>
      <c r="I737" s="39" t="s">
        <v>68</v>
      </c>
      <c r="J737" s="8">
        <v>11.309999999999999</v>
      </c>
    </row>
    <row r="738" spans="1:10" ht="15" customHeight="1" x14ac:dyDescent="0.25">
      <c r="A738" s="5">
        <v>7</v>
      </c>
      <c r="B738" s="5">
        <v>737</v>
      </c>
      <c r="C738" s="50">
        <v>46109</v>
      </c>
      <c r="D738" s="13">
        <v>125</v>
      </c>
      <c r="E738" s="8">
        <v>42</v>
      </c>
      <c r="F738" s="8">
        <v>0</v>
      </c>
      <c r="G738" s="8">
        <v>0</v>
      </c>
      <c r="H738" s="8">
        <v>4</v>
      </c>
      <c r="J738" s="8">
        <v>13.615</v>
      </c>
    </row>
    <row r="739" spans="1:10" ht="15" customHeight="1" x14ac:dyDescent="0.25">
      <c r="A739" s="5">
        <v>1</v>
      </c>
      <c r="B739" s="5">
        <v>738</v>
      </c>
      <c r="C739" s="50">
        <v>46110</v>
      </c>
      <c r="D739" s="13">
        <v>49.5</v>
      </c>
      <c r="E739" s="8">
        <v>47</v>
      </c>
      <c r="F739" s="8">
        <v>0</v>
      </c>
      <c r="G739" s="8">
        <v>0</v>
      </c>
      <c r="H739" s="8">
        <v>6</v>
      </c>
      <c r="J739" s="8">
        <v>9.4550000000000001</v>
      </c>
    </row>
    <row r="740" spans="1:10" ht="15" customHeight="1" x14ac:dyDescent="0.25">
      <c r="A740" s="5">
        <v>2</v>
      </c>
      <c r="B740" s="5">
        <v>739</v>
      </c>
      <c r="C740" s="50">
        <v>46111</v>
      </c>
      <c r="D740" s="13">
        <v>43</v>
      </c>
      <c r="E740" s="8">
        <v>45.5</v>
      </c>
      <c r="F740" s="8">
        <v>0</v>
      </c>
      <c r="G740" s="8">
        <v>0</v>
      </c>
      <c r="H740" s="8">
        <v>13</v>
      </c>
      <c r="J740" s="8">
        <v>4.665</v>
      </c>
    </row>
    <row r="741" spans="1:10" ht="15" customHeight="1" x14ac:dyDescent="0.25">
      <c r="A741" s="5">
        <v>3</v>
      </c>
      <c r="B741" s="5">
        <v>740</v>
      </c>
      <c r="C741" s="50">
        <v>46112</v>
      </c>
      <c r="D741" s="13">
        <v>46.5</v>
      </c>
      <c r="E741" s="8">
        <v>42</v>
      </c>
      <c r="F741" s="8">
        <v>0.1</v>
      </c>
      <c r="G741" s="8">
        <v>0</v>
      </c>
      <c r="H741" s="8">
        <v>9</v>
      </c>
      <c r="J741" s="8">
        <v>10.275</v>
      </c>
    </row>
    <row r="742" spans="1:10" ht="15" customHeight="1" x14ac:dyDescent="0.25">
      <c r="A742" s="5">
        <v>4</v>
      </c>
      <c r="B742" s="5">
        <v>741</v>
      </c>
      <c r="C742" s="50">
        <v>46113</v>
      </c>
      <c r="D742" s="13">
        <v>50.5</v>
      </c>
      <c r="E742" s="8">
        <v>49.5</v>
      </c>
      <c r="F742" s="8">
        <v>0</v>
      </c>
      <c r="G742" s="8">
        <v>0</v>
      </c>
      <c r="H742" s="8">
        <v>14</v>
      </c>
      <c r="J742" s="8">
        <v>6.35</v>
      </c>
    </row>
    <row r="743" spans="1:10" ht="15" customHeight="1" x14ac:dyDescent="0.25">
      <c r="A743" s="5">
        <v>5</v>
      </c>
      <c r="B743" s="5">
        <v>742</v>
      </c>
      <c r="C743" s="50">
        <v>46114</v>
      </c>
      <c r="D743" s="13">
        <v>77.5</v>
      </c>
      <c r="E743" s="8">
        <v>51</v>
      </c>
      <c r="F743" s="8">
        <v>0.23</v>
      </c>
      <c r="G743" s="8">
        <v>0</v>
      </c>
      <c r="H743" s="8">
        <v>12</v>
      </c>
      <c r="J743" s="8">
        <v>16.48</v>
      </c>
    </row>
    <row r="744" spans="1:10" ht="15" customHeight="1" x14ac:dyDescent="0.25">
      <c r="A744" s="5">
        <v>6</v>
      </c>
      <c r="B744" s="5">
        <v>743</v>
      </c>
      <c r="C744" s="50">
        <v>46115</v>
      </c>
      <c r="D744" s="13">
        <v>75</v>
      </c>
      <c r="E744" s="8">
        <v>50</v>
      </c>
      <c r="F744" s="8">
        <v>0.4</v>
      </c>
      <c r="G744" s="8">
        <v>0</v>
      </c>
      <c r="H744" s="8">
        <v>12</v>
      </c>
      <c r="I744" s="39" t="s">
        <v>11</v>
      </c>
      <c r="J744" s="8">
        <v>14.5</v>
      </c>
    </row>
    <row r="745" spans="1:10" ht="15" customHeight="1" x14ac:dyDescent="0.25">
      <c r="A745" s="5">
        <v>7</v>
      </c>
      <c r="B745" s="5">
        <v>744</v>
      </c>
      <c r="C745" s="50">
        <v>46116</v>
      </c>
      <c r="D745" s="13">
        <v>102.5</v>
      </c>
      <c r="E745" s="8">
        <v>49.5</v>
      </c>
      <c r="F745" s="8">
        <v>0.19</v>
      </c>
      <c r="G745" s="8">
        <v>0</v>
      </c>
      <c r="H745" s="8">
        <v>7</v>
      </c>
      <c r="J745" s="8">
        <v>10.785</v>
      </c>
    </row>
    <row r="746" spans="1:10" ht="15" customHeight="1" x14ac:dyDescent="0.25">
      <c r="A746" s="5">
        <v>1</v>
      </c>
      <c r="B746" s="5">
        <v>745</v>
      </c>
      <c r="C746" s="50">
        <v>46117</v>
      </c>
      <c r="D746" s="13">
        <v>33.5</v>
      </c>
      <c r="E746" s="8">
        <v>50.5</v>
      </c>
      <c r="F746" s="8">
        <v>0.35</v>
      </c>
      <c r="G746" s="8">
        <v>0</v>
      </c>
      <c r="H746" s="8">
        <v>12</v>
      </c>
      <c r="I746" s="39" t="s">
        <v>12</v>
      </c>
      <c r="J746" s="8">
        <v>8.98</v>
      </c>
    </row>
    <row r="747" spans="1:10" ht="15" customHeight="1" x14ac:dyDescent="0.25">
      <c r="A747" s="5">
        <v>2</v>
      </c>
      <c r="B747" s="5">
        <v>746</v>
      </c>
      <c r="C747" s="50">
        <v>46118</v>
      </c>
      <c r="D747" s="13">
        <v>43</v>
      </c>
      <c r="E747" s="8">
        <v>51</v>
      </c>
      <c r="F747" s="8">
        <v>0</v>
      </c>
      <c r="G747" s="8">
        <v>0</v>
      </c>
      <c r="H747" s="8">
        <v>10</v>
      </c>
      <c r="J747" s="8">
        <v>3.6749999999999998</v>
      </c>
    </row>
    <row r="748" spans="1:10" ht="15" customHeight="1" x14ac:dyDescent="0.25">
      <c r="A748" s="5">
        <v>3</v>
      </c>
      <c r="B748" s="5">
        <v>747</v>
      </c>
      <c r="C748" s="50">
        <v>46119</v>
      </c>
      <c r="D748" s="13">
        <v>46.5</v>
      </c>
      <c r="E748" s="8">
        <v>52.5</v>
      </c>
      <c r="F748" s="8">
        <v>0</v>
      </c>
      <c r="G748" s="8">
        <v>0</v>
      </c>
      <c r="H748" s="8">
        <v>10</v>
      </c>
      <c r="J748" s="8">
        <v>8.35</v>
      </c>
    </row>
    <row r="749" spans="1:10" ht="15" customHeight="1" x14ac:dyDescent="0.25">
      <c r="A749" s="5">
        <v>4</v>
      </c>
      <c r="B749" s="5">
        <v>748</v>
      </c>
      <c r="C749" s="50">
        <v>46120</v>
      </c>
      <c r="D749" s="13">
        <v>57</v>
      </c>
      <c r="E749" s="8">
        <v>52</v>
      </c>
      <c r="F749" s="8">
        <v>0.66</v>
      </c>
      <c r="G749" s="8">
        <v>0</v>
      </c>
      <c r="H749" s="8">
        <v>4</v>
      </c>
      <c r="J749" s="8">
        <v>17.63</v>
      </c>
    </row>
    <row r="750" spans="1:10" ht="15" customHeight="1" x14ac:dyDescent="0.25">
      <c r="A750" s="5">
        <v>5</v>
      </c>
      <c r="B750" s="5">
        <v>749</v>
      </c>
      <c r="C750" s="50">
        <v>46121</v>
      </c>
      <c r="D750" s="13">
        <v>56.5</v>
      </c>
      <c r="E750" s="8">
        <v>52</v>
      </c>
      <c r="F750" s="8">
        <v>0.2</v>
      </c>
      <c r="G750" s="8">
        <v>0</v>
      </c>
      <c r="H750" s="8">
        <v>7</v>
      </c>
      <c r="J750" s="8">
        <v>7.1400000000000006</v>
      </c>
    </row>
    <row r="751" spans="1:10" ht="15" customHeight="1" x14ac:dyDescent="0.25">
      <c r="A751" s="5">
        <v>6</v>
      </c>
      <c r="B751" s="5">
        <v>750</v>
      </c>
      <c r="C751" s="50">
        <v>46122</v>
      </c>
      <c r="D751" s="13">
        <v>76</v>
      </c>
      <c r="E751" s="8">
        <v>51</v>
      </c>
      <c r="F751" s="8">
        <v>0.36</v>
      </c>
      <c r="G751" s="8">
        <v>0</v>
      </c>
      <c r="H751" s="8">
        <v>8</v>
      </c>
      <c r="J751" s="8">
        <v>7.5950000000000006</v>
      </c>
    </row>
    <row r="752" spans="1:10" ht="15" customHeight="1" x14ac:dyDescent="0.25">
      <c r="A752" s="5">
        <v>7</v>
      </c>
      <c r="B752" s="5">
        <v>751</v>
      </c>
      <c r="C752" s="50">
        <v>46123</v>
      </c>
      <c r="D752" s="13">
        <v>138</v>
      </c>
      <c r="E752" s="8">
        <v>47.5</v>
      </c>
      <c r="F752" s="8">
        <v>0.25</v>
      </c>
      <c r="G752" s="8">
        <v>0</v>
      </c>
      <c r="H752" s="8">
        <v>15</v>
      </c>
      <c r="J752" s="8">
        <v>16.350000000000001</v>
      </c>
    </row>
    <row r="753" spans="1:10" ht="15" customHeight="1" x14ac:dyDescent="0.25">
      <c r="A753" s="5">
        <v>1</v>
      </c>
      <c r="B753" s="5">
        <v>752</v>
      </c>
      <c r="C753" s="50">
        <v>46124</v>
      </c>
      <c r="D753" s="13">
        <v>45</v>
      </c>
      <c r="E753" s="8">
        <v>46.5</v>
      </c>
      <c r="F753" s="8">
        <v>0.06</v>
      </c>
      <c r="G753" s="8">
        <v>0</v>
      </c>
      <c r="H753" s="8">
        <v>10</v>
      </c>
      <c r="J753" s="8">
        <v>4.6950000000000003</v>
      </c>
    </row>
    <row r="754" spans="1:10" ht="15" customHeight="1" x14ac:dyDescent="0.25">
      <c r="A754" s="5">
        <v>2</v>
      </c>
      <c r="B754" s="5">
        <v>753</v>
      </c>
      <c r="C754" s="50">
        <v>46125</v>
      </c>
      <c r="D754" s="13">
        <v>52.5</v>
      </c>
      <c r="E754" s="8">
        <v>48.5</v>
      </c>
      <c r="F754" s="8">
        <v>0.04</v>
      </c>
      <c r="G754" s="8">
        <v>0</v>
      </c>
      <c r="H754" s="8">
        <v>4</v>
      </c>
      <c r="J754" s="8">
        <v>13.96</v>
      </c>
    </row>
    <row r="755" spans="1:10" ht="15" customHeight="1" x14ac:dyDescent="0.25">
      <c r="A755" s="5">
        <v>3</v>
      </c>
      <c r="B755" s="5">
        <v>754</v>
      </c>
      <c r="C755" s="50">
        <v>46126</v>
      </c>
      <c r="D755" s="13">
        <v>51</v>
      </c>
      <c r="E755" s="8">
        <v>53.5</v>
      </c>
      <c r="F755" s="8">
        <v>0.18</v>
      </c>
      <c r="G755" s="8">
        <v>0</v>
      </c>
      <c r="H755" s="8">
        <v>9</v>
      </c>
      <c r="J755" s="8">
        <v>14.635</v>
      </c>
    </row>
    <row r="756" spans="1:10" ht="15" customHeight="1" x14ac:dyDescent="0.25">
      <c r="A756" s="5">
        <v>4</v>
      </c>
      <c r="B756" s="5">
        <v>755</v>
      </c>
      <c r="C756" s="50">
        <v>46127</v>
      </c>
      <c r="D756" s="13">
        <v>49.5</v>
      </c>
      <c r="E756" s="8">
        <v>52.5</v>
      </c>
      <c r="F756" s="8">
        <v>0</v>
      </c>
      <c r="G756" s="8">
        <v>0</v>
      </c>
      <c r="H756" s="8">
        <v>9</v>
      </c>
      <c r="J756" s="8">
        <v>8.4049999999999994</v>
      </c>
    </row>
    <row r="757" spans="1:10" ht="15" customHeight="1" x14ac:dyDescent="0.25">
      <c r="A757" s="5">
        <v>5</v>
      </c>
      <c r="B757" s="5">
        <v>756</v>
      </c>
      <c r="C757" s="50">
        <v>46128</v>
      </c>
      <c r="D757" s="13">
        <v>52</v>
      </c>
      <c r="E757" s="8">
        <v>48.5</v>
      </c>
      <c r="F757" s="8">
        <v>0.17</v>
      </c>
      <c r="G757" s="8">
        <v>0</v>
      </c>
      <c r="H757" s="8">
        <v>8</v>
      </c>
      <c r="J757" s="8">
        <v>4.1500000000000004</v>
      </c>
    </row>
    <row r="758" spans="1:10" ht="15" customHeight="1" x14ac:dyDescent="0.25">
      <c r="A758" s="5">
        <v>6</v>
      </c>
      <c r="B758" s="5">
        <v>757</v>
      </c>
      <c r="C758" s="50">
        <v>46129</v>
      </c>
      <c r="D758" s="13">
        <v>112.5</v>
      </c>
      <c r="E758" s="8">
        <v>46</v>
      </c>
      <c r="F758" s="8">
        <v>0</v>
      </c>
      <c r="G758" s="8">
        <v>0</v>
      </c>
      <c r="H758" s="8">
        <v>10</v>
      </c>
      <c r="J758" s="8">
        <v>12.469999999999999</v>
      </c>
    </row>
  </sheetData>
  <conditionalFormatting sqref="A2:A758">
    <cfRule type="cellIs" dxfId="27" priority="1" operator="lessThan">
      <formula>6</formula>
    </cfRule>
    <cfRule type="cellIs" dxfId="26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X310"/>
  <sheetViews>
    <sheetView topLeftCell="A282" zoomScaleNormal="100" workbookViewId="0">
      <selection activeCell="T306" sqref="T306:U306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4" t="s">
        <v>60</v>
      </c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4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1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6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4">
        <v>122</v>
      </c>
      <c r="D197" s="45">
        <v>190</v>
      </c>
      <c r="E197" s="45">
        <v>90</v>
      </c>
      <c r="F197" s="45">
        <v>128</v>
      </c>
      <c r="G197" s="45">
        <v>56</v>
      </c>
      <c r="H197" s="45">
        <v>66</v>
      </c>
      <c r="I197" s="45">
        <v>102</v>
      </c>
      <c r="J197" s="45">
        <v>134</v>
      </c>
      <c r="K197" s="44">
        <v>164</v>
      </c>
      <c r="L197" s="45">
        <v>208</v>
      </c>
      <c r="M197" s="45">
        <v>187</v>
      </c>
      <c r="N197" s="46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 t="shared" ref="S208:S213" si="42"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 t="shared" si="42"/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 t="shared" si="42"/>
        <v>2.2000000000000002</v>
      </c>
      <c r="T210">
        <v>49</v>
      </c>
      <c r="U210">
        <v>40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52</v>
      </c>
      <c r="I211">
        <v>51</v>
      </c>
      <c r="J211">
        <v>42</v>
      </c>
      <c r="K211">
        <v>32</v>
      </c>
      <c r="L211">
        <v>41</v>
      </c>
      <c r="M211">
        <v>42</v>
      </c>
      <c r="N211">
        <v>39</v>
      </c>
      <c r="O211" s="19">
        <f t="shared" si="38"/>
        <v>45</v>
      </c>
      <c r="P211" s="19">
        <f t="shared" si="39"/>
        <v>6.51</v>
      </c>
      <c r="R211" s="25">
        <f t="shared" si="40"/>
        <v>10</v>
      </c>
      <c r="S211">
        <f t="shared" si="42"/>
        <v>1.2857142857142858</v>
      </c>
      <c r="T211">
        <v>55</v>
      </c>
      <c r="U211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 t="shared" si="42"/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 t="shared" si="42"/>
        <v>1.654320987654321</v>
      </c>
      <c r="T213">
        <v>101</v>
      </c>
      <c r="U213">
        <v>131</v>
      </c>
    </row>
    <row r="214" spans="1:21" x14ac:dyDescent="0.25">
      <c r="A214" s="13">
        <v>174</v>
      </c>
      <c r="B214" s="21">
        <v>46039</v>
      </c>
      <c r="C214">
        <v>153</v>
      </c>
      <c r="D214">
        <v>132</v>
      </c>
      <c r="E214">
        <v>131</v>
      </c>
      <c r="F214">
        <v>107</v>
      </c>
      <c r="G214">
        <v>121</v>
      </c>
      <c r="H214">
        <v>100</v>
      </c>
      <c r="I214">
        <v>143</v>
      </c>
      <c r="J214">
        <v>111</v>
      </c>
      <c r="K214">
        <v>161</v>
      </c>
      <c r="L214">
        <v>142</v>
      </c>
      <c r="M214">
        <v>152</v>
      </c>
      <c r="N214">
        <v>142</v>
      </c>
      <c r="O214" s="19">
        <f t="shared" si="38"/>
        <v>133</v>
      </c>
      <c r="P214" s="19">
        <f t="shared" si="39"/>
        <v>18.18</v>
      </c>
      <c r="R214" s="25">
        <f t="shared" ref="R214:R223" si="43">O214-A214</f>
        <v>-41</v>
      </c>
      <c r="S214">
        <f t="shared" ref="S214:S223" si="44">O214/A214</f>
        <v>0.76436781609195403</v>
      </c>
      <c r="T214">
        <v>147</v>
      </c>
      <c r="U214">
        <v>118</v>
      </c>
    </row>
    <row r="215" spans="1:21" x14ac:dyDescent="0.25">
      <c r="A215" s="13">
        <v>18</v>
      </c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R215" s="25">
        <f t="shared" si="43"/>
        <v>29</v>
      </c>
      <c r="S215">
        <f t="shared" si="44"/>
        <v>2.6111111111111112</v>
      </c>
      <c r="T215">
        <v>66</v>
      </c>
      <c r="U215">
        <v>34</v>
      </c>
    </row>
    <row r="216" spans="1:21" x14ac:dyDescent="0.25">
      <c r="A216" s="13">
        <v>16</v>
      </c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R216" s="25">
        <f t="shared" si="43"/>
        <v>19</v>
      </c>
      <c r="S216">
        <f t="shared" si="44"/>
        <v>2.1875</v>
      </c>
      <c r="T216">
        <v>46</v>
      </c>
      <c r="U216">
        <v>22</v>
      </c>
    </row>
    <row r="217" spans="1:21" x14ac:dyDescent="0.25">
      <c r="A217" s="13">
        <v>23</v>
      </c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R217" s="25">
        <f t="shared" si="43"/>
        <v>23</v>
      </c>
      <c r="S217">
        <f t="shared" si="44"/>
        <v>2</v>
      </c>
      <c r="T217">
        <v>48</v>
      </c>
      <c r="U217">
        <v>34</v>
      </c>
    </row>
    <row r="218" spans="1:21" x14ac:dyDescent="0.25">
      <c r="A218" s="13">
        <v>103</v>
      </c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R218" s="25">
        <f t="shared" si="43"/>
        <v>-56</v>
      </c>
      <c r="S218">
        <f t="shared" si="44"/>
        <v>0.4563106796116505</v>
      </c>
      <c r="T218">
        <v>55</v>
      </c>
      <c r="U218">
        <v>38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R219" s="25">
        <f t="shared" si="43"/>
        <v>10</v>
      </c>
      <c r="S219">
        <f t="shared" si="44"/>
        <v>1.2325581395348837</v>
      </c>
      <c r="T219">
        <v>65</v>
      </c>
      <c r="U219">
        <v>47</v>
      </c>
    </row>
    <row r="220" spans="1:21" x14ac:dyDescent="0.25">
      <c r="A220" s="13">
        <v>38</v>
      </c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R220" s="25">
        <f t="shared" si="43"/>
        <v>71</v>
      </c>
      <c r="S220">
        <f t="shared" si="44"/>
        <v>2.8684210526315788</v>
      </c>
      <c r="T220">
        <v>111</v>
      </c>
      <c r="U220">
        <v>91</v>
      </c>
    </row>
    <row r="221" spans="1:21" x14ac:dyDescent="0.25">
      <c r="A221" s="13">
        <v>156</v>
      </c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R221" s="25">
        <f t="shared" si="43"/>
        <v>-29</v>
      </c>
      <c r="S221">
        <f t="shared" si="44"/>
        <v>0.8141025641025641</v>
      </c>
      <c r="T221">
        <v>114</v>
      </c>
      <c r="U221">
        <v>115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R222" s="25">
        <f t="shared" si="43"/>
        <v>5</v>
      </c>
      <c r="S222">
        <f t="shared" si="44"/>
        <v>1.125</v>
      </c>
      <c r="T222">
        <v>51</v>
      </c>
      <c r="U222">
        <v>35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R223" s="25">
        <f t="shared" si="43"/>
        <v>23</v>
      </c>
      <c r="S223">
        <f t="shared" si="44"/>
        <v>2.0454545454545454</v>
      </c>
      <c r="T223">
        <v>52</v>
      </c>
      <c r="U223">
        <v>37</v>
      </c>
    </row>
    <row r="224" spans="1:21" x14ac:dyDescent="0.25">
      <c r="A224" s="13">
        <v>41</v>
      </c>
      <c r="B224" s="21">
        <v>46049</v>
      </c>
      <c r="C224">
        <v>54</v>
      </c>
      <c r="D224">
        <v>44</v>
      </c>
      <c r="E224">
        <v>70</v>
      </c>
      <c r="F224">
        <v>32</v>
      </c>
      <c r="G224">
        <v>63</v>
      </c>
      <c r="H224">
        <v>32</v>
      </c>
      <c r="I224">
        <v>47</v>
      </c>
      <c r="J224">
        <v>36</v>
      </c>
      <c r="K224">
        <v>69</v>
      </c>
      <c r="L224">
        <v>42</v>
      </c>
      <c r="M224">
        <v>44</v>
      </c>
      <c r="N224">
        <v>41</v>
      </c>
      <c r="O224" s="19">
        <f t="shared" si="38"/>
        <v>47</v>
      </c>
      <c r="P224" s="19">
        <f t="shared" si="39"/>
        <v>12.2</v>
      </c>
      <c r="R224" s="25">
        <f t="shared" ref="R224:R234" si="45">O224-A224</f>
        <v>6</v>
      </c>
      <c r="S224">
        <f t="shared" ref="S224:S234" si="46">O224/A224</f>
        <v>1.1463414634146341</v>
      </c>
      <c r="T224">
        <v>43</v>
      </c>
      <c r="U224">
        <v>37</v>
      </c>
    </row>
    <row r="225" spans="1:24" x14ac:dyDescent="0.25">
      <c r="A225" s="13">
        <v>32</v>
      </c>
      <c r="B225" s="21">
        <v>46050</v>
      </c>
      <c r="C225">
        <v>56</v>
      </c>
      <c r="D225">
        <v>45</v>
      </c>
      <c r="E225">
        <v>68</v>
      </c>
      <c r="F225">
        <v>36</v>
      </c>
      <c r="G225">
        <v>64</v>
      </c>
      <c r="H225">
        <v>33</v>
      </c>
      <c r="I225">
        <v>48</v>
      </c>
      <c r="J225">
        <v>41</v>
      </c>
      <c r="K225">
        <v>57</v>
      </c>
      <c r="L225">
        <v>43</v>
      </c>
      <c r="M225">
        <v>54</v>
      </c>
      <c r="N225">
        <v>45</v>
      </c>
      <c r="O225" s="19">
        <f t="shared" si="38"/>
        <v>49</v>
      </c>
      <c r="P225" s="19">
        <f t="shared" si="39"/>
        <v>10</v>
      </c>
      <c r="R225" s="25">
        <f t="shared" si="45"/>
        <v>17</v>
      </c>
      <c r="S225">
        <f t="shared" si="46"/>
        <v>1.53125</v>
      </c>
      <c r="T225">
        <v>55</v>
      </c>
      <c r="U225">
        <v>40</v>
      </c>
    </row>
    <row r="226" spans="1:24" x14ac:dyDescent="0.25">
      <c r="A226" s="13">
        <v>85</v>
      </c>
      <c r="B226" s="21">
        <v>46051</v>
      </c>
      <c r="C226">
        <v>54</v>
      </c>
      <c r="D226">
        <v>54</v>
      </c>
      <c r="E226">
        <v>69</v>
      </c>
      <c r="F226">
        <v>48</v>
      </c>
      <c r="G226">
        <v>70</v>
      </c>
      <c r="H226">
        <v>42</v>
      </c>
      <c r="I226">
        <v>72</v>
      </c>
      <c r="J226">
        <v>53</v>
      </c>
      <c r="K226">
        <v>68</v>
      </c>
      <c r="L226">
        <v>58</v>
      </c>
      <c r="M226">
        <v>76</v>
      </c>
      <c r="N226">
        <v>68</v>
      </c>
      <c r="O226" s="19">
        <f t="shared" si="38"/>
        <v>60</v>
      </c>
      <c r="P226" s="19">
        <f t="shared" si="39"/>
        <v>10.029999999999999</v>
      </c>
      <c r="R226" s="25">
        <f t="shared" si="45"/>
        <v>-25</v>
      </c>
      <c r="S226">
        <f t="shared" si="46"/>
        <v>0.70588235294117652</v>
      </c>
      <c r="T226">
        <v>55</v>
      </c>
      <c r="U226">
        <v>51</v>
      </c>
    </row>
    <row r="227" spans="1:24" x14ac:dyDescent="0.25">
      <c r="A227" s="13">
        <v>111</v>
      </c>
      <c r="B227" s="21">
        <v>46052</v>
      </c>
      <c r="C227">
        <v>118</v>
      </c>
      <c r="D227">
        <v>101</v>
      </c>
      <c r="E227">
        <v>115</v>
      </c>
      <c r="F227">
        <v>80</v>
      </c>
      <c r="G227">
        <v>92</v>
      </c>
      <c r="H227">
        <v>69</v>
      </c>
      <c r="I227">
        <v>83</v>
      </c>
      <c r="J227">
        <v>99</v>
      </c>
      <c r="K227">
        <v>130</v>
      </c>
      <c r="L227">
        <v>112</v>
      </c>
      <c r="M227">
        <v>130</v>
      </c>
      <c r="N227">
        <v>114</v>
      </c>
      <c r="O227" s="19">
        <f t="shared" si="38"/>
        <v>104</v>
      </c>
      <c r="P227" s="19">
        <f t="shared" si="39"/>
        <v>18.079999999999998</v>
      </c>
      <c r="R227" s="25">
        <f t="shared" si="45"/>
        <v>-7</v>
      </c>
      <c r="S227">
        <f t="shared" si="46"/>
        <v>0.93693693693693691</v>
      </c>
      <c r="T227">
        <v>119</v>
      </c>
      <c r="U227">
        <v>94</v>
      </c>
      <c r="W227" s="36"/>
      <c r="X227" s="36"/>
    </row>
    <row r="228" spans="1:24" x14ac:dyDescent="0.25">
      <c r="A228" s="13">
        <v>163</v>
      </c>
      <c r="B228" s="21">
        <v>46053</v>
      </c>
      <c r="C228">
        <v>136</v>
      </c>
      <c r="D228">
        <v>124</v>
      </c>
      <c r="E228">
        <v>128</v>
      </c>
      <c r="F228">
        <v>105</v>
      </c>
      <c r="G228">
        <v>97</v>
      </c>
      <c r="H228">
        <v>98</v>
      </c>
      <c r="I228">
        <v>136</v>
      </c>
      <c r="J228">
        <v>126</v>
      </c>
      <c r="K228">
        <v>156</v>
      </c>
      <c r="L228">
        <v>127</v>
      </c>
      <c r="M228">
        <v>134</v>
      </c>
      <c r="N228">
        <v>131</v>
      </c>
      <c r="O228" s="19">
        <f t="shared" si="38"/>
        <v>125</v>
      </c>
      <c r="P228" s="19">
        <f t="shared" si="39"/>
        <v>15.69</v>
      </c>
      <c r="R228" s="25">
        <f t="shared" si="45"/>
        <v>-38</v>
      </c>
      <c r="S228">
        <f t="shared" si="46"/>
        <v>0.76687116564417179</v>
      </c>
      <c r="T228">
        <v>135</v>
      </c>
      <c r="U228">
        <v>115</v>
      </c>
      <c r="W228" s="36"/>
      <c r="X228" s="36"/>
    </row>
    <row r="229" spans="1:24" x14ac:dyDescent="0.25">
      <c r="A229" s="13">
        <v>62</v>
      </c>
      <c r="B229" s="21">
        <v>46054</v>
      </c>
      <c r="C229">
        <v>59</v>
      </c>
      <c r="D229">
        <v>40</v>
      </c>
      <c r="E229">
        <v>67</v>
      </c>
      <c r="F229">
        <v>31</v>
      </c>
      <c r="G229">
        <v>60</v>
      </c>
      <c r="H229">
        <v>38</v>
      </c>
      <c r="I229">
        <v>48</v>
      </c>
      <c r="J229">
        <v>34</v>
      </c>
      <c r="K229">
        <v>56</v>
      </c>
      <c r="L229">
        <v>40</v>
      </c>
      <c r="M229">
        <v>65</v>
      </c>
      <c r="N229">
        <v>41</v>
      </c>
      <c r="O229" s="19">
        <f t="shared" si="38"/>
        <v>48</v>
      </c>
      <c r="P229" s="19">
        <f t="shared" si="39"/>
        <v>12.42</v>
      </c>
      <c r="R229" s="25">
        <f t="shared" si="45"/>
        <v>-14</v>
      </c>
      <c r="S229">
        <f t="shared" si="46"/>
        <v>0.77419354838709675</v>
      </c>
      <c r="T229">
        <v>63</v>
      </c>
      <c r="U229">
        <v>34</v>
      </c>
      <c r="W229" s="36"/>
      <c r="X229" s="36"/>
    </row>
    <row r="230" spans="1:24" x14ac:dyDescent="0.25">
      <c r="A230" s="13">
        <v>51</v>
      </c>
      <c r="B230" s="21">
        <v>46055</v>
      </c>
      <c r="C230">
        <v>60</v>
      </c>
      <c r="D230">
        <v>41</v>
      </c>
      <c r="E230">
        <v>65</v>
      </c>
      <c r="F230">
        <v>30</v>
      </c>
      <c r="G230">
        <v>61</v>
      </c>
      <c r="H230">
        <v>34</v>
      </c>
      <c r="I230">
        <v>48</v>
      </c>
      <c r="J230">
        <v>34</v>
      </c>
      <c r="K230">
        <v>48</v>
      </c>
      <c r="L230">
        <v>40</v>
      </c>
      <c r="M230">
        <v>54</v>
      </c>
      <c r="N230">
        <v>39</v>
      </c>
      <c r="O230" s="19">
        <f t="shared" si="38"/>
        <v>46</v>
      </c>
      <c r="P230" s="19">
        <f t="shared" si="39"/>
        <v>11.18</v>
      </c>
      <c r="R230" s="25">
        <f t="shared" si="45"/>
        <v>-5</v>
      </c>
      <c r="S230">
        <f t="shared" si="46"/>
        <v>0.90196078431372551</v>
      </c>
      <c r="T230">
        <v>57</v>
      </c>
      <c r="U230">
        <v>35</v>
      </c>
      <c r="W230" s="36"/>
      <c r="X230" s="36"/>
    </row>
    <row r="231" spans="1:24" x14ac:dyDescent="0.25">
      <c r="A231" s="13">
        <v>42</v>
      </c>
      <c r="B231" s="21">
        <v>46056</v>
      </c>
      <c r="C231">
        <v>46</v>
      </c>
      <c r="D231">
        <v>45</v>
      </c>
      <c r="E231">
        <v>56</v>
      </c>
      <c r="F231">
        <v>37</v>
      </c>
      <c r="G231">
        <v>50</v>
      </c>
      <c r="H231">
        <v>50</v>
      </c>
      <c r="I231">
        <v>49</v>
      </c>
      <c r="J231">
        <v>36</v>
      </c>
      <c r="K231">
        <v>48</v>
      </c>
      <c r="L231">
        <v>46</v>
      </c>
      <c r="M231">
        <v>53</v>
      </c>
      <c r="N231">
        <v>45</v>
      </c>
      <c r="O231" s="19">
        <f t="shared" si="38"/>
        <v>47</v>
      </c>
      <c r="P231" s="19">
        <f t="shared" si="39"/>
        <v>5.7</v>
      </c>
      <c r="R231" s="25">
        <f t="shared" si="45"/>
        <v>5</v>
      </c>
      <c r="S231">
        <f t="shared" si="46"/>
        <v>1.1190476190476191</v>
      </c>
      <c r="T231">
        <v>53</v>
      </c>
      <c r="U231">
        <v>40</v>
      </c>
      <c r="W231" s="36"/>
      <c r="X231" s="36"/>
    </row>
    <row r="232" spans="1:24" x14ac:dyDescent="0.25">
      <c r="A232" s="13">
        <v>38</v>
      </c>
      <c r="B232" s="21">
        <v>46057</v>
      </c>
      <c r="C232">
        <v>46</v>
      </c>
      <c r="D232">
        <v>46</v>
      </c>
      <c r="E232">
        <v>56</v>
      </c>
      <c r="F232">
        <v>39</v>
      </c>
      <c r="G232">
        <v>49</v>
      </c>
      <c r="H232">
        <v>53</v>
      </c>
      <c r="I232">
        <v>52</v>
      </c>
      <c r="J232">
        <v>37</v>
      </c>
      <c r="K232">
        <v>48</v>
      </c>
      <c r="L232">
        <v>46</v>
      </c>
      <c r="M232">
        <v>53</v>
      </c>
      <c r="N232">
        <v>46</v>
      </c>
      <c r="O232" s="19">
        <f t="shared" si="38"/>
        <v>48</v>
      </c>
      <c r="P232" s="19">
        <f t="shared" si="39"/>
        <v>5.89</v>
      </c>
      <c r="R232" s="25">
        <f t="shared" si="45"/>
        <v>10</v>
      </c>
      <c r="S232">
        <f t="shared" si="46"/>
        <v>1.263157894736842</v>
      </c>
      <c r="T232">
        <v>58</v>
      </c>
      <c r="U232">
        <v>42</v>
      </c>
      <c r="W232" s="36"/>
      <c r="X232" s="36"/>
    </row>
    <row r="233" spans="1:24" x14ac:dyDescent="0.25">
      <c r="A233" s="13">
        <v>29</v>
      </c>
      <c r="B233" s="21">
        <v>46058</v>
      </c>
      <c r="C233">
        <v>47</v>
      </c>
      <c r="D233">
        <v>50</v>
      </c>
      <c r="E233">
        <v>62</v>
      </c>
      <c r="F233">
        <v>43</v>
      </c>
      <c r="G233">
        <v>64</v>
      </c>
      <c r="H233">
        <v>60</v>
      </c>
      <c r="I233">
        <v>55</v>
      </c>
      <c r="J233">
        <v>46</v>
      </c>
      <c r="K233">
        <v>53</v>
      </c>
      <c r="L233">
        <v>51</v>
      </c>
      <c r="M233">
        <v>55</v>
      </c>
      <c r="N233">
        <v>50</v>
      </c>
      <c r="O233" s="19">
        <f t="shared" si="38"/>
        <v>53</v>
      </c>
      <c r="P233" s="19">
        <f t="shared" si="39"/>
        <v>6.45</v>
      </c>
      <c r="R233" s="25">
        <f t="shared" si="45"/>
        <v>24</v>
      </c>
      <c r="S233">
        <f t="shared" si="46"/>
        <v>1.8275862068965518</v>
      </c>
      <c r="T233">
        <v>62</v>
      </c>
      <c r="U233">
        <v>47</v>
      </c>
      <c r="W233" s="36"/>
      <c r="X233" s="36"/>
    </row>
    <row r="234" spans="1:24" x14ac:dyDescent="0.25">
      <c r="A234" s="13">
        <v>140</v>
      </c>
      <c r="B234" s="21">
        <v>46059</v>
      </c>
      <c r="C234">
        <v>119</v>
      </c>
      <c r="D234">
        <v>120</v>
      </c>
      <c r="E234">
        <v>124</v>
      </c>
      <c r="F234">
        <v>88</v>
      </c>
      <c r="G234">
        <v>103</v>
      </c>
      <c r="H234">
        <v>102</v>
      </c>
      <c r="I234">
        <v>120</v>
      </c>
      <c r="J234">
        <v>102</v>
      </c>
      <c r="K234">
        <v>165</v>
      </c>
      <c r="L234">
        <v>129</v>
      </c>
      <c r="M234">
        <v>125</v>
      </c>
      <c r="N234">
        <v>119</v>
      </c>
      <c r="O234" s="19">
        <f t="shared" si="38"/>
        <v>117</v>
      </c>
      <c r="P234" s="19">
        <f t="shared" si="39"/>
        <v>17.27</v>
      </c>
      <c r="R234" s="25">
        <f t="shared" si="45"/>
        <v>-23</v>
      </c>
      <c r="S234">
        <f t="shared" si="46"/>
        <v>0.83571428571428574</v>
      </c>
      <c r="T234">
        <v>117</v>
      </c>
      <c r="U234">
        <v>107</v>
      </c>
      <c r="W234" s="36"/>
      <c r="X234" s="36"/>
    </row>
    <row r="235" spans="1:24" x14ac:dyDescent="0.25">
      <c r="A235" s="13">
        <v>186</v>
      </c>
      <c r="B235" s="21">
        <v>46060</v>
      </c>
      <c r="C235">
        <v>121</v>
      </c>
      <c r="D235">
        <v>118</v>
      </c>
      <c r="E235">
        <v>117</v>
      </c>
      <c r="F235">
        <v>110</v>
      </c>
      <c r="G235">
        <v>114</v>
      </c>
      <c r="H235">
        <v>115</v>
      </c>
      <c r="I235">
        <v>129</v>
      </c>
      <c r="J235">
        <v>126</v>
      </c>
      <c r="K235">
        <v>141</v>
      </c>
      <c r="L235">
        <v>133</v>
      </c>
      <c r="M235">
        <v>148</v>
      </c>
      <c r="N235">
        <v>132</v>
      </c>
      <c r="O235" s="19">
        <f t="shared" si="38"/>
        <v>126</v>
      </c>
      <c r="P235" s="19">
        <f t="shared" si="39"/>
        <v>10.98</v>
      </c>
      <c r="R235" s="25">
        <f t="shared" ref="R235:R244" si="47">O235-A235</f>
        <v>-60</v>
      </c>
      <c r="S235">
        <f t="shared" ref="S235:S244" si="48">O235/A235</f>
        <v>0.67741935483870963</v>
      </c>
      <c r="T235">
        <v>140</v>
      </c>
      <c r="U235">
        <v>125</v>
      </c>
      <c r="W235" s="36"/>
      <c r="X235" s="36"/>
    </row>
    <row r="236" spans="1:24" x14ac:dyDescent="0.25">
      <c r="A236" s="13">
        <v>0</v>
      </c>
      <c r="B236" s="21">
        <v>46061</v>
      </c>
      <c r="C236">
        <v>44</v>
      </c>
      <c r="D236">
        <v>28</v>
      </c>
      <c r="E236">
        <v>45</v>
      </c>
      <c r="F236">
        <v>21</v>
      </c>
      <c r="G236">
        <v>47</v>
      </c>
      <c r="H236">
        <v>13</v>
      </c>
      <c r="I236">
        <v>43</v>
      </c>
      <c r="J236">
        <v>23</v>
      </c>
      <c r="K236">
        <v>44</v>
      </c>
      <c r="L236">
        <v>28</v>
      </c>
      <c r="M236">
        <v>46</v>
      </c>
      <c r="N236">
        <v>28</v>
      </c>
      <c r="O236" s="19">
        <f t="shared" si="38"/>
        <v>35</v>
      </c>
      <c r="P236" s="19">
        <f t="shared" si="39"/>
        <v>11.36</v>
      </c>
      <c r="R236" s="25">
        <f t="shared" si="47"/>
        <v>35</v>
      </c>
      <c r="S236">
        <f>O236/(A236+1)</f>
        <v>35</v>
      </c>
      <c r="T236">
        <v>49</v>
      </c>
      <c r="U236">
        <v>28</v>
      </c>
      <c r="W236" s="36"/>
      <c r="X236" s="36"/>
    </row>
    <row r="237" spans="1:24" x14ac:dyDescent="0.25">
      <c r="A237" s="13">
        <v>30</v>
      </c>
      <c r="B237" s="21">
        <v>46062</v>
      </c>
      <c r="C237">
        <v>46</v>
      </c>
      <c r="D237">
        <v>39</v>
      </c>
      <c r="E237">
        <v>45</v>
      </c>
      <c r="F237">
        <v>34</v>
      </c>
      <c r="G237">
        <v>49</v>
      </c>
      <c r="H237">
        <v>36</v>
      </c>
      <c r="I237">
        <v>47</v>
      </c>
      <c r="J237">
        <v>40</v>
      </c>
      <c r="K237">
        <v>46</v>
      </c>
      <c r="L237">
        <v>44</v>
      </c>
      <c r="M237">
        <v>46</v>
      </c>
      <c r="N237">
        <v>43</v>
      </c>
      <c r="O237" s="19">
        <f t="shared" si="38"/>
        <v>44</v>
      </c>
      <c r="P237" s="19">
        <f t="shared" si="39"/>
        <v>4.76</v>
      </c>
      <c r="R237" s="25">
        <f t="shared" si="47"/>
        <v>14</v>
      </c>
      <c r="S237">
        <f t="shared" si="48"/>
        <v>1.4666666666666666</v>
      </c>
      <c r="T237">
        <v>52</v>
      </c>
      <c r="U237">
        <v>42</v>
      </c>
      <c r="W237" s="36"/>
      <c r="X237" s="36"/>
    </row>
    <row r="238" spans="1:24" x14ac:dyDescent="0.25">
      <c r="A238" s="13">
        <v>26</v>
      </c>
      <c r="B238" s="21">
        <v>46063</v>
      </c>
      <c r="C238">
        <v>47</v>
      </c>
      <c r="D238">
        <v>38</v>
      </c>
      <c r="E238">
        <v>46</v>
      </c>
      <c r="F238">
        <v>36</v>
      </c>
      <c r="G238">
        <v>60</v>
      </c>
      <c r="H238">
        <v>38</v>
      </c>
      <c r="I238">
        <v>65</v>
      </c>
      <c r="J238">
        <v>41</v>
      </c>
      <c r="K238">
        <v>46</v>
      </c>
      <c r="L238">
        <v>43</v>
      </c>
      <c r="M238">
        <v>46</v>
      </c>
      <c r="N238">
        <v>43</v>
      </c>
      <c r="O238" s="19">
        <f t="shared" si="38"/>
        <v>46</v>
      </c>
      <c r="P238" s="19">
        <f t="shared" si="39"/>
        <v>8.02</v>
      </c>
      <c r="R238" s="25">
        <f t="shared" si="47"/>
        <v>20</v>
      </c>
      <c r="S238">
        <f t="shared" si="48"/>
        <v>1.7692307692307692</v>
      </c>
      <c r="T238">
        <v>52</v>
      </c>
      <c r="U238">
        <v>40</v>
      </c>
      <c r="W238" s="36"/>
      <c r="X238" s="36"/>
    </row>
    <row r="239" spans="1:24" x14ac:dyDescent="0.25">
      <c r="A239" s="13">
        <v>59</v>
      </c>
      <c r="B239" s="21">
        <v>46064</v>
      </c>
      <c r="C239">
        <v>46</v>
      </c>
      <c r="D239">
        <v>40</v>
      </c>
      <c r="E239">
        <v>47</v>
      </c>
      <c r="F239">
        <v>33</v>
      </c>
      <c r="G239">
        <v>51</v>
      </c>
      <c r="H239">
        <v>40</v>
      </c>
      <c r="I239">
        <v>51</v>
      </c>
      <c r="J239">
        <v>42</v>
      </c>
      <c r="K239">
        <v>46</v>
      </c>
      <c r="L239">
        <v>40</v>
      </c>
      <c r="M239">
        <v>46</v>
      </c>
      <c r="N239">
        <v>42</v>
      </c>
      <c r="O239" s="19">
        <f t="shared" si="38"/>
        <v>44</v>
      </c>
      <c r="P239" s="19">
        <f t="shared" si="39"/>
        <v>4.8499999999999996</v>
      </c>
      <c r="R239" s="25">
        <f t="shared" si="47"/>
        <v>-15</v>
      </c>
      <c r="S239">
        <f t="shared" si="48"/>
        <v>0.74576271186440679</v>
      </c>
      <c r="T239">
        <v>49</v>
      </c>
      <c r="U239">
        <v>41</v>
      </c>
      <c r="W239" s="36"/>
      <c r="X239" s="36"/>
    </row>
    <row r="240" spans="1:24" x14ac:dyDescent="0.25">
      <c r="A240" s="13">
        <v>37</v>
      </c>
      <c r="B240" s="21">
        <v>46065</v>
      </c>
      <c r="C240">
        <v>48</v>
      </c>
      <c r="D240">
        <v>44</v>
      </c>
      <c r="E240">
        <v>53</v>
      </c>
      <c r="F240">
        <v>38</v>
      </c>
      <c r="G240">
        <v>51</v>
      </c>
      <c r="H240">
        <v>48</v>
      </c>
      <c r="I240">
        <v>52</v>
      </c>
      <c r="J240">
        <v>48</v>
      </c>
      <c r="K240">
        <v>46</v>
      </c>
      <c r="L240">
        <v>43</v>
      </c>
      <c r="M240">
        <v>48</v>
      </c>
      <c r="N240">
        <v>42</v>
      </c>
      <c r="O240" s="19">
        <f t="shared" si="38"/>
        <v>47</v>
      </c>
      <c r="P240" s="19">
        <f t="shared" si="39"/>
        <v>4.08</v>
      </c>
      <c r="R240" s="25">
        <f t="shared" si="47"/>
        <v>10</v>
      </c>
      <c r="S240">
        <f t="shared" si="48"/>
        <v>1.2702702702702702</v>
      </c>
      <c r="T240">
        <v>51</v>
      </c>
      <c r="U240">
        <v>45</v>
      </c>
      <c r="W240" s="36"/>
      <c r="X240" s="36"/>
    </row>
    <row r="241" spans="1:24" x14ac:dyDescent="0.25">
      <c r="A241" s="13">
        <v>199</v>
      </c>
      <c r="B241" s="21">
        <v>46066</v>
      </c>
      <c r="C241">
        <v>93</v>
      </c>
      <c r="D241">
        <v>86</v>
      </c>
      <c r="E241">
        <v>80</v>
      </c>
      <c r="F241">
        <v>75</v>
      </c>
      <c r="G241">
        <v>80</v>
      </c>
      <c r="H241">
        <v>77</v>
      </c>
      <c r="I241">
        <v>111</v>
      </c>
      <c r="J241">
        <v>88</v>
      </c>
      <c r="K241">
        <v>100</v>
      </c>
      <c r="L241">
        <v>86</v>
      </c>
      <c r="M241">
        <v>97</v>
      </c>
      <c r="N241">
        <v>90</v>
      </c>
      <c r="O241" s="19">
        <f t="shared" si="38"/>
        <v>88</v>
      </c>
      <c r="P241" s="19">
        <f t="shared" si="39"/>
        <v>9.36</v>
      </c>
      <c r="R241" s="25">
        <f t="shared" si="47"/>
        <v>-111</v>
      </c>
      <c r="S241">
        <f t="shared" si="48"/>
        <v>0.44221105527638194</v>
      </c>
      <c r="T241">
        <v>85</v>
      </c>
      <c r="U241">
        <v>85</v>
      </c>
      <c r="W241" s="36"/>
      <c r="X241" s="36"/>
    </row>
    <row r="242" spans="1:24" x14ac:dyDescent="0.25">
      <c r="A242" s="13">
        <v>283</v>
      </c>
      <c r="B242" s="21">
        <v>46067</v>
      </c>
      <c r="C242">
        <v>239</v>
      </c>
      <c r="D242">
        <v>198</v>
      </c>
      <c r="E242">
        <v>173</v>
      </c>
      <c r="F242">
        <v>149</v>
      </c>
      <c r="G242">
        <v>145</v>
      </c>
      <c r="H242">
        <v>150</v>
      </c>
      <c r="I242">
        <v>208</v>
      </c>
      <c r="J242">
        <v>176</v>
      </c>
      <c r="K242">
        <v>235</v>
      </c>
      <c r="L242">
        <v>190</v>
      </c>
      <c r="M242">
        <v>241</v>
      </c>
      <c r="N242">
        <v>190</v>
      </c>
      <c r="O242" s="19">
        <f>ROUND(AVERAGE(C242:N242,T242:U242),0)</f>
        <v>190</v>
      </c>
      <c r="P242" s="19">
        <f t="shared" si="39"/>
        <v>30.86</v>
      </c>
      <c r="R242" s="25">
        <f t="shared" si="47"/>
        <v>-93</v>
      </c>
      <c r="S242">
        <f t="shared" si="48"/>
        <v>0.67137809187279152</v>
      </c>
      <c r="T242">
        <v>187</v>
      </c>
      <c r="U242">
        <v>179</v>
      </c>
      <c r="W242" s="36"/>
      <c r="X242" s="36"/>
    </row>
    <row r="243" spans="1:24" x14ac:dyDescent="0.25">
      <c r="A243" s="13">
        <v>91</v>
      </c>
      <c r="B243" s="21">
        <v>46068</v>
      </c>
      <c r="C243">
        <v>47</v>
      </c>
      <c r="D243">
        <v>38</v>
      </c>
      <c r="E243">
        <v>46</v>
      </c>
      <c r="F243">
        <v>35</v>
      </c>
      <c r="G243">
        <v>49</v>
      </c>
      <c r="H243">
        <v>38</v>
      </c>
      <c r="I243">
        <v>45</v>
      </c>
      <c r="J243">
        <v>42</v>
      </c>
      <c r="K243">
        <v>46</v>
      </c>
      <c r="L243">
        <v>46</v>
      </c>
      <c r="M243">
        <v>46</v>
      </c>
      <c r="N243">
        <v>44</v>
      </c>
      <c r="O243" s="19">
        <f t="shared" si="38"/>
        <v>44</v>
      </c>
      <c r="P243" s="19">
        <f t="shared" si="39"/>
        <v>4.17</v>
      </c>
      <c r="R243" s="25">
        <f t="shared" si="47"/>
        <v>-47</v>
      </c>
      <c r="S243">
        <f t="shared" si="48"/>
        <v>0.48351648351648352</v>
      </c>
      <c r="T243">
        <v>50</v>
      </c>
      <c r="U243">
        <v>44</v>
      </c>
      <c r="W243" s="36"/>
      <c r="X243" s="36"/>
    </row>
    <row r="244" spans="1:24" x14ac:dyDescent="0.25">
      <c r="A244" s="13">
        <v>35</v>
      </c>
      <c r="B244" s="21">
        <v>46069</v>
      </c>
      <c r="C244">
        <v>47</v>
      </c>
      <c r="D244">
        <v>42</v>
      </c>
      <c r="E244">
        <v>49</v>
      </c>
      <c r="F244">
        <v>32</v>
      </c>
      <c r="G244">
        <v>49</v>
      </c>
      <c r="H244">
        <v>28</v>
      </c>
      <c r="I244">
        <v>54</v>
      </c>
      <c r="J244">
        <v>39</v>
      </c>
      <c r="K244">
        <v>52</v>
      </c>
      <c r="L244">
        <v>50</v>
      </c>
      <c r="M244">
        <v>56</v>
      </c>
      <c r="N244">
        <v>45</v>
      </c>
      <c r="O244" s="19">
        <f t="shared" si="38"/>
        <v>46</v>
      </c>
      <c r="P244" s="19">
        <f t="shared" si="39"/>
        <v>8.1</v>
      </c>
      <c r="R244" s="25">
        <f t="shared" si="47"/>
        <v>11</v>
      </c>
      <c r="S244">
        <f t="shared" si="48"/>
        <v>1.3142857142857143</v>
      </c>
      <c r="T244">
        <v>54</v>
      </c>
      <c r="U244">
        <v>40</v>
      </c>
      <c r="W244" s="36"/>
      <c r="X244" s="36"/>
    </row>
    <row r="245" spans="1:24" x14ac:dyDescent="0.25">
      <c r="A245" s="13">
        <v>79</v>
      </c>
      <c r="B245" s="21">
        <v>46070</v>
      </c>
      <c r="C245">
        <v>74</v>
      </c>
      <c r="D245">
        <v>44</v>
      </c>
      <c r="E245">
        <v>59</v>
      </c>
      <c r="F245">
        <v>40</v>
      </c>
      <c r="G245">
        <v>44</v>
      </c>
      <c r="H245">
        <v>28</v>
      </c>
      <c r="I245">
        <v>65</v>
      </c>
      <c r="J245">
        <v>44</v>
      </c>
      <c r="K245">
        <v>60</v>
      </c>
      <c r="L245">
        <v>46</v>
      </c>
      <c r="M245">
        <v>61</v>
      </c>
      <c r="N245">
        <v>46</v>
      </c>
      <c r="O245" s="19">
        <f>ROUND(AVERAGE(C245:N245,T245:U245),0)</f>
        <v>50</v>
      </c>
      <c r="P245" s="19">
        <f t="shared" si="39"/>
        <v>11.68</v>
      </c>
      <c r="R245" s="25">
        <f t="shared" ref="R245:R258" si="49">O245-A245</f>
        <v>-29</v>
      </c>
      <c r="S245">
        <f t="shared" ref="S245:S258" si="50">O245/A245</f>
        <v>0.63291139240506333</v>
      </c>
      <c r="T245">
        <v>51</v>
      </c>
      <c r="U245">
        <v>41</v>
      </c>
      <c r="W245" s="36"/>
      <c r="X245" s="36"/>
    </row>
    <row r="246" spans="1:24" x14ac:dyDescent="0.25">
      <c r="A246" s="13">
        <v>29</v>
      </c>
      <c r="B246" s="21">
        <v>46071</v>
      </c>
      <c r="C246">
        <v>48</v>
      </c>
      <c r="D246">
        <v>54</v>
      </c>
      <c r="E246">
        <v>66</v>
      </c>
      <c r="F246">
        <v>49</v>
      </c>
      <c r="G246">
        <v>43</v>
      </c>
      <c r="H246">
        <v>35</v>
      </c>
      <c r="I246">
        <v>47</v>
      </c>
      <c r="J246">
        <v>51</v>
      </c>
      <c r="K246">
        <v>55</v>
      </c>
      <c r="L246">
        <v>51</v>
      </c>
      <c r="M246">
        <v>46</v>
      </c>
      <c r="N246">
        <v>49</v>
      </c>
      <c r="O246" s="19">
        <f t="shared" si="38"/>
        <v>50</v>
      </c>
      <c r="P246" s="19">
        <f t="shared" si="39"/>
        <v>6.69</v>
      </c>
      <c r="R246" s="25">
        <f t="shared" si="49"/>
        <v>21</v>
      </c>
      <c r="S246">
        <f t="shared" si="50"/>
        <v>1.7241379310344827</v>
      </c>
      <c r="T246">
        <v>54</v>
      </c>
      <c r="U246">
        <v>47</v>
      </c>
      <c r="W246" s="36"/>
    </row>
    <row r="247" spans="1:24" x14ac:dyDescent="0.25">
      <c r="A247" s="13">
        <v>38</v>
      </c>
      <c r="B247" s="21">
        <v>46072</v>
      </c>
      <c r="C247">
        <v>48</v>
      </c>
      <c r="D247">
        <v>52</v>
      </c>
      <c r="E247">
        <v>59</v>
      </c>
      <c r="F247">
        <v>54</v>
      </c>
      <c r="G247">
        <v>56</v>
      </c>
      <c r="H247">
        <v>44</v>
      </c>
      <c r="I247">
        <v>61</v>
      </c>
      <c r="J247">
        <v>54</v>
      </c>
      <c r="K247">
        <v>52</v>
      </c>
      <c r="L247">
        <v>49</v>
      </c>
      <c r="M247">
        <v>62</v>
      </c>
      <c r="N247">
        <v>49</v>
      </c>
      <c r="O247" s="19">
        <f t="shared" si="38"/>
        <v>54</v>
      </c>
      <c r="P247" s="19">
        <f t="shared" si="39"/>
        <v>5.56</v>
      </c>
      <c r="R247" s="25">
        <f t="shared" si="49"/>
        <v>16</v>
      </c>
      <c r="S247">
        <f t="shared" si="50"/>
        <v>1.4210526315789473</v>
      </c>
      <c r="T247">
        <v>63</v>
      </c>
      <c r="U247">
        <v>50</v>
      </c>
      <c r="W247" s="36"/>
    </row>
    <row r="248" spans="1:24" x14ac:dyDescent="0.25">
      <c r="A248" s="13">
        <v>101</v>
      </c>
      <c r="B248" s="21">
        <v>46073</v>
      </c>
      <c r="C248">
        <v>97</v>
      </c>
      <c r="D248">
        <v>84</v>
      </c>
      <c r="E248">
        <v>118</v>
      </c>
      <c r="F248">
        <v>78</v>
      </c>
      <c r="G248">
        <v>74</v>
      </c>
      <c r="H248">
        <v>59</v>
      </c>
      <c r="I248">
        <v>118</v>
      </c>
      <c r="J248">
        <v>84</v>
      </c>
      <c r="K248">
        <v>98</v>
      </c>
      <c r="L248">
        <v>96</v>
      </c>
      <c r="M248">
        <v>104</v>
      </c>
      <c r="N248">
        <v>84</v>
      </c>
      <c r="O248" s="19">
        <f t="shared" si="38"/>
        <v>91</v>
      </c>
      <c r="P248" s="19">
        <f t="shared" si="39"/>
        <v>16</v>
      </c>
      <c r="R248" s="25">
        <f t="shared" si="49"/>
        <v>-10</v>
      </c>
      <c r="S248">
        <f t="shared" si="50"/>
        <v>0.90099009900990101</v>
      </c>
      <c r="T248">
        <v>98</v>
      </c>
      <c r="U248">
        <v>78</v>
      </c>
      <c r="W248" s="36"/>
    </row>
    <row r="249" spans="1:24" x14ac:dyDescent="0.25">
      <c r="A249" s="13">
        <v>183</v>
      </c>
      <c r="B249" s="21">
        <v>46074</v>
      </c>
      <c r="C249">
        <v>90</v>
      </c>
      <c r="D249">
        <v>132</v>
      </c>
      <c r="E249">
        <v>103</v>
      </c>
      <c r="F249">
        <v>130</v>
      </c>
      <c r="G249">
        <v>109</v>
      </c>
      <c r="H249">
        <v>106</v>
      </c>
      <c r="I249">
        <v>120</v>
      </c>
      <c r="J249">
        <v>139</v>
      </c>
      <c r="K249">
        <v>117</v>
      </c>
      <c r="L249">
        <v>133</v>
      </c>
      <c r="M249">
        <v>85</v>
      </c>
      <c r="N249">
        <v>126</v>
      </c>
      <c r="O249" s="19">
        <f t="shared" si="38"/>
        <v>115</v>
      </c>
      <c r="P249" s="19">
        <f t="shared" si="39"/>
        <v>16.86</v>
      </c>
      <c r="R249" s="25">
        <f t="shared" si="49"/>
        <v>-68</v>
      </c>
      <c r="S249">
        <f t="shared" si="50"/>
        <v>0.62841530054644812</v>
      </c>
      <c r="T249">
        <v>93</v>
      </c>
      <c r="U249">
        <v>127</v>
      </c>
      <c r="W249" s="36"/>
    </row>
    <row r="250" spans="1:24" x14ac:dyDescent="0.25">
      <c r="A250" s="13">
        <v>66</v>
      </c>
      <c r="B250" s="21">
        <v>46075</v>
      </c>
      <c r="C250">
        <v>45</v>
      </c>
      <c r="D250">
        <v>40</v>
      </c>
      <c r="E250">
        <v>46</v>
      </c>
      <c r="F250">
        <v>37</v>
      </c>
      <c r="G250">
        <v>40</v>
      </c>
      <c r="H250">
        <v>27</v>
      </c>
      <c r="I250">
        <v>45</v>
      </c>
      <c r="J250">
        <v>45</v>
      </c>
      <c r="K250">
        <v>47</v>
      </c>
      <c r="L250">
        <v>42</v>
      </c>
      <c r="M250">
        <v>46</v>
      </c>
      <c r="N250">
        <v>43</v>
      </c>
      <c r="O250" s="19">
        <f t="shared" si="38"/>
        <v>42</v>
      </c>
      <c r="P250" s="19">
        <f t="shared" si="39"/>
        <v>5.19</v>
      </c>
      <c r="R250" s="25">
        <f t="shared" si="49"/>
        <v>-24</v>
      </c>
      <c r="S250">
        <f t="shared" si="50"/>
        <v>0.63636363636363635</v>
      </c>
      <c r="T250">
        <v>47</v>
      </c>
      <c r="U250">
        <v>39</v>
      </c>
      <c r="W250" s="36"/>
    </row>
    <row r="251" spans="1:24" x14ac:dyDescent="0.25">
      <c r="A251" s="13">
        <v>36</v>
      </c>
      <c r="B251" s="21">
        <v>46076</v>
      </c>
      <c r="C251">
        <v>45</v>
      </c>
      <c r="D251">
        <v>40</v>
      </c>
      <c r="E251">
        <v>59</v>
      </c>
      <c r="F251">
        <v>38</v>
      </c>
      <c r="G251">
        <v>39</v>
      </c>
      <c r="H251">
        <v>26</v>
      </c>
      <c r="I251">
        <v>54</v>
      </c>
      <c r="J251">
        <v>41</v>
      </c>
      <c r="K251">
        <v>47</v>
      </c>
      <c r="L251">
        <v>44</v>
      </c>
      <c r="M251">
        <v>46</v>
      </c>
      <c r="N251">
        <v>44</v>
      </c>
      <c r="O251" s="19">
        <f t="shared" si="38"/>
        <v>44</v>
      </c>
      <c r="P251" s="19">
        <f t="shared" si="39"/>
        <v>7.42</v>
      </c>
      <c r="R251" s="25">
        <f t="shared" si="49"/>
        <v>8</v>
      </c>
      <c r="S251">
        <f t="shared" si="50"/>
        <v>1.2222222222222223</v>
      </c>
      <c r="T251">
        <v>47</v>
      </c>
      <c r="U251">
        <v>40</v>
      </c>
      <c r="W251" s="36"/>
    </row>
    <row r="252" spans="1:24" x14ac:dyDescent="0.25">
      <c r="A252" s="13">
        <v>45</v>
      </c>
      <c r="B252" s="21">
        <v>46077</v>
      </c>
      <c r="C252">
        <v>59</v>
      </c>
      <c r="D252">
        <v>42</v>
      </c>
      <c r="E252">
        <v>48</v>
      </c>
      <c r="F252">
        <v>41</v>
      </c>
      <c r="G252">
        <v>39</v>
      </c>
      <c r="H252">
        <v>28</v>
      </c>
      <c r="I252">
        <v>63</v>
      </c>
      <c r="J252">
        <v>41</v>
      </c>
      <c r="K252">
        <v>45</v>
      </c>
      <c r="L252">
        <v>44</v>
      </c>
      <c r="M252">
        <v>52</v>
      </c>
      <c r="N252">
        <v>44</v>
      </c>
      <c r="O252" s="19">
        <f t="shared" si="38"/>
        <v>45</v>
      </c>
      <c r="P252" s="19">
        <f t="shared" si="39"/>
        <v>8.34</v>
      </c>
      <c r="R252" s="25">
        <f t="shared" si="49"/>
        <v>0</v>
      </c>
      <c r="S252">
        <f t="shared" si="50"/>
        <v>1</v>
      </c>
      <c r="T252">
        <v>47</v>
      </c>
      <c r="U252">
        <v>40</v>
      </c>
      <c r="W252" s="36"/>
    </row>
    <row r="253" spans="1:24" x14ac:dyDescent="0.25">
      <c r="A253" s="13">
        <v>64</v>
      </c>
      <c r="B253" s="21">
        <v>46078</v>
      </c>
      <c r="C253">
        <v>47</v>
      </c>
      <c r="D253">
        <v>41</v>
      </c>
      <c r="E253">
        <v>54</v>
      </c>
      <c r="F253">
        <v>43</v>
      </c>
      <c r="G253">
        <v>36</v>
      </c>
      <c r="H253">
        <v>31</v>
      </c>
      <c r="I253">
        <v>53</v>
      </c>
      <c r="J253">
        <v>41</v>
      </c>
      <c r="K253">
        <v>52</v>
      </c>
      <c r="L253">
        <v>43</v>
      </c>
      <c r="M253">
        <v>48</v>
      </c>
      <c r="N253">
        <v>44</v>
      </c>
      <c r="O253" s="19">
        <f t="shared" si="38"/>
        <v>45</v>
      </c>
      <c r="P253" s="19">
        <f t="shared" si="39"/>
        <v>6.39</v>
      </c>
      <c r="R253" s="25">
        <f t="shared" si="49"/>
        <v>-19</v>
      </c>
      <c r="S253">
        <f t="shared" si="50"/>
        <v>0.703125</v>
      </c>
      <c r="T253">
        <v>50</v>
      </c>
      <c r="U253">
        <v>40</v>
      </c>
      <c r="W253" s="36"/>
    </row>
    <row r="254" spans="1:24" x14ac:dyDescent="0.25">
      <c r="A254" s="13">
        <v>41</v>
      </c>
      <c r="B254" s="21">
        <v>46079</v>
      </c>
      <c r="C254">
        <v>66</v>
      </c>
      <c r="D254">
        <v>86</v>
      </c>
      <c r="E254">
        <v>70</v>
      </c>
      <c r="F254">
        <v>69</v>
      </c>
      <c r="G254">
        <v>63</v>
      </c>
      <c r="H254">
        <v>47</v>
      </c>
      <c r="I254">
        <v>61</v>
      </c>
      <c r="J254">
        <v>85</v>
      </c>
      <c r="K254">
        <v>85</v>
      </c>
      <c r="L254">
        <v>86</v>
      </c>
      <c r="M254">
        <v>79</v>
      </c>
      <c r="N254">
        <v>88</v>
      </c>
      <c r="O254" s="19">
        <f t="shared" si="38"/>
        <v>76</v>
      </c>
      <c r="P254" s="19">
        <f t="shared" si="39"/>
        <v>14.53</v>
      </c>
      <c r="R254" s="25">
        <f t="shared" si="49"/>
        <v>35</v>
      </c>
      <c r="S254">
        <f t="shared" si="50"/>
        <v>1.8536585365853659</v>
      </c>
      <c r="T254">
        <v>108</v>
      </c>
      <c r="U254">
        <v>76</v>
      </c>
      <c r="W254" s="36"/>
    </row>
    <row r="255" spans="1:24" x14ac:dyDescent="0.25">
      <c r="A255" s="13">
        <v>90</v>
      </c>
      <c r="B255" s="21">
        <v>46080</v>
      </c>
      <c r="C255">
        <v>99</v>
      </c>
      <c r="D255">
        <v>74</v>
      </c>
      <c r="E255">
        <v>113</v>
      </c>
      <c r="F255">
        <v>68</v>
      </c>
      <c r="G255">
        <v>70</v>
      </c>
      <c r="H255">
        <v>54</v>
      </c>
      <c r="I255">
        <v>121</v>
      </c>
      <c r="J255">
        <v>71</v>
      </c>
      <c r="K255">
        <v>82</v>
      </c>
      <c r="L255">
        <v>84</v>
      </c>
      <c r="M255">
        <v>102</v>
      </c>
      <c r="N255">
        <v>74</v>
      </c>
      <c r="O255" s="19">
        <f t="shared" si="38"/>
        <v>84</v>
      </c>
      <c r="P255" s="19">
        <f t="shared" si="39"/>
        <v>18.28</v>
      </c>
      <c r="R255" s="25">
        <f t="shared" si="49"/>
        <v>-6</v>
      </c>
      <c r="S255">
        <f t="shared" si="50"/>
        <v>0.93333333333333335</v>
      </c>
      <c r="T255">
        <v>91</v>
      </c>
      <c r="U255">
        <v>72</v>
      </c>
      <c r="W255" s="36"/>
    </row>
    <row r="256" spans="1:24" x14ac:dyDescent="0.25">
      <c r="A256" s="13">
        <v>137</v>
      </c>
      <c r="B256" s="21">
        <v>46081</v>
      </c>
      <c r="C256">
        <v>155</v>
      </c>
      <c r="D256">
        <v>115</v>
      </c>
      <c r="E256">
        <v>136</v>
      </c>
      <c r="F256">
        <v>119</v>
      </c>
      <c r="G256">
        <v>95</v>
      </c>
      <c r="H256">
        <v>98</v>
      </c>
      <c r="I256">
        <v>147</v>
      </c>
      <c r="J256">
        <v>127</v>
      </c>
      <c r="K256">
        <v>149</v>
      </c>
      <c r="L256">
        <v>116</v>
      </c>
      <c r="M256">
        <v>135</v>
      </c>
      <c r="N256">
        <v>112</v>
      </c>
      <c r="O256" s="19">
        <f t="shared" si="38"/>
        <v>127</v>
      </c>
      <c r="P256" s="19">
        <f t="shared" si="39"/>
        <v>20.21</v>
      </c>
      <c r="R256" s="25">
        <f t="shared" si="49"/>
        <v>-10</v>
      </c>
      <c r="S256">
        <f t="shared" si="50"/>
        <v>0.92700729927007297</v>
      </c>
      <c r="T256">
        <v>164</v>
      </c>
      <c r="U256">
        <v>116</v>
      </c>
      <c r="W256" s="36"/>
    </row>
    <row r="257" spans="1:23" x14ac:dyDescent="0.25">
      <c r="A257" s="13">
        <v>43</v>
      </c>
      <c r="B257" s="21">
        <v>46082</v>
      </c>
      <c r="C257">
        <v>51</v>
      </c>
      <c r="D257">
        <v>38</v>
      </c>
      <c r="E257">
        <v>40</v>
      </c>
      <c r="F257">
        <v>30</v>
      </c>
      <c r="G257">
        <v>44</v>
      </c>
      <c r="H257">
        <v>29</v>
      </c>
      <c r="I257">
        <v>52</v>
      </c>
      <c r="J257">
        <v>35</v>
      </c>
      <c r="K257">
        <v>54</v>
      </c>
      <c r="L257">
        <v>40</v>
      </c>
      <c r="M257">
        <v>46</v>
      </c>
      <c r="N257">
        <v>38</v>
      </c>
      <c r="O257" s="19">
        <f t="shared" si="38"/>
        <v>42</v>
      </c>
      <c r="P257" s="19">
        <f t="shared" si="39"/>
        <v>7.99</v>
      </c>
      <c r="R257" s="25">
        <f t="shared" si="49"/>
        <v>-1</v>
      </c>
      <c r="S257">
        <f t="shared" si="50"/>
        <v>0.97674418604651159</v>
      </c>
      <c r="T257">
        <v>52</v>
      </c>
      <c r="U257">
        <v>35</v>
      </c>
      <c r="W257" s="36"/>
    </row>
    <row r="258" spans="1:23" x14ac:dyDescent="0.25">
      <c r="A258" s="13">
        <v>39</v>
      </c>
      <c r="B258" s="21">
        <v>46083</v>
      </c>
      <c r="C258">
        <v>46</v>
      </c>
      <c r="D258">
        <v>42</v>
      </c>
      <c r="E258">
        <v>55</v>
      </c>
      <c r="F258">
        <v>35</v>
      </c>
      <c r="G258">
        <v>38</v>
      </c>
      <c r="H258">
        <v>27</v>
      </c>
      <c r="I258">
        <v>61</v>
      </c>
      <c r="J258">
        <v>40</v>
      </c>
      <c r="K258">
        <v>74</v>
      </c>
      <c r="L258">
        <v>43</v>
      </c>
      <c r="M258">
        <v>53</v>
      </c>
      <c r="N258">
        <v>44</v>
      </c>
      <c r="O258" s="19">
        <f t="shared" si="38"/>
        <v>47</v>
      </c>
      <c r="P258" s="19">
        <f t="shared" si="39"/>
        <v>11.64</v>
      </c>
      <c r="R258" s="25">
        <f t="shared" si="49"/>
        <v>8</v>
      </c>
      <c r="S258">
        <f t="shared" si="50"/>
        <v>1.2051282051282051</v>
      </c>
      <c r="T258">
        <v>57</v>
      </c>
      <c r="U258">
        <v>40</v>
      </c>
      <c r="W258" s="36"/>
    </row>
    <row r="259" spans="1:23" x14ac:dyDescent="0.25">
      <c r="A259" s="13">
        <v>46</v>
      </c>
      <c r="B259" s="21">
        <v>46084</v>
      </c>
      <c r="C259">
        <v>42</v>
      </c>
      <c r="D259">
        <v>46</v>
      </c>
      <c r="E259">
        <v>46</v>
      </c>
      <c r="F259">
        <v>49</v>
      </c>
      <c r="G259">
        <v>42</v>
      </c>
      <c r="H259">
        <v>30</v>
      </c>
      <c r="I259">
        <v>50</v>
      </c>
      <c r="J259">
        <v>43</v>
      </c>
      <c r="K259">
        <v>51</v>
      </c>
      <c r="L259">
        <v>43</v>
      </c>
      <c r="M259">
        <v>43</v>
      </c>
      <c r="N259">
        <v>43</v>
      </c>
      <c r="O259" s="19">
        <f t="shared" si="38"/>
        <v>45</v>
      </c>
      <c r="P259" s="19">
        <f t="shared" si="39"/>
        <v>5.62</v>
      </c>
      <c r="R259" s="25">
        <f t="shared" ref="R259:R271" si="51">O259-A259</f>
        <v>-1</v>
      </c>
      <c r="S259">
        <f t="shared" ref="S259:S271" si="52">O259/A259</f>
        <v>0.97826086956521741</v>
      </c>
      <c r="T259">
        <v>55</v>
      </c>
      <c r="U259">
        <v>47</v>
      </c>
      <c r="W259" s="36"/>
    </row>
    <row r="260" spans="1:23" x14ac:dyDescent="0.25">
      <c r="A260" s="13">
        <v>21</v>
      </c>
      <c r="B260" s="21">
        <v>46085</v>
      </c>
      <c r="C260">
        <v>46</v>
      </c>
      <c r="D260">
        <v>38</v>
      </c>
      <c r="E260">
        <v>46</v>
      </c>
      <c r="F260">
        <v>42</v>
      </c>
      <c r="G260">
        <v>34</v>
      </c>
      <c r="H260">
        <v>34</v>
      </c>
      <c r="I260">
        <v>49</v>
      </c>
      <c r="J260">
        <v>39</v>
      </c>
      <c r="K260">
        <v>40</v>
      </c>
      <c r="L260">
        <v>42</v>
      </c>
      <c r="M260">
        <v>42</v>
      </c>
      <c r="N260">
        <v>39</v>
      </c>
      <c r="O260" s="19">
        <f t="shared" si="38"/>
        <v>42</v>
      </c>
      <c r="P260" s="19">
        <f t="shared" si="39"/>
        <v>4.47</v>
      </c>
      <c r="R260" s="25">
        <f t="shared" si="51"/>
        <v>21</v>
      </c>
      <c r="S260">
        <f t="shared" si="52"/>
        <v>2</v>
      </c>
      <c r="T260">
        <v>48</v>
      </c>
      <c r="U260">
        <v>42</v>
      </c>
      <c r="W260" s="36"/>
    </row>
    <row r="261" spans="1:23" x14ac:dyDescent="0.25">
      <c r="A261" s="13">
        <v>40</v>
      </c>
      <c r="B261" s="21">
        <v>46086</v>
      </c>
      <c r="C261">
        <v>52</v>
      </c>
      <c r="D261">
        <v>41</v>
      </c>
      <c r="E261">
        <v>48</v>
      </c>
      <c r="F261">
        <v>49</v>
      </c>
      <c r="G261">
        <v>38</v>
      </c>
      <c r="H261">
        <v>53</v>
      </c>
      <c r="I261">
        <v>54</v>
      </c>
      <c r="J261">
        <v>43</v>
      </c>
      <c r="K261">
        <v>47</v>
      </c>
      <c r="L261">
        <v>44</v>
      </c>
      <c r="M261">
        <v>44</v>
      </c>
      <c r="N261">
        <v>40</v>
      </c>
      <c r="O261" s="19">
        <f t="shared" si="38"/>
        <v>47</v>
      </c>
      <c r="P261" s="19">
        <f t="shared" si="39"/>
        <v>4.79</v>
      </c>
      <c r="R261" s="25">
        <f t="shared" si="51"/>
        <v>7</v>
      </c>
      <c r="S261">
        <f t="shared" si="52"/>
        <v>1.175</v>
      </c>
      <c r="T261">
        <v>50</v>
      </c>
      <c r="U261">
        <v>48</v>
      </c>
      <c r="W261" s="36"/>
    </row>
    <row r="262" spans="1:23" x14ac:dyDescent="0.25">
      <c r="A262" s="13">
        <v>120</v>
      </c>
      <c r="B262" s="21">
        <v>46087</v>
      </c>
      <c r="C262">
        <v>100</v>
      </c>
      <c r="D262">
        <v>88</v>
      </c>
      <c r="E262">
        <v>86</v>
      </c>
      <c r="F262">
        <v>84</v>
      </c>
      <c r="G262">
        <v>71</v>
      </c>
      <c r="H262">
        <v>69</v>
      </c>
      <c r="I262">
        <v>89</v>
      </c>
      <c r="J262">
        <v>75</v>
      </c>
      <c r="K262">
        <v>100</v>
      </c>
      <c r="L262">
        <v>94</v>
      </c>
      <c r="M262">
        <v>86</v>
      </c>
      <c r="N262">
        <v>90</v>
      </c>
      <c r="O262" s="19">
        <f t="shared" ref="O262:O263" si="53">ROUND(AVERAGE(C262:N262,T262:U262),0)</f>
        <v>88</v>
      </c>
      <c r="P262" s="19">
        <f t="shared" ref="P262:P263" si="54">ROUND(_xlfn.STDEV.P(C262:N262,T262:U262),2)</f>
        <v>11.19</v>
      </c>
      <c r="R262" s="25">
        <f t="shared" si="51"/>
        <v>-32</v>
      </c>
      <c r="S262">
        <f t="shared" si="52"/>
        <v>0.73333333333333328</v>
      </c>
      <c r="T262">
        <v>112</v>
      </c>
      <c r="U262">
        <v>86</v>
      </c>
      <c r="W262" s="36"/>
    </row>
    <row r="263" spans="1:23" x14ac:dyDescent="0.25">
      <c r="A263" s="13">
        <v>157</v>
      </c>
      <c r="B263" s="21">
        <v>46088</v>
      </c>
      <c r="C263">
        <v>174</v>
      </c>
      <c r="D263">
        <v>160</v>
      </c>
      <c r="E263">
        <v>183</v>
      </c>
      <c r="F263">
        <v>135</v>
      </c>
      <c r="G263">
        <v>140</v>
      </c>
      <c r="H263">
        <v>145</v>
      </c>
      <c r="I263">
        <v>175</v>
      </c>
      <c r="J263">
        <v>128</v>
      </c>
      <c r="K263">
        <v>181</v>
      </c>
      <c r="L263">
        <v>153</v>
      </c>
      <c r="M263">
        <v>142</v>
      </c>
      <c r="N263">
        <v>147</v>
      </c>
      <c r="O263" s="19">
        <f t="shared" si="53"/>
        <v>156</v>
      </c>
      <c r="P263" s="19">
        <f t="shared" si="54"/>
        <v>17.190000000000001</v>
      </c>
      <c r="R263" s="25">
        <f t="shared" si="51"/>
        <v>-1</v>
      </c>
      <c r="S263">
        <f t="shared" si="52"/>
        <v>0.99363057324840764</v>
      </c>
      <c r="T263">
        <v>169</v>
      </c>
      <c r="U263">
        <v>151</v>
      </c>
      <c r="W263" s="36"/>
    </row>
    <row r="264" spans="1:23" x14ac:dyDescent="0.25">
      <c r="A264" s="13">
        <v>54</v>
      </c>
      <c r="B264" s="21">
        <v>46089</v>
      </c>
      <c r="C264">
        <v>40</v>
      </c>
      <c r="D264">
        <v>41</v>
      </c>
      <c r="E264">
        <v>50</v>
      </c>
      <c r="F264">
        <v>38</v>
      </c>
      <c r="G264">
        <v>52</v>
      </c>
      <c r="H264">
        <v>26</v>
      </c>
      <c r="I264">
        <v>48</v>
      </c>
      <c r="J264">
        <v>39</v>
      </c>
      <c r="K264">
        <v>47</v>
      </c>
      <c r="L264">
        <v>41</v>
      </c>
      <c r="M264">
        <v>39</v>
      </c>
      <c r="N264">
        <v>37</v>
      </c>
      <c r="O264" s="19">
        <f t="shared" ref="O264" si="55">ROUND(AVERAGE(C264:N264,T264:U264),0)</f>
        <v>42</v>
      </c>
      <c r="P264" s="19">
        <f t="shared" ref="P264" si="56">ROUND(_xlfn.STDEV.P(C264:N264,T264:U264),2)</f>
        <v>6.41</v>
      </c>
      <c r="R264" s="25">
        <f t="shared" si="51"/>
        <v>-12</v>
      </c>
      <c r="S264">
        <f t="shared" si="52"/>
        <v>0.77777777777777779</v>
      </c>
      <c r="T264">
        <v>46</v>
      </c>
      <c r="U264">
        <v>38</v>
      </c>
    </row>
    <row r="265" spans="1:23" x14ac:dyDescent="0.25">
      <c r="A265" s="13">
        <v>28</v>
      </c>
      <c r="B265" s="21">
        <v>46090</v>
      </c>
      <c r="C265">
        <v>61</v>
      </c>
      <c r="D265">
        <v>47</v>
      </c>
      <c r="E265">
        <v>55</v>
      </c>
      <c r="F265">
        <v>48</v>
      </c>
      <c r="G265">
        <v>52</v>
      </c>
      <c r="H265">
        <v>41</v>
      </c>
      <c r="I265">
        <v>58</v>
      </c>
      <c r="J265">
        <v>43</v>
      </c>
      <c r="K265">
        <v>60</v>
      </c>
      <c r="L265">
        <v>47</v>
      </c>
      <c r="M265">
        <v>47</v>
      </c>
      <c r="N265">
        <v>47</v>
      </c>
      <c r="O265" s="19">
        <f t="shared" ref="O265:O289" si="57">ROUND(AVERAGE(C265:N265,T265:U265),0)</f>
        <v>50</v>
      </c>
      <c r="P265" s="19">
        <f t="shared" ref="P265:P289" si="58">ROUND(_xlfn.STDEV.P(C265:N265,T265:U265),2)</f>
        <v>5.98</v>
      </c>
      <c r="R265" s="25">
        <f t="shared" si="51"/>
        <v>22</v>
      </c>
      <c r="S265">
        <f t="shared" si="52"/>
        <v>1.7857142857142858</v>
      </c>
      <c r="T265">
        <v>49</v>
      </c>
      <c r="U265">
        <v>46</v>
      </c>
    </row>
    <row r="266" spans="1:23" x14ac:dyDescent="0.25">
      <c r="A266" s="13">
        <v>33</v>
      </c>
      <c r="B266" s="21">
        <v>46091</v>
      </c>
      <c r="C266">
        <v>58</v>
      </c>
      <c r="D266">
        <v>52</v>
      </c>
      <c r="E266">
        <v>57</v>
      </c>
      <c r="F266">
        <v>58</v>
      </c>
      <c r="G266">
        <v>51</v>
      </c>
      <c r="H266">
        <v>49</v>
      </c>
      <c r="I266">
        <v>53</v>
      </c>
      <c r="J266">
        <v>48</v>
      </c>
      <c r="K266">
        <v>60</v>
      </c>
      <c r="L266">
        <v>54</v>
      </c>
      <c r="M266">
        <v>51</v>
      </c>
      <c r="N266">
        <v>45</v>
      </c>
      <c r="O266" s="19">
        <f t="shared" si="57"/>
        <v>53</v>
      </c>
      <c r="P266" s="19">
        <f t="shared" si="58"/>
        <v>4.07</v>
      </c>
      <c r="R266" s="25">
        <f t="shared" si="51"/>
        <v>20</v>
      </c>
      <c r="S266">
        <f t="shared" si="52"/>
        <v>1.606060606060606</v>
      </c>
      <c r="T266">
        <v>54</v>
      </c>
      <c r="U266">
        <v>52</v>
      </c>
    </row>
    <row r="267" spans="1:23" x14ac:dyDescent="0.25">
      <c r="A267" s="13">
        <v>31</v>
      </c>
      <c r="B267" s="21">
        <v>46092</v>
      </c>
      <c r="C267">
        <v>50</v>
      </c>
      <c r="D267">
        <v>43</v>
      </c>
      <c r="E267">
        <v>51</v>
      </c>
      <c r="F267">
        <v>43</v>
      </c>
      <c r="G267">
        <v>44</v>
      </c>
      <c r="H267">
        <v>42</v>
      </c>
      <c r="I267">
        <v>46</v>
      </c>
      <c r="J267">
        <v>42</v>
      </c>
      <c r="K267">
        <v>49</v>
      </c>
      <c r="L267">
        <v>42</v>
      </c>
      <c r="M267">
        <v>45</v>
      </c>
      <c r="N267">
        <v>42</v>
      </c>
      <c r="O267" s="19">
        <f t="shared" si="57"/>
        <v>45</v>
      </c>
      <c r="P267" s="19">
        <f t="shared" si="58"/>
        <v>3.29</v>
      </c>
      <c r="R267" s="25">
        <f t="shared" si="51"/>
        <v>14</v>
      </c>
      <c r="S267">
        <f t="shared" si="52"/>
        <v>1.4516129032258065</v>
      </c>
      <c r="T267">
        <v>50</v>
      </c>
      <c r="U267">
        <v>43</v>
      </c>
    </row>
    <row r="268" spans="1:23" x14ac:dyDescent="0.25">
      <c r="A268" s="13">
        <v>34</v>
      </c>
      <c r="B268" s="21">
        <v>46093</v>
      </c>
      <c r="C268">
        <v>56</v>
      </c>
      <c r="D268">
        <v>36</v>
      </c>
      <c r="E268">
        <v>49</v>
      </c>
      <c r="F268">
        <v>49</v>
      </c>
      <c r="G268">
        <v>43</v>
      </c>
      <c r="H268">
        <v>53</v>
      </c>
      <c r="I268">
        <v>56</v>
      </c>
      <c r="J268">
        <v>44</v>
      </c>
      <c r="K268">
        <v>53</v>
      </c>
      <c r="L268">
        <v>36</v>
      </c>
      <c r="M268">
        <v>42</v>
      </c>
      <c r="N268">
        <v>40</v>
      </c>
      <c r="O268" s="19">
        <f t="shared" si="57"/>
        <v>47</v>
      </c>
      <c r="P268" s="19">
        <f t="shared" si="58"/>
        <v>7.2</v>
      </c>
      <c r="R268" s="25">
        <f t="shared" si="51"/>
        <v>13</v>
      </c>
      <c r="S268">
        <f t="shared" si="52"/>
        <v>1.3823529411764706</v>
      </c>
      <c r="T268">
        <v>59</v>
      </c>
      <c r="U268">
        <v>47</v>
      </c>
    </row>
    <row r="269" spans="1:23" x14ac:dyDescent="0.25">
      <c r="A269" s="13">
        <v>111</v>
      </c>
      <c r="B269" s="21">
        <v>46094</v>
      </c>
      <c r="C269">
        <v>79</v>
      </c>
      <c r="D269">
        <v>69</v>
      </c>
      <c r="E269">
        <v>87</v>
      </c>
      <c r="F269">
        <v>68</v>
      </c>
      <c r="G269">
        <v>72</v>
      </c>
      <c r="H269">
        <v>71</v>
      </c>
      <c r="I269">
        <v>85</v>
      </c>
      <c r="J269">
        <v>68</v>
      </c>
      <c r="K269">
        <v>77</v>
      </c>
      <c r="L269">
        <v>72</v>
      </c>
      <c r="M269">
        <v>65</v>
      </c>
      <c r="N269">
        <v>72</v>
      </c>
      <c r="O269" s="19">
        <f t="shared" si="57"/>
        <v>75</v>
      </c>
      <c r="P269" s="19">
        <f t="shared" si="58"/>
        <v>7.13</v>
      </c>
      <c r="R269" s="25">
        <f t="shared" si="51"/>
        <v>-36</v>
      </c>
      <c r="S269">
        <f t="shared" si="52"/>
        <v>0.67567567567567566</v>
      </c>
      <c r="T269">
        <v>88</v>
      </c>
      <c r="U269">
        <v>76</v>
      </c>
    </row>
    <row r="270" spans="1:23" x14ac:dyDescent="0.25">
      <c r="A270" s="13">
        <v>135</v>
      </c>
      <c r="B270" s="21">
        <v>46095</v>
      </c>
      <c r="C270">
        <v>134</v>
      </c>
      <c r="D270">
        <v>154</v>
      </c>
      <c r="E270">
        <v>131</v>
      </c>
      <c r="F270">
        <v>124</v>
      </c>
      <c r="G270">
        <v>122</v>
      </c>
      <c r="H270">
        <v>140</v>
      </c>
      <c r="I270">
        <v>136</v>
      </c>
      <c r="J270">
        <v>120</v>
      </c>
      <c r="K270">
        <v>140</v>
      </c>
      <c r="L270">
        <v>149</v>
      </c>
      <c r="M270">
        <v>135</v>
      </c>
      <c r="N270">
        <v>145</v>
      </c>
      <c r="O270" s="19">
        <f t="shared" si="57"/>
        <v>137</v>
      </c>
      <c r="P270" s="19">
        <f t="shared" si="58"/>
        <v>10.34</v>
      </c>
      <c r="R270" s="25">
        <f t="shared" si="51"/>
        <v>2</v>
      </c>
      <c r="S270">
        <f t="shared" si="52"/>
        <v>1.0148148148148148</v>
      </c>
      <c r="T270">
        <v>142</v>
      </c>
      <c r="U270">
        <v>152</v>
      </c>
    </row>
    <row r="271" spans="1:23" x14ac:dyDescent="0.25">
      <c r="A271" s="13">
        <v>32</v>
      </c>
      <c r="B271" s="21">
        <v>46096</v>
      </c>
      <c r="C271">
        <v>62</v>
      </c>
      <c r="D271">
        <v>46</v>
      </c>
      <c r="E271">
        <v>58</v>
      </c>
      <c r="F271">
        <v>54</v>
      </c>
      <c r="G271">
        <v>48</v>
      </c>
      <c r="H271">
        <v>31</v>
      </c>
      <c r="I271">
        <v>63</v>
      </c>
      <c r="J271">
        <v>48</v>
      </c>
      <c r="K271">
        <v>38</v>
      </c>
      <c r="L271">
        <v>56</v>
      </c>
      <c r="M271">
        <v>42</v>
      </c>
      <c r="N271">
        <v>47</v>
      </c>
      <c r="O271" s="19">
        <f t="shared" si="57"/>
        <v>54</v>
      </c>
      <c r="P271" s="19">
        <f t="shared" si="58"/>
        <v>16.43</v>
      </c>
      <c r="R271" s="25">
        <f t="shared" si="51"/>
        <v>22</v>
      </c>
      <c r="S271">
        <f t="shared" si="52"/>
        <v>1.6875</v>
      </c>
      <c r="T271">
        <v>104</v>
      </c>
      <c r="U271">
        <v>55</v>
      </c>
    </row>
    <row r="272" spans="1:23" x14ac:dyDescent="0.25">
      <c r="B272" s="21">
        <v>46097</v>
      </c>
      <c r="C272">
        <v>45</v>
      </c>
      <c r="D272">
        <v>40</v>
      </c>
      <c r="E272">
        <v>47</v>
      </c>
      <c r="F272">
        <v>41</v>
      </c>
      <c r="G272">
        <v>49</v>
      </c>
      <c r="H272">
        <v>42</v>
      </c>
      <c r="I272">
        <v>48</v>
      </c>
      <c r="J272">
        <v>38</v>
      </c>
      <c r="K272">
        <v>48</v>
      </c>
      <c r="L272">
        <v>43</v>
      </c>
      <c r="M272">
        <v>44</v>
      </c>
      <c r="N272">
        <v>40</v>
      </c>
      <c r="O272" s="19">
        <f t="shared" si="57"/>
        <v>43</v>
      </c>
      <c r="P272" s="19">
        <f t="shared" si="58"/>
        <v>3.7</v>
      </c>
      <c r="T272">
        <v>42</v>
      </c>
      <c r="U272">
        <v>37</v>
      </c>
    </row>
    <row r="273" spans="2:21" x14ac:dyDescent="0.25">
      <c r="B273" s="21">
        <v>46098</v>
      </c>
      <c r="C273">
        <v>43</v>
      </c>
      <c r="D273">
        <v>28</v>
      </c>
      <c r="E273">
        <v>47</v>
      </c>
      <c r="F273">
        <v>24</v>
      </c>
      <c r="G273">
        <v>35</v>
      </c>
      <c r="H273">
        <v>25</v>
      </c>
      <c r="I273">
        <v>49</v>
      </c>
      <c r="J273">
        <v>24</v>
      </c>
      <c r="K273">
        <v>44</v>
      </c>
      <c r="L273">
        <v>32</v>
      </c>
      <c r="M273">
        <v>42</v>
      </c>
      <c r="N273">
        <v>26</v>
      </c>
      <c r="O273" s="19">
        <f t="shared" si="57"/>
        <v>35</v>
      </c>
      <c r="P273" s="19">
        <f t="shared" si="58"/>
        <v>9.09</v>
      </c>
      <c r="T273">
        <v>40</v>
      </c>
      <c r="U273">
        <v>24</v>
      </c>
    </row>
    <row r="274" spans="2:21" x14ac:dyDescent="0.25">
      <c r="B274" s="21">
        <v>46099</v>
      </c>
      <c r="C274">
        <v>46</v>
      </c>
      <c r="D274">
        <v>42</v>
      </c>
      <c r="E274">
        <v>48</v>
      </c>
      <c r="F274">
        <v>43</v>
      </c>
      <c r="G274">
        <v>37</v>
      </c>
      <c r="H274">
        <v>45</v>
      </c>
      <c r="I274">
        <v>57</v>
      </c>
      <c r="J274">
        <v>44</v>
      </c>
      <c r="K274">
        <v>47</v>
      </c>
      <c r="L274">
        <v>45</v>
      </c>
      <c r="M274">
        <v>44</v>
      </c>
      <c r="N274">
        <v>41</v>
      </c>
      <c r="O274" s="19">
        <f t="shared" si="57"/>
        <v>45</v>
      </c>
      <c r="P274" s="19">
        <f t="shared" si="58"/>
        <v>4.37</v>
      </c>
      <c r="T274">
        <v>44</v>
      </c>
      <c r="U274">
        <v>41</v>
      </c>
    </row>
    <row r="275" spans="2:21" x14ac:dyDescent="0.25">
      <c r="B275" s="21">
        <v>46100</v>
      </c>
      <c r="C275">
        <v>59</v>
      </c>
      <c r="D275">
        <v>49</v>
      </c>
      <c r="E275">
        <v>59</v>
      </c>
      <c r="F275">
        <v>57</v>
      </c>
      <c r="G275">
        <v>43</v>
      </c>
      <c r="H275">
        <v>59</v>
      </c>
      <c r="I275">
        <v>62</v>
      </c>
      <c r="J275">
        <v>52</v>
      </c>
      <c r="K275">
        <v>55</v>
      </c>
      <c r="L275">
        <v>49</v>
      </c>
      <c r="M275">
        <v>67</v>
      </c>
      <c r="N275">
        <v>50</v>
      </c>
      <c r="O275" s="19">
        <f t="shared" si="57"/>
        <v>55</v>
      </c>
      <c r="P275" s="19">
        <f t="shared" si="58"/>
        <v>6.19</v>
      </c>
      <c r="T275">
        <v>60</v>
      </c>
      <c r="U275">
        <v>51</v>
      </c>
    </row>
    <row r="276" spans="2:21" x14ac:dyDescent="0.25">
      <c r="B276" s="21">
        <v>46101</v>
      </c>
      <c r="C276">
        <v>111</v>
      </c>
      <c r="D276">
        <v>110</v>
      </c>
      <c r="E276">
        <v>128</v>
      </c>
      <c r="F276">
        <v>111</v>
      </c>
      <c r="G276">
        <v>93</v>
      </c>
      <c r="H276">
        <v>102</v>
      </c>
      <c r="I276">
        <v>118</v>
      </c>
      <c r="J276">
        <v>106</v>
      </c>
      <c r="K276">
        <v>123</v>
      </c>
      <c r="L276">
        <v>126</v>
      </c>
      <c r="M276">
        <v>134</v>
      </c>
      <c r="N276">
        <v>112</v>
      </c>
      <c r="O276" s="19">
        <f t="shared" si="57"/>
        <v>116</v>
      </c>
      <c r="P276" s="19">
        <f t="shared" si="58"/>
        <v>11.9</v>
      </c>
      <c r="T276">
        <v>136</v>
      </c>
      <c r="U276">
        <v>110</v>
      </c>
    </row>
    <row r="277" spans="2:21" x14ac:dyDescent="0.25">
      <c r="B277" s="21">
        <v>46102</v>
      </c>
      <c r="C277">
        <v>139</v>
      </c>
      <c r="D277">
        <v>127</v>
      </c>
      <c r="E277">
        <v>145</v>
      </c>
      <c r="F277">
        <v>140</v>
      </c>
      <c r="G277">
        <v>120</v>
      </c>
      <c r="H277">
        <v>144</v>
      </c>
      <c r="I277">
        <v>132</v>
      </c>
      <c r="J277">
        <v>129</v>
      </c>
      <c r="K277">
        <v>150</v>
      </c>
      <c r="L277">
        <v>132</v>
      </c>
      <c r="M277">
        <v>98</v>
      </c>
      <c r="N277">
        <v>131</v>
      </c>
      <c r="O277" s="19">
        <f t="shared" si="57"/>
        <v>132</v>
      </c>
      <c r="P277" s="19">
        <f t="shared" si="58"/>
        <v>12.22</v>
      </c>
      <c r="T277">
        <v>130</v>
      </c>
      <c r="U277">
        <v>132</v>
      </c>
    </row>
    <row r="278" spans="2:21" x14ac:dyDescent="0.25">
      <c r="B278" s="21">
        <v>46103</v>
      </c>
      <c r="C278">
        <v>46</v>
      </c>
      <c r="D278">
        <v>39</v>
      </c>
      <c r="E278">
        <v>52</v>
      </c>
      <c r="F278">
        <v>41</v>
      </c>
      <c r="G278">
        <v>48</v>
      </c>
      <c r="H278">
        <v>42</v>
      </c>
      <c r="I278">
        <v>47</v>
      </c>
      <c r="J278">
        <v>40</v>
      </c>
      <c r="K278">
        <v>46</v>
      </c>
      <c r="L278">
        <v>40</v>
      </c>
      <c r="M278">
        <v>54</v>
      </c>
      <c r="N278">
        <v>44</v>
      </c>
      <c r="O278" s="19">
        <f t="shared" si="57"/>
        <v>45</v>
      </c>
      <c r="P278" s="19">
        <f t="shared" si="58"/>
        <v>4.96</v>
      </c>
      <c r="T278">
        <v>50</v>
      </c>
      <c r="U278">
        <v>37</v>
      </c>
    </row>
    <row r="279" spans="2:21" x14ac:dyDescent="0.25">
      <c r="B279" s="21">
        <v>46104</v>
      </c>
      <c r="C279">
        <v>58</v>
      </c>
      <c r="D279">
        <v>45</v>
      </c>
      <c r="E279">
        <v>51</v>
      </c>
      <c r="F279">
        <v>43</v>
      </c>
      <c r="G279">
        <v>45</v>
      </c>
      <c r="H279">
        <v>42</v>
      </c>
      <c r="I279">
        <v>51</v>
      </c>
      <c r="J279">
        <v>42</v>
      </c>
      <c r="K279">
        <v>58</v>
      </c>
      <c r="L279">
        <v>50</v>
      </c>
      <c r="M279">
        <v>60</v>
      </c>
      <c r="N279">
        <v>46</v>
      </c>
      <c r="O279" s="19">
        <f t="shared" si="57"/>
        <v>50</v>
      </c>
      <c r="P279" s="19">
        <f t="shared" si="58"/>
        <v>6.23</v>
      </c>
      <c r="T279">
        <v>57</v>
      </c>
      <c r="U279">
        <v>45</v>
      </c>
    </row>
    <row r="280" spans="2:21" x14ac:dyDescent="0.25">
      <c r="B280" s="21">
        <v>46105</v>
      </c>
      <c r="C280">
        <v>46</v>
      </c>
      <c r="D280">
        <v>43</v>
      </c>
      <c r="E280">
        <v>52</v>
      </c>
      <c r="F280">
        <v>44</v>
      </c>
      <c r="G280">
        <v>45</v>
      </c>
      <c r="H280">
        <v>41</v>
      </c>
      <c r="I280">
        <v>47</v>
      </c>
      <c r="J280">
        <v>41</v>
      </c>
      <c r="K280">
        <v>48</v>
      </c>
      <c r="L280">
        <v>46</v>
      </c>
      <c r="M280">
        <v>32</v>
      </c>
      <c r="N280">
        <v>46</v>
      </c>
      <c r="O280" s="19">
        <f t="shared" si="57"/>
        <v>46</v>
      </c>
      <c r="P280" s="19">
        <f t="shared" si="58"/>
        <v>7.15</v>
      </c>
      <c r="T280">
        <v>66</v>
      </c>
      <c r="U280">
        <v>42</v>
      </c>
    </row>
    <row r="281" spans="2:21" x14ac:dyDescent="0.25">
      <c r="B281" s="21">
        <v>46106</v>
      </c>
      <c r="C281">
        <v>55</v>
      </c>
      <c r="D281">
        <v>41</v>
      </c>
      <c r="E281">
        <v>51</v>
      </c>
      <c r="F281">
        <v>43</v>
      </c>
      <c r="G281">
        <v>44</v>
      </c>
      <c r="H281">
        <v>45</v>
      </c>
      <c r="I281">
        <v>46</v>
      </c>
      <c r="J281">
        <v>42</v>
      </c>
      <c r="K281">
        <v>56</v>
      </c>
      <c r="L281">
        <v>41</v>
      </c>
      <c r="M281">
        <v>47</v>
      </c>
      <c r="N281">
        <v>40</v>
      </c>
      <c r="O281" s="19">
        <f t="shared" si="57"/>
        <v>46</v>
      </c>
      <c r="P281" s="19">
        <f t="shared" si="58"/>
        <v>5.05</v>
      </c>
      <c r="T281">
        <v>49</v>
      </c>
      <c r="U281">
        <v>41</v>
      </c>
    </row>
    <row r="282" spans="2:21" x14ac:dyDescent="0.25">
      <c r="B282" s="21">
        <v>46107</v>
      </c>
      <c r="C282">
        <v>45</v>
      </c>
      <c r="D282">
        <v>44</v>
      </c>
      <c r="E282">
        <v>52</v>
      </c>
      <c r="F282">
        <v>51</v>
      </c>
      <c r="G282">
        <v>45</v>
      </c>
      <c r="H282">
        <v>58</v>
      </c>
      <c r="I282">
        <v>53</v>
      </c>
      <c r="J282">
        <v>49</v>
      </c>
      <c r="K282">
        <v>47</v>
      </c>
      <c r="L282">
        <v>42</v>
      </c>
      <c r="M282">
        <v>51</v>
      </c>
      <c r="N282">
        <v>43</v>
      </c>
      <c r="O282" s="19">
        <f t="shared" si="57"/>
        <v>48</v>
      </c>
      <c r="P282" s="19">
        <f t="shared" si="58"/>
        <v>4.38</v>
      </c>
      <c r="T282">
        <v>50</v>
      </c>
      <c r="U282">
        <v>45</v>
      </c>
    </row>
    <row r="283" spans="2:21" x14ac:dyDescent="0.25">
      <c r="B283" s="21">
        <v>46108</v>
      </c>
      <c r="C283">
        <v>100</v>
      </c>
      <c r="D283">
        <v>78</v>
      </c>
      <c r="E283">
        <v>91</v>
      </c>
      <c r="F283">
        <v>83</v>
      </c>
      <c r="G283">
        <v>74</v>
      </c>
      <c r="H283">
        <v>82</v>
      </c>
      <c r="I283">
        <v>112</v>
      </c>
      <c r="J283">
        <v>81</v>
      </c>
      <c r="K283">
        <v>98</v>
      </c>
      <c r="L283">
        <v>84</v>
      </c>
      <c r="M283">
        <v>89</v>
      </c>
      <c r="N283">
        <v>82</v>
      </c>
      <c r="O283" s="19">
        <f t="shared" si="57"/>
        <v>88</v>
      </c>
      <c r="P283" s="19">
        <f t="shared" si="58"/>
        <v>10</v>
      </c>
      <c r="T283">
        <v>95</v>
      </c>
      <c r="U283">
        <v>80</v>
      </c>
    </row>
    <row r="284" spans="2:21" x14ac:dyDescent="0.25">
      <c r="B284" s="21">
        <v>46109</v>
      </c>
      <c r="C284">
        <v>140</v>
      </c>
      <c r="D284">
        <v>118</v>
      </c>
      <c r="E284">
        <v>130</v>
      </c>
      <c r="F284">
        <v>130</v>
      </c>
      <c r="G284">
        <v>112</v>
      </c>
      <c r="H284">
        <v>132</v>
      </c>
      <c r="I284">
        <v>132</v>
      </c>
      <c r="J284">
        <v>121</v>
      </c>
      <c r="K284">
        <v>157</v>
      </c>
      <c r="L284">
        <v>120</v>
      </c>
      <c r="M284">
        <v>121</v>
      </c>
      <c r="N284">
        <v>119</v>
      </c>
      <c r="O284" s="19">
        <f t="shared" si="57"/>
        <v>128</v>
      </c>
      <c r="P284" s="19">
        <f t="shared" si="58"/>
        <v>11.24</v>
      </c>
      <c r="T284">
        <v>137</v>
      </c>
      <c r="U284">
        <v>120</v>
      </c>
    </row>
    <row r="285" spans="2:21" x14ac:dyDescent="0.25">
      <c r="B285" s="21">
        <v>46110</v>
      </c>
      <c r="C285">
        <v>62</v>
      </c>
      <c r="D285">
        <v>49</v>
      </c>
      <c r="E285">
        <v>55</v>
      </c>
      <c r="F285">
        <v>51</v>
      </c>
      <c r="G285">
        <v>52</v>
      </c>
      <c r="H285">
        <v>47</v>
      </c>
      <c r="I285">
        <v>51</v>
      </c>
      <c r="J285">
        <v>47</v>
      </c>
      <c r="K285">
        <v>55</v>
      </c>
      <c r="L285">
        <v>53</v>
      </c>
      <c r="M285">
        <v>57</v>
      </c>
      <c r="N285">
        <v>51</v>
      </c>
      <c r="O285" s="19">
        <f t="shared" si="57"/>
        <v>53</v>
      </c>
      <c r="P285" s="19">
        <f t="shared" si="58"/>
        <v>5.23</v>
      </c>
      <c r="T285">
        <v>66</v>
      </c>
      <c r="U285">
        <v>50</v>
      </c>
    </row>
    <row r="286" spans="2:21" x14ac:dyDescent="0.25">
      <c r="B286" s="21">
        <v>46111</v>
      </c>
      <c r="C286">
        <v>45</v>
      </c>
      <c r="D286">
        <v>40</v>
      </c>
      <c r="E286">
        <v>48</v>
      </c>
      <c r="F286">
        <v>41</v>
      </c>
      <c r="G286">
        <v>46</v>
      </c>
      <c r="H286">
        <v>44</v>
      </c>
      <c r="I286">
        <v>46</v>
      </c>
      <c r="J286">
        <v>41</v>
      </c>
      <c r="K286">
        <v>47</v>
      </c>
      <c r="L286">
        <v>40</v>
      </c>
      <c r="M286">
        <v>45</v>
      </c>
      <c r="N286">
        <v>39</v>
      </c>
      <c r="O286" s="19">
        <f t="shared" si="57"/>
        <v>43</v>
      </c>
      <c r="P286" s="19">
        <f t="shared" si="58"/>
        <v>3.27</v>
      </c>
      <c r="T286">
        <v>41</v>
      </c>
      <c r="U286">
        <v>37</v>
      </c>
    </row>
    <row r="287" spans="2:21" x14ac:dyDescent="0.25">
      <c r="B287" s="21">
        <v>46112</v>
      </c>
      <c r="C287">
        <v>53</v>
      </c>
      <c r="D287">
        <v>42</v>
      </c>
      <c r="E287">
        <v>59</v>
      </c>
      <c r="F287">
        <v>42</v>
      </c>
      <c r="G287">
        <v>40</v>
      </c>
      <c r="H287">
        <v>39</v>
      </c>
      <c r="I287">
        <v>68</v>
      </c>
      <c r="J287">
        <v>41</v>
      </c>
      <c r="K287">
        <v>51</v>
      </c>
      <c r="L287">
        <v>46</v>
      </c>
      <c r="M287">
        <v>64</v>
      </c>
      <c r="N287">
        <v>42</v>
      </c>
      <c r="O287" s="19">
        <f t="shared" si="57"/>
        <v>49</v>
      </c>
      <c r="P287" s="19">
        <f t="shared" si="58"/>
        <v>9.23</v>
      </c>
      <c r="T287">
        <v>55</v>
      </c>
      <c r="U287">
        <v>42</v>
      </c>
    </row>
    <row r="288" spans="2:21" x14ac:dyDescent="0.25">
      <c r="B288" s="21">
        <v>46113</v>
      </c>
      <c r="C288">
        <v>48</v>
      </c>
      <c r="D288">
        <v>48</v>
      </c>
      <c r="E288">
        <v>59</v>
      </c>
      <c r="F288">
        <v>53</v>
      </c>
      <c r="G288">
        <v>60</v>
      </c>
      <c r="H288">
        <v>53</v>
      </c>
      <c r="I288">
        <v>58</v>
      </c>
      <c r="J288">
        <v>48</v>
      </c>
      <c r="K288">
        <v>49</v>
      </c>
      <c r="L288">
        <v>43</v>
      </c>
      <c r="M288">
        <v>56</v>
      </c>
      <c r="N288">
        <v>50</v>
      </c>
      <c r="O288" s="19">
        <f t="shared" si="57"/>
        <v>51</v>
      </c>
      <c r="P288" s="19">
        <f t="shared" si="58"/>
        <v>5.12</v>
      </c>
      <c r="T288">
        <v>48</v>
      </c>
      <c r="U288">
        <v>45</v>
      </c>
    </row>
    <row r="289" spans="2:21" x14ac:dyDescent="0.25">
      <c r="B289" s="21">
        <v>46114</v>
      </c>
      <c r="C289">
        <v>106</v>
      </c>
      <c r="D289">
        <v>65</v>
      </c>
      <c r="E289">
        <v>91</v>
      </c>
      <c r="F289">
        <v>75</v>
      </c>
      <c r="G289">
        <v>77</v>
      </c>
      <c r="H289">
        <v>57</v>
      </c>
      <c r="I289">
        <v>80</v>
      </c>
      <c r="J289">
        <v>67</v>
      </c>
      <c r="K289">
        <v>112</v>
      </c>
      <c r="L289">
        <v>78</v>
      </c>
      <c r="M289">
        <v>82</v>
      </c>
      <c r="N289">
        <v>69</v>
      </c>
      <c r="O289" s="19">
        <f t="shared" si="57"/>
        <v>80</v>
      </c>
      <c r="P289" s="19">
        <f t="shared" si="58"/>
        <v>15.06</v>
      </c>
      <c r="T289">
        <v>90</v>
      </c>
      <c r="U289">
        <v>67</v>
      </c>
    </row>
    <row r="290" spans="2:21" x14ac:dyDescent="0.25">
      <c r="B290" s="21">
        <v>46115</v>
      </c>
      <c r="C290">
        <v>90</v>
      </c>
      <c r="D290">
        <v>62</v>
      </c>
      <c r="E290">
        <v>94</v>
      </c>
      <c r="F290">
        <v>77</v>
      </c>
      <c r="G290">
        <v>65</v>
      </c>
      <c r="H290">
        <v>71</v>
      </c>
      <c r="I290">
        <v>86</v>
      </c>
      <c r="J290">
        <v>72</v>
      </c>
      <c r="K290">
        <v>96</v>
      </c>
      <c r="L290">
        <v>92</v>
      </c>
      <c r="M290">
        <v>92</v>
      </c>
      <c r="N290">
        <v>65</v>
      </c>
      <c r="O290" s="19">
        <f t="shared" ref="O290:O304" si="59">ROUND(AVERAGE(C290:N290,T290:U290),0)</f>
        <v>80</v>
      </c>
      <c r="P290" s="19">
        <f t="shared" ref="P290:P304" si="60">ROUND(_xlfn.STDEV.P(C290:N290,T290:U290),2)</f>
        <v>12.17</v>
      </c>
      <c r="T290">
        <v>90</v>
      </c>
      <c r="U290">
        <v>67</v>
      </c>
    </row>
    <row r="291" spans="2:21" x14ac:dyDescent="0.25">
      <c r="B291" s="21">
        <v>46116</v>
      </c>
      <c r="C291">
        <v>106</v>
      </c>
      <c r="D291">
        <v>103</v>
      </c>
      <c r="E291">
        <v>100</v>
      </c>
      <c r="F291">
        <v>118</v>
      </c>
      <c r="G291">
        <v>95</v>
      </c>
      <c r="H291">
        <v>127</v>
      </c>
      <c r="I291">
        <v>94</v>
      </c>
      <c r="J291">
        <v>111</v>
      </c>
      <c r="K291">
        <v>116</v>
      </c>
      <c r="L291">
        <v>115</v>
      </c>
      <c r="M291">
        <v>90</v>
      </c>
      <c r="N291">
        <v>112</v>
      </c>
      <c r="O291" s="19">
        <f t="shared" si="59"/>
        <v>106</v>
      </c>
      <c r="P291" s="19">
        <f t="shared" si="60"/>
        <v>10.36</v>
      </c>
      <c r="T291">
        <v>96</v>
      </c>
      <c r="U291">
        <v>103</v>
      </c>
    </row>
    <row r="292" spans="2:21" x14ac:dyDescent="0.25">
      <c r="B292" s="21">
        <v>46117</v>
      </c>
      <c r="C292">
        <v>43</v>
      </c>
      <c r="D292">
        <v>30</v>
      </c>
      <c r="E292">
        <v>47</v>
      </c>
      <c r="F292">
        <v>28</v>
      </c>
      <c r="G292">
        <v>38</v>
      </c>
      <c r="H292">
        <v>24</v>
      </c>
      <c r="I292">
        <v>46</v>
      </c>
      <c r="J292">
        <v>28</v>
      </c>
      <c r="K292">
        <v>45</v>
      </c>
      <c r="L292">
        <v>31</v>
      </c>
      <c r="M292">
        <v>37</v>
      </c>
      <c r="N292">
        <v>30</v>
      </c>
      <c r="O292" s="19">
        <f t="shared" si="59"/>
        <v>35</v>
      </c>
      <c r="P292" s="19">
        <f t="shared" si="60"/>
        <v>7.38</v>
      </c>
      <c r="T292">
        <v>35</v>
      </c>
      <c r="U292">
        <v>29</v>
      </c>
    </row>
    <row r="293" spans="2:21" x14ac:dyDescent="0.25">
      <c r="B293" s="21">
        <v>46118</v>
      </c>
      <c r="C293">
        <v>46</v>
      </c>
      <c r="D293">
        <v>44</v>
      </c>
      <c r="E293">
        <v>50</v>
      </c>
      <c r="F293">
        <v>45</v>
      </c>
      <c r="G293">
        <v>47</v>
      </c>
      <c r="H293">
        <v>44</v>
      </c>
      <c r="I293">
        <v>46</v>
      </c>
      <c r="J293">
        <v>44</v>
      </c>
      <c r="K293">
        <v>47</v>
      </c>
      <c r="L293">
        <v>45</v>
      </c>
      <c r="M293">
        <v>44</v>
      </c>
      <c r="N293">
        <v>43</v>
      </c>
      <c r="O293" s="19">
        <f t="shared" si="59"/>
        <v>45</v>
      </c>
      <c r="P293" s="19">
        <f t="shared" si="60"/>
        <v>1.83</v>
      </c>
      <c r="T293">
        <v>46</v>
      </c>
      <c r="U293">
        <v>43</v>
      </c>
    </row>
    <row r="294" spans="2:21" x14ac:dyDescent="0.25">
      <c r="B294" s="21">
        <v>46119</v>
      </c>
      <c r="C294">
        <v>49</v>
      </c>
      <c r="D294">
        <v>44</v>
      </c>
      <c r="E294">
        <v>56</v>
      </c>
      <c r="F294">
        <v>45</v>
      </c>
      <c r="G294">
        <v>49</v>
      </c>
      <c r="H294">
        <v>43</v>
      </c>
      <c r="I294">
        <v>48</v>
      </c>
      <c r="J294">
        <v>45</v>
      </c>
      <c r="K294">
        <v>47</v>
      </c>
      <c r="L294">
        <v>48</v>
      </c>
      <c r="M294">
        <v>63</v>
      </c>
      <c r="N294">
        <v>45</v>
      </c>
      <c r="O294" s="19">
        <f t="shared" si="59"/>
        <v>49</v>
      </c>
      <c r="P294" s="19">
        <f t="shared" si="60"/>
        <v>5.46</v>
      </c>
      <c r="T294">
        <v>54</v>
      </c>
      <c r="U294">
        <v>43</v>
      </c>
    </row>
    <row r="295" spans="2:21" x14ac:dyDescent="0.25">
      <c r="B295" s="21">
        <v>46120</v>
      </c>
      <c r="C295">
        <v>51</v>
      </c>
      <c r="D295">
        <v>42</v>
      </c>
      <c r="E295">
        <v>69</v>
      </c>
      <c r="F295">
        <v>42</v>
      </c>
      <c r="G295">
        <v>50</v>
      </c>
      <c r="H295">
        <v>48</v>
      </c>
      <c r="I295">
        <v>70</v>
      </c>
      <c r="J295">
        <v>35</v>
      </c>
      <c r="K295">
        <v>96</v>
      </c>
      <c r="L295">
        <v>48</v>
      </c>
      <c r="M295">
        <v>83</v>
      </c>
      <c r="N295">
        <v>42</v>
      </c>
      <c r="O295" s="19">
        <f t="shared" si="59"/>
        <v>56</v>
      </c>
      <c r="P295" s="19">
        <f t="shared" si="60"/>
        <v>17.27</v>
      </c>
      <c r="T295">
        <v>68</v>
      </c>
      <c r="U295">
        <v>45</v>
      </c>
    </row>
    <row r="296" spans="2:21" x14ac:dyDescent="0.25">
      <c r="B296" s="21">
        <v>46121</v>
      </c>
      <c r="C296">
        <v>72</v>
      </c>
      <c r="D296">
        <v>47</v>
      </c>
      <c r="E296">
        <v>58</v>
      </c>
      <c r="F296">
        <v>54</v>
      </c>
      <c r="G296">
        <v>51</v>
      </c>
      <c r="H296">
        <v>57</v>
      </c>
      <c r="I296">
        <v>63</v>
      </c>
      <c r="J296">
        <v>52</v>
      </c>
      <c r="K296">
        <v>66</v>
      </c>
      <c r="L296">
        <v>52</v>
      </c>
      <c r="M296">
        <v>61</v>
      </c>
      <c r="N296">
        <v>51</v>
      </c>
      <c r="O296" s="19">
        <f t="shared" si="59"/>
        <v>57</v>
      </c>
      <c r="P296" s="19">
        <f t="shared" si="60"/>
        <v>6.7</v>
      </c>
      <c r="T296">
        <v>59</v>
      </c>
      <c r="U296">
        <v>51</v>
      </c>
    </row>
    <row r="297" spans="2:21" x14ac:dyDescent="0.25">
      <c r="B297" s="21">
        <v>46122</v>
      </c>
      <c r="C297">
        <v>65</v>
      </c>
      <c r="D297">
        <v>79</v>
      </c>
      <c r="E297">
        <v>78</v>
      </c>
      <c r="F297">
        <v>85</v>
      </c>
      <c r="G297">
        <v>68</v>
      </c>
      <c r="H297">
        <v>89</v>
      </c>
      <c r="I297">
        <v>76</v>
      </c>
      <c r="J297">
        <v>82</v>
      </c>
      <c r="K297">
        <v>71</v>
      </c>
      <c r="L297">
        <v>88</v>
      </c>
      <c r="M297">
        <v>85</v>
      </c>
      <c r="N297">
        <v>86</v>
      </c>
      <c r="O297" s="19">
        <f t="shared" si="59"/>
        <v>79</v>
      </c>
      <c r="P297" s="19">
        <f t="shared" si="60"/>
        <v>7.12</v>
      </c>
      <c r="T297">
        <v>78</v>
      </c>
      <c r="U297">
        <v>82</v>
      </c>
    </row>
    <row r="298" spans="2:21" x14ac:dyDescent="0.25">
      <c r="B298" s="21">
        <v>46123</v>
      </c>
      <c r="C298">
        <v>158</v>
      </c>
      <c r="D298">
        <v>131</v>
      </c>
      <c r="E298">
        <v>142</v>
      </c>
      <c r="F298">
        <v>150</v>
      </c>
      <c r="G298">
        <v>132</v>
      </c>
      <c r="H298">
        <v>132</v>
      </c>
      <c r="I298">
        <v>141</v>
      </c>
      <c r="J298">
        <v>136</v>
      </c>
      <c r="K298">
        <v>158</v>
      </c>
      <c r="L298">
        <v>152</v>
      </c>
      <c r="M298">
        <v>168</v>
      </c>
      <c r="N298">
        <v>138</v>
      </c>
      <c r="O298" s="19">
        <f t="shared" si="59"/>
        <v>145</v>
      </c>
      <c r="P298" s="19">
        <f t="shared" si="60"/>
        <v>11.04</v>
      </c>
      <c r="T298">
        <v>149</v>
      </c>
      <c r="U298">
        <v>137</v>
      </c>
    </row>
    <row r="299" spans="2:21" x14ac:dyDescent="0.25">
      <c r="B299" s="21">
        <v>46124</v>
      </c>
      <c r="C299">
        <v>46</v>
      </c>
      <c r="D299">
        <v>44</v>
      </c>
      <c r="E299">
        <v>48</v>
      </c>
      <c r="F299">
        <v>46</v>
      </c>
      <c r="G299">
        <v>49</v>
      </c>
      <c r="H299">
        <v>45</v>
      </c>
      <c r="I299">
        <v>46</v>
      </c>
      <c r="J299">
        <v>44</v>
      </c>
      <c r="K299">
        <v>47</v>
      </c>
      <c r="L299">
        <v>48</v>
      </c>
      <c r="M299">
        <v>57</v>
      </c>
      <c r="N299">
        <v>44</v>
      </c>
      <c r="O299" s="19">
        <f t="shared" si="59"/>
        <v>47</v>
      </c>
      <c r="P299" s="19">
        <f t="shared" si="60"/>
        <v>3.33</v>
      </c>
      <c r="T299">
        <v>46</v>
      </c>
      <c r="U299">
        <v>43</v>
      </c>
    </row>
    <row r="300" spans="2:21" x14ac:dyDescent="0.25">
      <c r="B300" s="21">
        <v>46125</v>
      </c>
      <c r="C300">
        <v>70</v>
      </c>
      <c r="D300">
        <v>50</v>
      </c>
      <c r="E300">
        <v>61</v>
      </c>
      <c r="F300">
        <v>50</v>
      </c>
      <c r="G300">
        <v>62</v>
      </c>
      <c r="H300">
        <v>41</v>
      </c>
      <c r="I300">
        <v>61</v>
      </c>
      <c r="J300">
        <v>46</v>
      </c>
      <c r="K300">
        <v>72</v>
      </c>
      <c r="L300">
        <v>50</v>
      </c>
      <c r="M300">
        <v>62</v>
      </c>
      <c r="N300">
        <v>53</v>
      </c>
      <c r="O300" s="19">
        <f t="shared" si="59"/>
        <v>57</v>
      </c>
      <c r="P300" s="19">
        <f t="shared" si="60"/>
        <v>9.24</v>
      </c>
      <c r="T300">
        <v>69</v>
      </c>
      <c r="U300">
        <v>51</v>
      </c>
    </row>
    <row r="301" spans="2:21" x14ac:dyDescent="0.25">
      <c r="B301" s="21">
        <v>46126</v>
      </c>
      <c r="C301">
        <v>76</v>
      </c>
      <c r="D301">
        <v>44</v>
      </c>
      <c r="E301">
        <v>68</v>
      </c>
      <c r="F301">
        <v>42</v>
      </c>
      <c r="G301">
        <v>51</v>
      </c>
      <c r="H301">
        <v>38</v>
      </c>
      <c r="I301">
        <v>66</v>
      </c>
      <c r="J301">
        <v>43</v>
      </c>
      <c r="K301">
        <v>63</v>
      </c>
      <c r="L301">
        <v>49</v>
      </c>
      <c r="M301">
        <v>73</v>
      </c>
      <c r="N301">
        <v>44</v>
      </c>
      <c r="O301" s="19">
        <f t="shared" si="59"/>
        <v>54</v>
      </c>
      <c r="P301" s="19">
        <f t="shared" si="60"/>
        <v>12.41</v>
      </c>
      <c r="T301">
        <v>60</v>
      </c>
      <c r="U301">
        <v>44</v>
      </c>
    </row>
    <row r="302" spans="2:21" x14ac:dyDescent="0.25">
      <c r="B302" s="21">
        <v>46127</v>
      </c>
      <c r="C302">
        <v>60</v>
      </c>
      <c r="D302">
        <v>48</v>
      </c>
      <c r="E302">
        <v>57</v>
      </c>
      <c r="F302">
        <v>49</v>
      </c>
      <c r="G302">
        <v>51</v>
      </c>
      <c r="H302">
        <v>47</v>
      </c>
      <c r="I302">
        <v>58</v>
      </c>
      <c r="J302">
        <v>49</v>
      </c>
      <c r="K302">
        <v>54</v>
      </c>
      <c r="L302">
        <v>54</v>
      </c>
      <c r="M302">
        <v>60</v>
      </c>
      <c r="N302">
        <v>49</v>
      </c>
      <c r="O302" s="19">
        <f t="shared" si="59"/>
        <v>53</v>
      </c>
      <c r="P302" s="19">
        <f t="shared" si="60"/>
        <v>4.46</v>
      </c>
      <c r="T302">
        <v>57</v>
      </c>
      <c r="U302">
        <v>50</v>
      </c>
    </row>
    <row r="303" spans="2:21" x14ac:dyDescent="0.25">
      <c r="B303" s="21">
        <v>46128</v>
      </c>
      <c r="C303">
        <v>56</v>
      </c>
      <c r="D303">
        <v>47</v>
      </c>
      <c r="E303">
        <v>58</v>
      </c>
      <c r="F303">
        <v>54</v>
      </c>
      <c r="G303">
        <v>49</v>
      </c>
      <c r="H303">
        <v>58</v>
      </c>
      <c r="I303">
        <v>54</v>
      </c>
      <c r="J303">
        <v>51</v>
      </c>
      <c r="K303">
        <v>57</v>
      </c>
      <c r="L303">
        <v>51</v>
      </c>
      <c r="M303">
        <v>56</v>
      </c>
      <c r="N303">
        <v>49</v>
      </c>
      <c r="O303" s="19">
        <f t="shared" si="59"/>
        <v>53</v>
      </c>
      <c r="P303" s="19">
        <f t="shared" si="60"/>
        <v>3.49</v>
      </c>
      <c r="T303">
        <v>53</v>
      </c>
      <c r="U303">
        <v>50</v>
      </c>
    </row>
    <row r="304" spans="2:21" x14ac:dyDescent="0.25">
      <c r="B304" s="21">
        <v>46129</v>
      </c>
      <c r="C304">
        <v>125</v>
      </c>
      <c r="D304">
        <v>109</v>
      </c>
      <c r="E304">
        <v>123</v>
      </c>
      <c r="F304">
        <v>114</v>
      </c>
      <c r="G304">
        <v>97</v>
      </c>
      <c r="H304">
        <v>105</v>
      </c>
      <c r="I304">
        <v>127</v>
      </c>
      <c r="J304">
        <v>108</v>
      </c>
      <c r="K304">
        <v>120</v>
      </c>
      <c r="L304">
        <v>125</v>
      </c>
      <c r="M304">
        <v>123</v>
      </c>
      <c r="N304">
        <v>113</v>
      </c>
      <c r="O304" s="19">
        <f t="shared" si="59"/>
        <v>116</v>
      </c>
      <c r="P304" s="19">
        <f t="shared" si="60"/>
        <v>8.9499999999999993</v>
      </c>
      <c r="T304">
        <v>125</v>
      </c>
      <c r="U304">
        <v>110</v>
      </c>
    </row>
    <row r="305" spans="2:21" x14ac:dyDescent="0.25">
      <c r="B305" s="30" t="s">
        <v>40</v>
      </c>
      <c r="C305">
        <v>29.34</v>
      </c>
      <c r="D305">
        <v>30.21</v>
      </c>
      <c r="E305">
        <v>24.61</v>
      </c>
      <c r="F305" s="14">
        <v>27.28</v>
      </c>
      <c r="G305" s="14">
        <v>22.28</v>
      </c>
      <c r="H305" s="14">
        <v>23.15</v>
      </c>
      <c r="I305" s="14">
        <v>28.87</v>
      </c>
      <c r="J305" s="14">
        <v>28.82</v>
      </c>
      <c r="K305" s="14">
        <v>26.2</v>
      </c>
      <c r="L305" s="14">
        <v>28.06</v>
      </c>
      <c r="M305" s="14">
        <v>28.45</v>
      </c>
      <c r="N305" s="15">
        <v>30.56</v>
      </c>
      <c r="O305" s="31">
        <f>ROUND(AVERAGE(C305:N305,T305:U305),2)</f>
        <v>27.05</v>
      </c>
      <c r="P305" s="31">
        <f>ROUND(_xlfn.STDEV.P(C305:N305,T305:U305),2)</f>
        <v>2.5099999999999998</v>
      </c>
      <c r="T305">
        <v>24.56</v>
      </c>
      <c r="U305">
        <v>26.35</v>
      </c>
    </row>
    <row r="306" spans="2:21" x14ac:dyDescent="0.25">
      <c r="B306" s="18" t="s">
        <v>41</v>
      </c>
      <c r="C306">
        <v>26.27</v>
      </c>
      <c r="D306">
        <v>26.22</v>
      </c>
      <c r="E306">
        <v>29.18</v>
      </c>
      <c r="F306">
        <v>25.22</v>
      </c>
      <c r="G306">
        <v>32.25</v>
      </c>
      <c r="H306">
        <v>29.23</v>
      </c>
      <c r="I306">
        <v>24.57</v>
      </c>
      <c r="J306">
        <v>24.75</v>
      </c>
      <c r="K306">
        <v>26.81</v>
      </c>
      <c r="L306">
        <v>24.03</v>
      </c>
      <c r="M306" s="14">
        <v>23.43</v>
      </c>
      <c r="N306" s="14">
        <v>23.13</v>
      </c>
      <c r="O306" s="31">
        <f>ROUND(AVERAGE(C306:N306,T306:U306),2)</f>
        <v>26.4</v>
      </c>
      <c r="P306" s="31">
        <f>ROUND(_xlfn.STDEV.P(C306:N306,T306:U306),2)</f>
        <v>2.4500000000000002</v>
      </c>
      <c r="T306">
        <v>27.27</v>
      </c>
      <c r="U306">
        <v>27.18</v>
      </c>
    </row>
    <row r="307" spans="2:21" x14ac:dyDescent="0.25">
      <c r="C307" s="53" t="s">
        <v>53</v>
      </c>
      <c r="D307" s="53"/>
      <c r="E307" s="53" t="s">
        <v>57</v>
      </c>
      <c r="F307" s="53"/>
      <c r="G307" s="53" t="s">
        <v>54</v>
      </c>
      <c r="H307" s="53"/>
      <c r="I307" s="53" t="s">
        <v>58</v>
      </c>
      <c r="J307" s="53"/>
      <c r="K307" s="58" t="s">
        <v>55</v>
      </c>
      <c r="L307" s="58"/>
      <c r="M307" s="58" t="s">
        <v>56</v>
      </c>
      <c r="N307" s="58"/>
      <c r="T307" s="53" t="s">
        <v>66</v>
      </c>
      <c r="U307" s="53"/>
    </row>
    <row r="308" spans="2:21" x14ac:dyDescent="0.25">
      <c r="C308" t="s">
        <v>63</v>
      </c>
      <c r="D308" t="s">
        <v>64</v>
      </c>
      <c r="E308" t="s">
        <v>63</v>
      </c>
      <c r="F308" t="s">
        <v>64</v>
      </c>
      <c r="G308" t="s">
        <v>63</v>
      </c>
      <c r="H308" t="s">
        <v>64</v>
      </c>
      <c r="I308" t="s">
        <v>63</v>
      </c>
      <c r="J308" t="s">
        <v>64</v>
      </c>
      <c r="K308" t="s">
        <v>63</v>
      </c>
      <c r="L308" t="s">
        <v>64</v>
      </c>
      <c r="M308" t="s">
        <v>63</v>
      </c>
      <c r="N308" t="s">
        <v>64</v>
      </c>
      <c r="T308" t="s">
        <v>63</v>
      </c>
      <c r="U308" t="s">
        <v>64</v>
      </c>
    </row>
    <row r="309" spans="2:21" x14ac:dyDescent="0.25">
      <c r="B309" t="s">
        <v>65</v>
      </c>
      <c r="C309">
        <v>72.426000000000002</v>
      </c>
      <c r="D309">
        <v>76.203999999999994</v>
      </c>
      <c r="E309">
        <v>106.777</v>
      </c>
      <c r="F309">
        <v>95.346999999999994</v>
      </c>
      <c r="G309">
        <v>26.42</v>
      </c>
      <c r="H309">
        <v>15.21</v>
      </c>
      <c r="I309">
        <v>110.955</v>
      </c>
      <c r="J309">
        <v>125.211</v>
      </c>
      <c r="K309">
        <v>86.977999999999994</v>
      </c>
      <c r="L309">
        <v>104.254</v>
      </c>
      <c r="M309">
        <v>196.98699999999999</v>
      </c>
      <c r="N309">
        <v>175.36099999999999</v>
      </c>
      <c r="T309">
        <v>212.42099999999999</v>
      </c>
      <c r="U309">
        <v>218.84200000000001</v>
      </c>
    </row>
    <row r="310" spans="2:21" x14ac:dyDescent="0.25">
      <c r="B310" t="s">
        <v>67</v>
      </c>
      <c r="C310" s="32"/>
      <c r="D310" s="32"/>
      <c r="E310" s="32"/>
      <c r="F310" s="32"/>
      <c r="G310" s="32"/>
      <c r="H310" s="32"/>
      <c r="I310" s="52">
        <v>0.70440000000000003</v>
      </c>
      <c r="J310" s="52">
        <v>0.73480000000000001</v>
      </c>
      <c r="K310" s="52">
        <v>0.69479999999999997</v>
      </c>
      <c r="L310" s="52">
        <v>0.86460000000000004</v>
      </c>
      <c r="M310" s="52">
        <v>0.72099999999999997</v>
      </c>
      <c r="N310" s="52">
        <v>0.68920000000000003</v>
      </c>
      <c r="T310" s="52">
        <v>0.8135</v>
      </c>
      <c r="U310" s="52">
        <v>0.83289999999999997</v>
      </c>
    </row>
  </sheetData>
  <mergeCells count="9">
    <mergeCell ref="T307:U307"/>
    <mergeCell ref="C1:N1"/>
    <mergeCell ref="C2:N2"/>
    <mergeCell ref="C307:D307"/>
    <mergeCell ref="I307:J307"/>
    <mergeCell ref="G307:H307"/>
    <mergeCell ref="E307:F307"/>
    <mergeCell ref="K307:L307"/>
    <mergeCell ref="M307:N307"/>
  </mergeCells>
  <conditionalFormatting sqref="C98:N271 T142:U271">
    <cfRule type="expression" dxfId="25" priority="3">
      <formula>ABS(C98-$A98)&lt;=5</formula>
    </cfRule>
    <cfRule type="expression" dxfId="24" priority="4">
      <formula>ABS(C98-$A98)&lt;=10</formula>
    </cfRule>
    <cfRule type="expression" dxfId="23" priority="11">
      <formula>ABS(C98-$A98)&lt;=15</formula>
    </cfRule>
  </conditionalFormatting>
  <conditionalFormatting sqref="C305:N305 T305:U305">
    <cfRule type="cellIs" dxfId="22" priority="1" operator="lessThan">
      <formula>$O$305-$P$305</formula>
    </cfRule>
    <cfRule type="cellIs" dxfId="21" priority="2" operator="greaterThan">
      <formula>$O$305+$P$305</formula>
    </cfRule>
    <cfRule type="cellIs" dxfId="20" priority="30" operator="between">
      <formula>$O$305-$P$305</formula>
      <formula>"$O$264+$P$264"</formula>
    </cfRule>
  </conditionalFormatting>
  <conditionalFormatting sqref="C306:N306 T306:U306">
    <cfRule type="cellIs" dxfId="19" priority="6" operator="lessThan">
      <formula>20</formula>
    </cfRule>
  </conditionalFormatting>
  <conditionalFormatting sqref="R3:R79 R81:R271">
    <cfRule type="colorScale" priority="29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W306"/>
  <sheetViews>
    <sheetView topLeftCell="A281" zoomScaleNormal="100" workbookViewId="0">
      <selection activeCell="M306" sqref="M306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58" t="s">
        <v>59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</row>
    <row r="2" spans="1:19" ht="15.75" thickBot="1" x14ac:dyDescent="0.3">
      <c r="A2" s="18" t="s">
        <v>43</v>
      </c>
      <c r="B2" s="6"/>
      <c r="C2" s="55">
        <v>0.85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8" si="4">O6-A6</f>
        <v>9</v>
      </c>
      <c r="S6">
        <f t="shared" ref="S6:S68" si="5">O6/A6</f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5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5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5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5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5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5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5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5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5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5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5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5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5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5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5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5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5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5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5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5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5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5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5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5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5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 s="25">
        <f t="shared" si="4"/>
        <v>0</v>
      </c>
      <c r="S33">
        <f t="shared" si="5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5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5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5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5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5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5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5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5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5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5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5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5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5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5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5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5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5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5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5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5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 s="25">
        <f t="shared" si="4"/>
        <v>-1</v>
      </c>
      <c r="S54">
        <f t="shared" si="5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5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5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5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5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5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5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 s="25">
        <f t="shared" si="4"/>
        <v>-28</v>
      </c>
      <c r="S61">
        <f t="shared" si="5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5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5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5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5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5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6">ROUND(AVERAGE(C67:N67),0)</f>
        <v>189</v>
      </c>
      <c r="P67" s="19">
        <f t="shared" ref="P67:P130" si="7">ROUND(_xlfn.STDEV.P(C67:N67),2)</f>
        <v>16.18</v>
      </c>
      <c r="R67" s="25">
        <f t="shared" si="4"/>
        <v>-27</v>
      </c>
      <c r="S67">
        <f t="shared" si="5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6"/>
        <v>71</v>
      </c>
      <c r="P68" s="19">
        <f t="shared" si="7"/>
        <v>7.29</v>
      </c>
      <c r="R68" s="25">
        <f t="shared" si="4"/>
        <v>0</v>
      </c>
      <c r="S68">
        <f t="shared" si="5"/>
        <v>1</v>
      </c>
    </row>
    <row r="69" spans="1:19" x14ac:dyDescent="0.25">
      <c r="A69" s="13">
        <v>34</v>
      </c>
      <c r="B69" s="21">
        <v>45894</v>
      </c>
      <c r="O69" s="19" t="e">
        <f t="shared" si="6"/>
        <v>#DIV/0!</v>
      </c>
      <c r="P69" s="19" t="e">
        <f t="shared" si="7"/>
        <v>#DIV/0!</v>
      </c>
      <c r="R69" s="25"/>
    </row>
    <row r="70" spans="1:19" x14ac:dyDescent="0.25">
      <c r="A70" s="13">
        <v>77</v>
      </c>
      <c r="B70" s="21">
        <v>45895</v>
      </c>
      <c r="O70" s="19" t="e">
        <f t="shared" si="6"/>
        <v>#DIV/0!</v>
      </c>
      <c r="P70" s="19" t="e">
        <f t="shared" si="7"/>
        <v>#DIV/0!</v>
      </c>
      <c r="R70" s="25"/>
    </row>
    <row r="71" spans="1:19" x14ac:dyDescent="0.25">
      <c r="A71" s="13">
        <v>102</v>
      </c>
      <c r="B71" s="21">
        <v>45896</v>
      </c>
      <c r="O71" s="19" t="e">
        <f t="shared" si="6"/>
        <v>#DIV/0!</v>
      </c>
      <c r="P71" s="19" t="e">
        <f t="shared" si="7"/>
        <v>#DIV/0!</v>
      </c>
      <c r="R71" s="25"/>
    </row>
    <row r="72" spans="1:19" x14ac:dyDescent="0.25">
      <c r="A72" s="13">
        <v>86</v>
      </c>
      <c r="B72" s="21">
        <v>45897</v>
      </c>
      <c r="O72" s="19" t="e">
        <f t="shared" si="6"/>
        <v>#DIV/0!</v>
      </c>
      <c r="P72" s="19" t="e">
        <f t="shared" si="7"/>
        <v>#DIV/0!</v>
      </c>
      <c r="R72" s="25"/>
    </row>
    <row r="73" spans="1:19" x14ac:dyDescent="0.25">
      <c r="A73" s="13">
        <v>140</v>
      </c>
      <c r="B73" s="21">
        <v>45898</v>
      </c>
      <c r="O73" s="19" t="e">
        <f t="shared" si="6"/>
        <v>#DIV/0!</v>
      </c>
      <c r="P73" s="19" t="e">
        <f t="shared" si="7"/>
        <v>#DIV/0!</v>
      </c>
      <c r="R73" s="25"/>
    </row>
    <row r="74" spans="1:19" x14ac:dyDescent="0.25">
      <c r="A74" s="13">
        <v>164</v>
      </c>
      <c r="B74" s="21">
        <v>45899</v>
      </c>
      <c r="O74" s="19" t="e">
        <f t="shared" si="6"/>
        <v>#DIV/0!</v>
      </c>
      <c r="P74" s="19" t="e">
        <f t="shared" si="7"/>
        <v>#DIV/0!</v>
      </c>
      <c r="R74" s="25"/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6"/>
        <v>67</v>
      </c>
      <c r="P75" s="19">
        <f t="shared" si="7"/>
        <v>10.42</v>
      </c>
      <c r="R75" s="25">
        <f t="shared" ref="R75:R104" si="8">O75-A75</f>
        <v>-1</v>
      </c>
      <c r="S75">
        <f t="shared" ref="S75:S104" si="9">O75/A75</f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6"/>
        <v>68</v>
      </c>
      <c r="P76" s="19">
        <f t="shared" si="7"/>
        <v>10.16</v>
      </c>
      <c r="R76" s="25">
        <f t="shared" si="8"/>
        <v>68</v>
      </c>
      <c r="S76">
        <f>O76/(A76+1)</f>
        <v>68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6"/>
        <v>76</v>
      </c>
      <c r="P77" s="19">
        <f t="shared" si="7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6"/>
        <v>78</v>
      </c>
      <c r="P78" s="19">
        <f t="shared" si="7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6"/>
        <v>118</v>
      </c>
      <c r="P79" s="19">
        <f t="shared" si="7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6"/>
        <v>168</v>
      </c>
      <c r="P80" s="19">
        <f t="shared" si="7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6"/>
        <v>189</v>
      </c>
      <c r="P81" s="19">
        <f t="shared" si="7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6"/>
        <v>64</v>
      </c>
      <c r="P82" s="19">
        <f t="shared" si="7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6"/>
        <v>65</v>
      </c>
      <c r="P83" s="19">
        <f t="shared" si="7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6"/>
        <v>60</v>
      </c>
      <c r="P84" s="19">
        <f t="shared" si="7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6"/>
        <v>70</v>
      </c>
      <c r="P85" s="19">
        <f t="shared" si="7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6"/>
        <v>67</v>
      </c>
      <c r="P86" s="19">
        <f t="shared" si="7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6"/>
        <v>123</v>
      </c>
      <c r="P87" s="19">
        <f t="shared" si="7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6"/>
        <v>193</v>
      </c>
      <c r="P88" s="19">
        <f t="shared" si="7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6"/>
        <v>55</v>
      </c>
      <c r="P89" s="19">
        <f t="shared" si="7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6"/>
        <v>51</v>
      </c>
      <c r="P90" s="19">
        <f t="shared" si="7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6"/>
        <v>88</v>
      </c>
      <c r="P91" s="19">
        <f t="shared" si="7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6"/>
        <v>59</v>
      </c>
      <c r="P92" s="19">
        <f t="shared" si="7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6"/>
        <v>95</v>
      </c>
      <c r="P93" s="19">
        <f t="shared" si="7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6"/>
        <v>184</v>
      </c>
      <c r="P94" s="19">
        <f t="shared" si="7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6"/>
        <v>#DIV/0!</v>
      </c>
      <c r="P95" s="19" t="e">
        <f t="shared" si="7"/>
        <v>#DIV/0!</v>
      </c>
      <c r="R95" s="25"/>
    </row>
    <row r="96" spans="1:19" x14ac:dyDescent="0.25">
      <c r="A96" s="13">
        <v>73</v>
      </c>
      <c r="B96" s="21">
        <v>45921</v>
      </c>
      <c r="O96" s="19" t="e">
        <f t="shared" si="6"/>
        <v>#DIV/0!</v>
      </c>
      <c r="P96" s="19" t="e">
        <f t="shared" si="7"/>
        <v>#DIV/0!</v>
      </c>
      <c r="R96" s="25"/>
    </row>
    <row r="97" spans="1:19" x14ac:dyDescent="0.25">
      <c r="A97" s="13">
        <v>41</v>
      </c>
      <c r="B97" s="21">
        <v>45922</v>
      </c>
      <c r="O97" s="19" t="e">
        <f t="shared" si="6"/>
        <v>#DIV/0!</v>
      </c>
      <c r="P97" s="19" t="e">
        <f t="shared" si="7"/>
        <v>#DIV/0!</v>
      </c>
      <c r="R97" s="25"/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6"/>
        <v>49</v>
      </c>
      <c r="P98" s="19">
        <f t="shared" si="7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6"/>
        <v>57</v>
      </c>
      <c r="P99" s="19">
        <f t="shared" si="7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6"/>
        <v>57</v>
      </c>
      <c r="P100" s="19">
        <f t="shared" si="7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6"/>
        <v>125</v>
      </c>
      <c r="P101" s="19">
        <f t="shared" si="7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6"/>
        <v>149</v>
      </c>
      <c r="P102" s="19">
        <f t="shared" si="7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6"/>
        <v>50</v>
      </c>
      <c r="P103" s="19">
        <f t="shared" si="7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6"/>
        <v>81</v>
      </c>
      <c r="P104" s="19">
        <f t="shared" si="7"/>
        <v>23.51</v>
      </c>
      <c r="R104" s="25">
        <f t="shared" si="8"/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6"/>
        <v>57</v>
      </c>
      <c r="P105" s="19">
        <f t="shared" si="7"/>
        <v>6.5</v>
      </c>
      <c r="R105" s="25">
        <f t="shared" ref="R105:R113" si="10">O105-A105</f>
        <v>2</v>
      </c>
      <c r="S105">
        <f t="shared" ref="S105:S113" si="11">O105/A105</f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6"/>
        <v>58</v>
      </c>
      <c r="P106" s="19">
        <f t="shared" si="7"/>
        <v>7.95</v>
      </c>
      <c r="R106" s="25">
        <f t="shared" si="10"/>
        <v>-17</v>
      </c>
      <c r="S106">
        <f t="shared" si="11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6"/>
        <v>77</v>
      </c>
      <c r="P107" s="19">
        <f t="shared" si="7"/>
        <v>18.7</v>
      </c>
      <c r="R107" s="25">
        <f t="shared" si="10"/>
        <v>-5</v>
      </c>
      <c r="S107">
        <f t="shared" si="11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6"/>
        <v>113</v>
      </c>
      <c r="P108" s="19">
        <f t="shared" si="7"/>
        <v>36.229999999999997</v>
      </c>
      <c r="R108" s="25">
        <f t="shared" si="10"/>
        <v>-31</v>
      </c>
      <c r="S108">
        <f t="shared" si="11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6"/>
        <v>148</v>
      </c>
      <c r="P109" s="19">
        <f t="shared" si="7"/>
        <v>47.16</v>
      </c>
      <c r="R109" s="25">
        <f t="shared" si="10"/>
        <v>-42</v>
      </c>
      <c r="S109">
        <f t="shared" si="11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6"/>
        <v>61</v>
      </c>
      <c r="P110" s="19">
        <f t="shared" si="7"/>
        <v>10.35</v>
      </c>
      <c r="R110" s="25">
        <f t="shared" si="10"/>
        <v>11</v>
      </c>
      <c r="S110">
        <f t="shared" si="11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6"/>
        <v>52</v>
      </c>
      <c r="P111" s="19">
        <f t="shared" si="7"/>
        <v>6.59</v>
      </c>
      <c r="R111" s="25">
        <f t="shared" si="10"/>
        <v>14</v>
      </c>
      <c r="S111">
        <f t="shared" si="11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6"/>
        <v>51</v>
      </c>
      <c r="P112" s="19">
        <f t="shared" si="7"/>
        <v>6.49</v>
      </c>
      <c r="R112" s="25">
        <f t="shared" si="10"/>
        <v>-54</v>
      </c>
      <c r="S112">
        <f t="shared" si="11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6"/>
        <v>58</v>
      </c>
      <c r="P113" s="19">
        <f t="shared" si="7"/>
        <v>6.16</v>
      </c>
      <c r="R113" s="25">
        <f t="shared" si="10"/>
        <v>20</v>
      </c>
      <c r="S113">
        <f t="shared" si="11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6"/>
        <v>55</v>
      </c>
      <c r="P114" s="19">
        <f t="shared" si="7"/>
        <v>6.54</v>
      </c>
      <c r="R114" s="25">
        <f t="shared" ref="R114:R150" si="12">O114-A114</f>
        <v>-4</v>
      </c>
      <c r="S114">
        <f t="shared" ref="S114:S135" si="13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6"/>
        <v>130</v>
      </c>
      <c r="P115" s="19">
        <f t="shared" si="7"/>
        <v>15.97</v>
      </c>
      <c r="R115" s="25">
        <f t="shared" si="12"/>
        <v>39</v>
      </c>
      <c r="S115">
        <f t="shared" si="13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6"/>
        <v>176</v>
      </c>
      <c r="P116" s="19">
        <f t="shared" si="7"/>
        <v>10.89</v>
      </c>
      <c r="R116" s="25">
        <f t="shared" si="12"/>
        <v>38</v>
      </c>
      <c r="S116">
        <f t="shared" si="13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6"/>
        <v>49</v>
      </c>
      <c r="P117" s="19">
        <f t="shared" si="7"/>
        <v>5.84</v>
      </c>
      <c r="R117" s="25">
        <f t="shared" si="12"/>
        <v>30</v>
      </c>
      <c r="S117">
        <f t="shared" si="13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6"/>
        <v>44</v>
      </c>
      <c r="P118" s="19">
        <f t="shared" si="7"/>
        <v>9.85</v>
      </c>
      <c r="R118" s="25">
        <f t="shared" si="12"/>
        <v>11</v>
      </c>
      <c r="S118">
        <f t="shared" si="13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6"/>
        <v>58</v>
      </c>
      <c r="P119" s="19">
        <f t="shared" si="7"/>
        <v>15.07</v>
      </c>
      <c r="R119" s="25">
        <f t="shared" si="12"/>
        <v>33</v>
      </c>
      <c r="S119">
        <f t="shared" si="13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6"/>
        <v>49</v>
      </c>
      <c r="P120" s="19">
        <f t="shared" si="7"/>
        <v>11.13</v>
      </c>
      <c r="R120" s="25">
        <f>O120-A120</f>
        <v>12</v>
      </c>
      <c r="S120">
        <f t="shared" si="13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6"/>
        <v>72</v>
      </c>
      <c r="P121" s="19">
        <f t="shared" si="7"/>
        <v>13.89</v>
      </c>
      <c r="R121" s="25">
        <f t="shared" si="12"/>
        <v>10</v>
      </c>
      <c r="S121">
        <f t="shared" si="13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6"/>
        <v>134</v>
      </c>
      <c r="P122" s="19">
        <f t="shared" si="7"/>
        <v>25.42</v>
      </c>
      <c r="R122" s="25">
        <f t="shared" si="12"/>
        <v>8</v>
      </c>
      <c r="S122">
        <f t="shared" si="13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6"/>
        <v>163</v>
      </c>
      <c r="P123" s="19">
        <f t="shared" si="7"/>
        <v>17.72</v>
      </c>
      <c r="R123" s="25">
        <f t="shared" si="12"/>
        <v>22</v>
      </c>
      <c r="S123">
        <f t="shared" si="13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6"/>
        <v>49</v>
      </c>
      <c r="P124" s="19">
        <f t="shared" si="7"/>
        <v>9.67</v>
      </c>
      <c r="R124" s="25">
        <f t="shared" si="12"/>
        <v>-16</v>
      </c>
      <c r="S124">
        <f t="shared" si="13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6"/>
        <v>37</v>
      </c>
      <c r="P125" s="19">
        <f t="shared" si="7"/>
        <v>19.34</v>
      </c>
      <c r="R125" s="25">
        <f t="shared" si="12"/>
        <v>-9</v>
      </c>
      <c r="S125">
        <f t="shared" si="13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6"/>
        <v>43</v>
      </c>
      <c r="P126" s="19">
        <f t="shared" si="7"/>
        <v>13.22</v>
      </c>
      <c r="R126" s="25">
        <f t="shared" si="12"/>
        <v>12</v>
      </c>
      <c r="S126">
        <f t="shared" si="13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6"/>
        <v>58</v>
      </c>
      <c r="P127" s="19">
        <f t="shared" si="7"/>
        <v>9.17</v>
      </c>
      <c r="R127" s="25">
        <f t="shared" si="12"/>
        <v>-26</v>
      </c>
      <c r="S127">
        <f t="shared" si="13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6"/>
        <v>78</v>
      </c>
      <c r="P128" s="19">
        <f t="shared" si="7"/>
        <v>12.09</v>
      </c>
      <c r="R128" s="25">
        <f t="shared" si="12"/>
        <v>50</v>
      </c>
      <c r="S128">
        <f t="shared" si="13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6"/>
        <v>130</v>
      </c>
      <c r="P129" s="19">
        <f t="shared" si="7"/>
        <v>24.1</v>
      </c>
      <c r="R129" s="25">
        <f t="shared" si="12"/>
        <v>-1</v>
      </c>
      <c r="S129">
        <f t="shared" si="13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6"/>
        <v>157</v>
      </c>
      <c r="P130" s="19">
        <f t="shared" si="7"/>
        <v>15.82</v>
      </c>
      <c r="R130" s="25">
        <f t="shared" si="12"/>
        <v>-42</v>
      </c>
      <c r="S130">
        <f t="shared" si="13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4">ROUND(AVERAGE(C131:N131),0)</f>
        <v>57</v>
      </c>
      <c r="P131" s="19">
        <f t="shared" ref="P131:P165" si="15">ROUND(_xlfn.STDEV.P(C131:N131),2)</f>
        <v>10.59</v>
      </c>
      <c r="R131" s="25">
        <f t="shared" si="12"/>
        <v>8</v>
      </c>
      <c r="S131">
        <f t="shared" si="13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4"/>
        <v>37</v>
      </c>
      <c r="P132" s="19">
        <f t="shared" si="15"/>
        <v>8.11</v>
      </c>
      <c r="R132" s="25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4"/>
        <v>36</v>
      </c>
      <c r="P133" s="19">
        <f t="shared" si="15"/>
        <v>10.53</v>
      </c>
      <c r="R133" s="25">
        <f t="shared" si="12"/>
        <v>-22</v>
      </c>
      <c r="S133">
        <f t="shared" si="13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4"/>
        <v>46</v>
      </c>
      <c r="P134" s="19">
        <f t="shared" si="15"/>
        <v>11.88</v>
      </c>
      <c r="R134" s="25">
        <f t="shared" si="12"/>
        <v>12</v>
      </c>
      <c r="S134">
        <f t="shared" si="13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4"/>
        <v>81</v>
      </c>
      <c r="P135" s="19">
        <f t="shared" si="15"/>
        <v>11.17</v>
      </c>
      <c r="R135" s="25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4"/>
        <v>86</v>
      </c>
      <c r="P136" s="19">
        <f t="shared" si="15"/>
        <v>14.08</v>
      </c>
      <c r="R136" s="25">
        <f t="shared" si="12"/>
        <v>48</v>
      </c>
      <c r="S136">
        <f t="shared" ref="S136:S150" si="16">O136/A136</f>
        <v>2.263157894736842</v>
      </c>
    </row>
    <row r="137" spans="1:21" x14ac:dyDescent="0.25">
      <c r="A137" s="36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4"/>
        <v>158</v>
      </c>
      <c r="P137" s="19">
        <f t="shared" si="15"/>
        <v>17.88</v>
      </c>
      <c r="R137" s="25">
        <f t="shared" si="12"/>
        <v>-4</v>
      </c>
      <c r="S137">
        <f t="shared" si="16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4"/>
        <v>44</v>
      </c>
      <c r="P138" s="19">
        <f t="shared" si="15"/>
        <v>16.04</v>
      </c>
      <c r="R138" s="25">
        <f t="shared" si="12"/>
        <v>9</v>
      </c>
      <c r="S138">
        <f t="shared" si="16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4"/>
        <v>50</v>
      </c>
      <c r="P139" s="19">
        <f t="shared" si="15"/>
        <v>18.489999999999998</v>
      </c>
      <c r="R139" s="25">
        <f t="shared" si="12"/>
        <v>-11</v>
      </c>
      <c r="S139">
        <f t="shared" si="16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4"/>
        <v>25</v>
      </c>
      <c r="P140" s="19">
        <f t="shared" si="15"/>
        <v>9.91</v>
      </c>
      <c r="R140" s="25">
        <f t="shared" si="12"/>
        <v>-16</v>
      </c>
      <c r="S140">
        <f t="shared" si="16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4"/>
        <v>56</v>
      </c>
      <c r="P141" s="19">
        <f t="shared" si="15"/>
        <v>16.399999999999999</v>
      </c>
      <c r="R141" s="25">
        <f t="shared" si="12"/>
        <v>9</v>
      </c>
      <c r="S141">
        <f t="shared" si="16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4"/>
        <v>72</v>
      </c>
      <c r="P142" s="19">
        <f t="shared" si="15"/>
        <v>12.6</v>
      </c>
      <c r="R142" s="25">
        <f t="shared" si="12"/>
        <v>11</v>
      </c>
      <c r="S142">
        <f t="shared" si="16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4"/>
        <v>127</v>
      </c>
      <c r="P143" s="19">
        <f t="shared" si="15"/>
        <v>36.29</v>
      </c>
      <c r="R143" s="25">
        <f t="shared" si="12"/>
        <v>-18</v>
      </c>
      <c r="S143">
        <f t="shared" si="16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4"/>
        <v>142</v>
      </c>
      <c r="P144" s="19">
        <f t="shared" si="15"/>
        <v>31.65</v>
      </c>
      <c r="R144" s="25">
        <f t="shared" si="12"/>
        <v>0</v>
      </c>
      <c r="S144">
        <f t="shared" si="16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4"/>
        <v>45</v>
      </c>
      <c r="P145" s="19">
        <f t="shared" si="15"/>
        <v>19.29</v>
      </c>
      <c r="R145" s="25">
        <f t="shared" si="12"/>
        <v>17</v>
      </c>
      <c r="S145">
        <f t="shared" si="16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4"/>
        <v>33</v>
      </c>
      <c r="P146" s="19">
        <f t="shared" si="15"/>
        <v>14.54</v>
      </c>
      <c r="R146" s="25">
        <f t="shared" si="12"/>
        <v>-1</v>
      </c>
      <c r="S146">
        <f t="shared" si="16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4"/>
        <v>38</v>
      </c>
      <c r="P147" s="19">
        <f t="shared" si="15"/>
        <v>18.399999999999999</v>
      </c>
      <c r="R147" s="25">
        <f t="shared" si="12"/>
        <v>4</v>
      </c>
      <c r="S147">
        <f t="shared" si="16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4"/>
        <v>54</v>
      </c>
      <c r="P148" s="19">
        <f t="shared" si="15"/>
        <v>17.989999999999998</v>
      </c>
      <c r="R148" s="25">
        <f t="shared" si="12"/>
        <v>32</v>
      </c>
      <c r="S148">
        <f t="shared" si="16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4"/>
        <v>84</v>
      </c>
      <c r="P149" s="19">
        <f t="shared" si="15"/>
        <v>27.26</v>
      </c>
      <c r="R149" s="25">
        <f t="shared" si="12"/>
        <v>6</v>
      </c>
      <c r="S149">
        <f t="shared" si="16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4"/>
        <v>135</v>
      </c>
      <c r="P150" s="19">
        <f t="shared" si="15"/>
        <v>19.149999999999999</v>
      </c>
      <c r="R150" s="25">
        <f t="shared" si="12"/>
        <v>25</v>
      </c>
      <c r="S150">
        <f t="shared" si="16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5"/>
        <v>20.75</v>
      </c>
      <c r="R151" s="25">
        <f t="shared" ref="R151:R165" si="17">O151-A151</f>
        <v>-4</v>
      </c>
      <c r="S151">
        <f t="shared" ref="S151:S165" si="18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9">ROUND(AVERAGE(C152:N152,T152,U152),0)</f>
        <v>50</v>
      </c>
      <c r="P152" s="19">
        <f t="shared" si="15"/>
        <v>17.61</v>
      </c>
      <c r="R152" s="25">
        <f t="shared" si="17"/>
        <v>-9</v>
      </c>
      <c r="S152">
        <f t="shared" si="18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9"/>
        <v>33</v>
      </c>
      <c r="P153" s="19">
        <f t="shared" si="15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9"/>
        <v>41</v>
      </c>
      <c r="P154" s="19">
        <f t="shared" si="15"/>
        <v>14.13</v>
      </c>
      <c r="R154" s="25">
        <f t="shared" si="17"/>
        <v>-21</v>
      </c>
      <c r="S154">
        <f t="shared" si="18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9"/>
        <v>61</v>
      </c>
      <c r="P155" s="19">
        <f t="shared" si="15"/>
        <v>20.52</v>
      </c>
      <c r="R155" s="25">
        <f t="shared" si="17"/>
        <v>12</v>
      </c>
      <c r="S155">
        <f t="shared" si="18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9"/>
        <v>81</v>
      </c>
      <c r="P156" s="19">
        <f t="shared" si="15"/>
        <v>25.35</v>
      </c>
      <c r="R156" s="25">
        <f t="shared" si="17"/>
        <v>33</v>
      </c>
      <c r="S156">
        <f t="shared" si="18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9"/>
        <v>123</v>
      </c>
      <c r="P157" s="19">
        <f t="shared" si="15"/>
        <v>35.19</v>
      </c>
      <c r="R157" s="25">
        <f t="shared" si="17"/>
        <v>8</v>
      </c>
      <c r="S157">
        <f t="shared" si="18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9"/>
        <v>166</v>
      </c>
      <c r="P158" s="19">
        <f t="shared" si="15"/>
        <v>30.87</v>
      </c>
      <c r="R158" s="25">
        <f t="shared" si="17"/>
        <v>11</v>
      </c>
      <c r="S158">
        <f t="shared" si="18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9"/>
        <v>43</v>
      </c>
      <c r="P159" s="19">
        <f t="shared" si="15"/>
        <v>14.53</v>
      </c>
      <c r="R159" s="25">
        <f t="shared" si="17"/>
        <v>5</v>
      </c>
      <c r="S159">
        <f t="shared" si="18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9"/>
        <v>47</v>
      </c>
      <c r="P160" s="19">
        <f t="shared" si="15"/>
        <v>18.04</v>
      </c>
      <c r="R160" s="25">
        <f t="shared" si="17"/>
        <v>8</v>
      </c>
      <c r="S160">
        <f t="shared" si="18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9"/>
        <v>55</v>
      </c>
      <c r="P161" s="19">
        <f t="shared" si="15"/>
        <v>20.16</v>
      </c>
      <c r="R161" s="25">
        <f t="shared" si="17"/>
        <v>14</v>
      </c>
      <c r="S161">
        <f t="shared" si="18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9"/>
        <v>61</v>
      </c>
      <c r="P162" s="19">
        <f t="shared" si="15"/>
        <v>22.78</v>
      </c>
      <c r="R162" s="25">
        <f t="shared" si="17"/>
        <v>27</v>
      </c>
      <c r="S162">
        <f t="shared" si="18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9"/>
        <v>70</v>
      </c>
      <c r="P163" s="19">
        <f t="shared" si="15"/>
        <v>23.41</v>
      </c>
      <c r="R163" s="25">
        <f t="shared" si="17"/>
        <v>70</v>
      </c>
      <c r="S163">
        <f>O163/(A163+1)</f>
        <v>70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9"/>
        <v>115</v>
      </c>
      <c r="P164" s="19">
        <f t="shared" si="15"/>
        <v>29.07</v>
      </c>
      <c r="R164" s="25">
        <f t="shared" si="17"/>
        <v>95</v>
      </c>
      <c r="S164">
        <f t="shared" si="18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9"/>
        <v>148</v>
      </c>
      <c r="P165" s="19">
        <f t="shared" si="15"/>
        <v>27.85</v>
      </c>
      <c r="R165" s="25">
        <f t="shared" si="17"/>
        <v>96</v>
      </c>
      <c r="S165">
        <f t="shared" si="18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20">O166-A166</f>
        <v>14</v>
      </c>
      <c r="S166">
        <f t="shared" ref="S166:S174" si="21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9"/>
        <v>72</v>
      </c>
      <c r="P167" s="19">
        <f>ROUND(_xlfn.STDEV.P(C167:N167,T167,U167),2)</f>
        <v>25.75</v>
      </c>
      <c r="R167" s="25">
        <f t="shared" si="20"/>
        <v>52</v>
      </c>
      <c r="S167">
        <f t="shared" si="21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9"/>
        <v>79</v>
      </c>
      <c r="P168" s="19">
        <f t="shared" ref="P168:P197" si="22">ROUND(_xlfn.STDEV.P(C168:N168,T168,U168),2)</f>
        <v>19.13</v>
      </c>
      <c r="R168" s="25">
        <f t="shared" si="20"/>
        <v>13</v>
      </c>
      <c r="S168">
        <f t="shared" si="21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9"/>
        <v>94</v>
      </c>
      <c r="P169" s="19">
        <f t="shared" si="22"/>
        <v>6.9</v>
      </c>
      <c r="R169" s="25">
        <f t="shared" si="20"/>
        <v>-1</v>
      </c>
      <c r="S169">
        <f t="shared" si="21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9"/>
        <v>98</v>
      </c>
      <c r="P170" s="19">
        <f t="shared" si="22"/>
        <v>7.83</v>
      </c>
      <c r="R170" s="25">
        <f t="shared" si="20"/>
        <v>-17</v>
      </c>
      <c r="S170">
        <f t="shared" si="21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9"/>
        <v>129</v>
      </c>
      <c r="P171" s="19">
        <f t="shared" si="22"/>
        <v>5.07</v>
      </c>
      <c r="R171" s="25">
        <f t="shared" si="20"/>
        <v>16</v>
      </c>
      <c r="S171">
        <f t="shared" si="21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9"/>
        <v>170</v>
      </c>
      <c r="P172" s="19">
        <f t="shared" si="22"/>
        <v>4.78</v>
      </c>
      <c r="R172" s="25">
        <f t="shared" si="20"/>
        <v>9</v>
      </c>
      <c r="S172">
        <f t="shared" si="21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9"/>
        <v>88</v>
      </c>
      <c r="P173" s="19">
        <f t="shared" si="22"/>
        <v>6.23</v>
      </c>
      <c r="R173" s="25">
        <f t="shared" si="20"/>
        <v>15</v>
      </c>
      <c r="S173">
        <f t="shared" si="21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9"/>
        <v>63</v>
      </c>
      <c r="P174" s="19">
        <f t="shared" si="22"/>
        <v>7.57</v>
      </c>
      <c r="R174" s="25">
        <f t="shared" si="20"/>
        <v>16</v>
      </c>
      <c r="S174">
        <f t="shared" si="21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9"/>
        <v>56</v>
      </c>
      <c r="P175" s="19">
        <f t="shared" si="22"/>
        <v>9.08</v>
      </c>
      <c r="R175" s="25">
        <f t="shared" ref="R175:R203" si="23">O175-A175</f>
        <v>-16</v>
      </c>
      <c r="S175">
        <f t="shared" ref="S175:S203" si="24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9"/>
        <v>80</v>
      </c>
      <c r="P176" s="19">
        <f t="shared" si="22"/>
        <v>18.34</v>
      </c>
      <c r="R176" s="25">
        <f t="shared" si="23"/>
        <v>37</v>
      </c>
      <c r="S176">
        <f t="shared" si="24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9"/>
        <v>94</v>
      </c>
      <c r="P177" s="19">
        <f t="shared" si="22"/>
        <v>17.98</v>
      </c>
      <c r="R177" s="25">
        <f t="shared" si="23"/>
        <v>-6</v>
      </c>
      <c r="S177">
        <f t="shared" si="24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9"/>
        <v>122</v>
      </c>
      <c r="P178" s="19">
        <f t="shared" si="22"/>
        <v>25.09</v>
      </c>
      <c r="R178" s="25">
        <f t="shared" si="23"/>
        <v>-54</v>
      </c>
      <c r="S178">
        <f t="shared" si="24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9"/>
        <v>184</v>
      </c>
      <c r="P179" s="19">
        <f t="shared" si="22"/>
        <v>34.020000000000003</v>
      </c>
      <c r="R179" s="25">
        <f t="shared" si="23"/>
        <v>32</v>
      </c>
      <c r="S179">
        <f t="shared" si="24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9"/>
        <v>66</v>
      </c>
      <c r="P180" s="19">
        <f t="shared" si="22"/>
        <v>17.91</v>
      </c>
      <c r="R180" s="25">
        <f t="shared" si="23"/>
        <v>24</v>
      </c>
      <c r="S180">
        <f t="shared" si="24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9"/>
        <v>59</v>
      </c>
      <c r="P181" s="19">
        <f t="shared" si="22"/>
        <v>11.89</v>
      </c>
      <c r="R181" s="25">
        <f t="shared" si="23"/>
        <v>33</v>
      </c>
      <c r="S181">
        <f t="shared" si="24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9"/>
        <v>58</v>
      </c>
      <c r="P182" s="19">
        <f t="shared" si="22"/>
        <v>10.9</v>
      </c>
      <c r="R182" s="25">
        <f t="shared" si="23"/>
        <v>0</v>
      </c>
      <c r="S182">
        <f t="shared" si="24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9"/>
        <v>96</v>
      </c>
      <c r="P183" s="19">
        <f t="shared" si="22"/>
        <v>22.31</v>
      </c>
      <c r="R183" s="25">
        <f t="shared" si="23"/>
        <v>29</v>
      </c>
      <c r="S183">
        <f t="shared" si="24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9"/>
        <v>142</v>
      </c>
      <c r="P184" s="19">
        <f t="shared" si="22"/>
        <v>28.19</v>
      </c>
      <c r="R184" s="25">
        <f t="shared" si="23"/>
        <v>61</v>
      </c>
      <c r="S184">
        <f t="shared" si="24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9"/>
        <v>190</v>
      </c>
      <c r="P185" s="19">
        <f t="shared" si="22"/>
        <v>15.26</v>
      </c>
      <c r="R185" s="25">
        <f t="shared" si="23"/>
        <v>14</v>
      </c>
      <c r="S185">
        <f t="shared" si="24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9"/>
        <v>185</v>
      </c>
      <c r="P186" s="19">
        <f t="shared" si="22"/>
        <v>30.19</v>
      </c>
      <c r="R186" s="25">
        <f t="shared" si="23"/>
        <v>33</v>
      </c>
      <c r="S186">
        <f t="shared" si="24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9"/>
        <v>110</v>
      </c>
      <c r="P187" s="19">
        <f t="shared" si="22"/>
        <v>25.21</v>
      </c>
      <c r="R187" s="25">
        <f t="shared" si="23"/>
        <v>41</v>
      </c>
      <c r="S187">
        <f t="shared" si="24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9"/>
        <v>97</v>
      </c>
      <c r="P188" s="19">
        <f t="shared" si="22"/>
        <v>27.42</v>
      </c>
      <c r="R188" s="25">
        <f t="shared" si="23"/>
        <v>3</v>
      </c>
      <c r="S188">
        <f t="shared" si="24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9"/>
        <v>90</v>
      </c>
      <c r="P189" s="19">
        <f t="shared" si="22"/>
        <v>19.77</v>
      </c>
      <c r="R189" s="25">
        <f t="shared" si="23"/>
        <v>14</v>
      </c>
      <c r="S189">
        <f t="shared" si="24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9"/>
        <v>108</v>
      </c>
      <c r="P190" s="19">
        <f t="shared" si="22"/>
        <v>29.73</v>
      </c>
      <c r="R190" s="25">
        <f t="shared" si="23"/>
        <v>-29</v>
      </c>
      <c r="S190">
        <f t="shared" si="24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9"/>
        <v>41</v>
      </c>
      <c r="P191" s="19">
        <f t="shared" si="22"/>
        <v>22.51</v>
      </c>
      <c r="R191" s="25">
        <f t="shared" si="23"/>
        <v>41</v>
      </c>
      <c r="S191" t="e">
        <f t="shared" si="24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9"/>
        <v>111</v>
      </c>
      <c r="P192" s="19">
        <f t="shared" si="22"/>
        <v>38.450000000000003</v>
      </c>
      <c r="R192" s="25">
        <f t="shared" si="23"/>
        <v>-27</v>
      </c>
      <c r="S192">
        <f t="shared" si="24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9"/>
        <v>198</v>
      </c>
      <c r="P193" s="19">
        <f>ROUND(_xlfn.STDEV.P(C193:N193,T193,U193),2)</f>
        <v>35.15</v>
      </c>
      <c r="R193" s="25">
        <f t="shared" si="23"/>
        <v>46</v>
      </c>
      <c r="S193">
        <f t="shared" si="24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2"/>
        <v>12.74</v>
      </c>
      <c r="R194" s="25">
        <f t="shared" si="23"/>
        <v>-7</v>
      </c>
      <c r="S194">
        <f t="shared" si="24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9"/>
        <v>104</v>
      </c>
      <c r="P195" s="19">
        <f t="shared" si="22"/>
        <v>22.48</v>
      </c>
      <c r="R195" s="25">
        <f t="shared" si="23"/>
        <v>55</v>
      </c>
      <c r="S195">
        <f t="shared" si="24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9"/>
        <v>82</v>
      </c>
      <c r="P196" s="19">
        <f t="shared" si="22"/>
        <v>17.28</v>
      </c>
      <c r="R196" s="25">
        <f t="shared" si="23"/>
        <v>12</v>
      </c>
      <c r="S196">
        <f t="shared" si="24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9"/>
        <v>136</v>
      </c>
      <c r="P197" s="19">
        <f t="shared" si="22"/>
        <v>44.17</v>
      </c>
      <c r="R197" s="25">
        <f t="shared" si="23"/>
        <v>-63</v>
      </c>
      <c r="S197">
        <f t="shared" si="24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5">ROUND(AVERAGE(C198:N198,T198,U198),0)</f>
        <v>67</v>
      </c>
      <c r="P198" s="19">
        <f t="shared" ref="P198:P261" si="26">ROUND(_xlfn.STDEV.P(C198:N198,T198,U198),2)</f>
        <v>13.44</v>
      </c>
      <c r="R198" s="25">
        <f t="shared" si="23"/>
        <v>67</v>
      </c>
      <c r="S198">
        <f>O198/(A198+1)</f>
        <v>67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5"/>
        <v>120</v>
      </c>
      <c r="P199" s="19">
        <f t="shared" si="26"/>
        <v>21.18</v>
      </c>
      <c r="R199" s="25">
        <f t="shared" si="23"/>
        <v>7</v>
      </c>
      <c r="S199">
        <f t="shared" si="24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5"/>
        <v>154</v>
      </c>
      <c r="P200" s="19">
        <f t="shared" si="26"/>
        <v>30.74</v>
      </c>
      <c r="R200" s="25">
        <f t="shared" si="23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5"/>
        <v>36</v>
      </c>
      <c r="P201" s="19">
        <f t="shared" si="26"/>
        <v>9.83</v>
      </c>
      <c r="R201" s="25">
        <f>O201-A201</f>
        <v>-5</v>
      </c>
      <c r="S201">
        <f t="shared" si="24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5"/>
        <v>34</v>
      </c>
      <c r="P202" s="19">
        <f t="shared" si="26"/>
        <v>9.76</v>
      </c>
      <c r="R202" s="25">
        <f t="shared" si="23"/>
        <v>21</v>
      </c>
      <c r="S202">
        <f t="shared" si="24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5"/>
        <v>37</v>
      </c>
      <c r="P203" s="19">
        <f t="shared" si="26"/>
        <v>9.8800000000000008</v>
      </c>
      <c r="R203" s="25">
        <f t="shared" si="23"/>
        <v>19</v>
      </c>
      <c r="S203">
        <f t="shared" si="24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5"/>
        <v>48</v>
      </c>
      <c r="P204" s="19">
        <f t="shared" si="26"/>
        <v>10.210000000000001</v>
      </c>
      <c r="R204" s="25">
        <f t="shared" ref="R204:R213" si="27">O204-A204</f>
        <v>20</v>
      </c>
      <c r="S204">
        <f t="shared" ref="S204:S213" si="28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5"/>
        <v>76</v>
      </c>
      <c r="P205" s="19">
        <f t="shared" si="26"/>
        <v>30.63</v>
      </c>
      <c r="R205" s="25">
        <f t="shared" si="27"/>
        <v>30</v>
      </c>
      <c r="S205">
        <f t="shared" si="28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5"/>
        <v>116</v>
      </c>
      <c r="P206" s="19">
        <f t="shared" si="26"/>
        <v>14.69</v>
      </c>
      <c r="R206" s="25">
        <f t="shared" si="27"/>
        <v>3</v>
      </c>
      <c r="S206">
        <f t="shared" si="28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5"/>
        <v>125</v>
      </c>
      <c r="P207" s="19">
        <f t="shared" si="26"/>
        <v>24.44</v>
      </c>
      <c r="R207" s="25">
        <f t="shared" si="27"/>
        <v>59</v>
      </c>
      <c r="S207">
        <f t="shared" si="28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5"/>
        <v>41</v>
      </c>
      <c r="P208" s="19">
        <f t="shared" si="26"/>
        <v>13.99</v>
      </c>
      <c r="R208" s="25">
        <f t="shared" si="27"/>
        <v>-9</v>
      </c>
      <c r="S208">
        <f t="shared" si="28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5"/>
        <v>36</v>
      </c>
      <c r="P209" s="19">
        <f t="shared" si="26"/>
        <v>7.38</v>
      </c>
      <c r="R209" s="25">
        <f t="shared" si="27"/>
        <v>16</v>
      </c>
      <c r="S209">
        <f t="shared" si="28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5"/>
        <v>42</v>
      </c>
      <c r="P210" s="19">
        <f t="shared" si="26"/>
        <v>5.13</v>
      </c>
      <c r="R210" s="25">
        <f t="shared" si="27"/>
        <v>22</v>
      </c>
      <c r="S210">
        <f t="shared" si="28"/>
        <v>2.1</v>
      </c>
      <c r="T210">
        <v>49</v>
      </c>
      <c r="U210">
        <v>36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32</v>
      </c>
      <c r="I211">
        <v>50</v>
      </c>
      <c r="J211">
        <v>88</v>
      </c>
      <c r="K211">
        <v>32</v>
      </c>
      <c r="L211">
        <v>41</v>
      </c>
      <c r="M211">
        <v>42</v>
      </c>
      <c r="N211">
        <v>35</v>
      </c>
      <c r="O211" s="19">
        <f t="shared" si="25"/>
        <v>48</v>
      </c>
      <c r="P211" s="19">
        <f t="shared" si="26"/>
        <v>16.23</v>
      </c>
      <c r="R211" s="25">
        <f t="shared" si="27"/>
        <v>13</v>
      </c>
      <c r="S211">
        <f t="shared" si="28"/>
        <v>1.3714285714285714</v>
      </c>
      <c r="T211">
        <v>49</v>
      </c>
      <c r="U211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5"/>
        <v>82</v>
      </c>
      <c r="P212" s="19">
        <f t="shared" si="26"/>
        <v>28.53</v>
      </c>
      <c r="R212" s="25">
        <f t="shared" si="27"/>
        <v>71</v>
      </c>
      <c r="S212">
        <f t="shared" si="28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5"/>
        <v>139</v>
      </c>
      <c r="P213" s="19">
        <f t="shared" si="26"/>
        <v>32.82</v>
      </c>
      <c r="R213" s="25">
        <f t="shared" si="27"/>
        <v>58</v>
      </c>
      <c r="S213">
        <f t="shared" si="28"/>
        <v>1.7160493827160495</v>
      </c>
      <c r="T213">
        <v>137</v>
      </c>
      <c r="U213">
        <v>182</v>
      </c>
    </row>
    <row r="214" spans="1:21" x14ac:dyDescent="0.25">
      <c r="A214" s="13">
        <v>174</v>
      </c>
      <c r="B214" s="21">
        <v>46039</v>
      </c>
      <c r="C214">
        <v>153</v>
      </c>
      <c r="D214">
        <v>134</v>
      </c>
      <c r="E214">
        <v>134</v>
      </c>
      <c r="F214">
        <v>125</v>
      </c>
      <c r="G214">
        <v>120</v>
      </c>
      <c r="H214">
        <v>105</v>
      </c>
      <c r="I214">
        <v>131</v>
      </c>
      <c r="J214">
        <v>121</v>
      </c>
      <c r="K214">
        <v>161</v>
      </c>
      <c r="L214">
        <v>142</v>
      </c>
      <c r="M214">
        <v>148</v>
      </c>
      <c r="N214">
        <v>135</v>
      </c>
      <c r="O214" s="19">
        <f t="shared" si="25"/>
        <v>133</v>
      </c>
      <c r="P214" s="19">
        <f t="shared" si="26"/>
        <v>14.25</v>
      </c>
      <c r="R214" s="25">
        <f t="shared" ref="R214:R223" si="29">O214-A214</f>
        <v>-41</v>
      </c>
      <c r="S214">
        <f t="shared" ref="S214:S223" si="30">O214/A214</f>
        <v>0.76436781609195403</v>
      </c>
      <c r="T214">
        <v>125</v>
      </c>
      <c r="U214">
        <v>122</v>
      </c>
    </row>
    <row r="215" spans="1:21" x14ac:dyDescent="0.25">
      <c r="A215" s="13">
        <v>18</v>
      </c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5"/>
        <v>44</v>
      </c>
      <c r="P215" s="19">
        <f t="shared" si="26"/>
        <v>12.99</v>
      </c>
      <c r="R215" s="25">
        <f t="shared" si="29"/>
        <v>26</v>
      </c>
      <c r="S215">
        <f t="shared" si="30"/>
        <v>2.4444444444444446</v>
      </c>
      <c r="T215">
        <v>68</v>
      </c>
      <c r="U215">
        <v>32</v>
      </c>
    </row>
    <row r="216" spans="1:21" x14ac:dyDescent="0.25">
      <c r="A216" s="13">
        <v>16</v>
      </c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5"/>
        <v>34</v>
      </c>
      <c r="P216" s="19">
        <f t="shared" si="26"/>
        <v>12.85</v>
      </c>
      <c r="R216" s="25">
        <f t="shared" si="29"/>
        <v>18</v>
      </c>
      <c r="S216">
        <f t="shared" si="30"/>
        <v>2.125</v>
      </c>
      <c r="T216">
        <v>51</v>
      </c>
      <c r="U216">
        <v>22</v>
      </c>
    </row>
    <row r="217" spans="1:21" x14ac:dyDescent="0.25">
      <c r="A217" s="13">
        <v>23</v>
      </c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5"/>
        <v>45</v>
      </c>
      <c r="P217" s="19">
        <f t="shared" si="26"/>
        <v>9.18</v>
      </c>
      <c r="R217" s="25">
        <f t="shared" si="29"/>
        <v>22</v>
      </c>
      <c r="S217">
        <f t="shared" si="30"/>
        <v>1.9565217391304348</v>
      </c>
      <c r="T217">
        <v>45</v>
      </c>
      <c r="U217">
        <v>32</v>
      </c>
    </row>
    <row r="218" spans="1:21" x14ac:dyDescent="0.25">
      <c r="A218" s="13">
        <v>103</v>
      </c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5"/>
        <v>43</v>
      </c>
      <c r="P218" s="19">
        <f t="shared" si="26"/>
        <v>10.95</v>
      </c>
      <c r="R218" s="25">
        <f t="shared" si="29"/>
        <v>-60</v>
      </c>
      <c r="S218">
        <f t="shared" si="30"/>
        <v>0.41747572815533979</v>
      </c>
      <c r="T218">
        <v>40</v>
      </c>
      <c r="U218">
        <v>35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5"/>
        <v>51</v>
      </c>
      <c r="P219" s="19">
        <f t="shared" si="26"/>
        <v>7.5</v>
      </c>
      <c r="R219" s="25">
        <f t="shared" si="29"/>
        <v>8</v>
      </c>
      <c r="S219">
        <f t="shared" si="30"/>
        <v>1.1860465116279071</v>
      </c>
      <c r="T219">
        <v>46</v>
      </c>
      <c r="U219">
        <v>43</v>
      </c>
    </row>
    <row r="220" spans="1:21" x14ac:dyDescent="0.25">
      <c r="A220" s="13">
        <v>38</v>
      </c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5"/>
        <v>102</v>
      </c>
      <c r="P220" s="19">
        <f t="shared" si="26"/>
        <v>24.49</v>
      </c>
      <c r="R220" s="25">
        <f t="shared" si="29"/>
        <v>64</v>
      </c>
      <c r="S220">
        <f t="shared" si="30"/>
        <v>2.6842105263157894</v>
      </c>
      <c r="T220">
        <v>85</v>
      </c>
      <c r="U220">
        <v>86</v>
      </c>
    </row>
    <row r="221" spans="1:21" x14ac:dyDescent="0.25">
      <c r="A221" s="13">
        <v>156</v>
      </c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5"/>
        <v>123</v>
      </c>
      <c r="P221" s="19">
        <f t="shared" si="26"/>
        <v>18.93</v>
      </c>
      <c r="R221" s="25">
        <f t="shared" si="29"/>
        <v>-33</v>
      </c>
      <c r="S221">
        <f t="shared" si="30"/>
        <v>0.78846153846153844</v>
      </c>
      <c r="T221">
        <v>85</v>
      </c>
      <c r="U221">
        <v>113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5"/>
        <v>42</v>
      </c>
      <c r="P222" s="19">
        <f t="shared" si="26"/>
        <v>10.97</v>
      </c>
      <c r="R222" s="25">
        <f t="shared" si="29"/>
        <v>2</v>
      </c>
      <c r="S222">
        <f t="shared" si="30"/>
        <v>1.05</v>
      </c>
      <c r="T222">
        <v>41</v>
      </c>
      <c r="U222">
        <v>32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5"/>
        <v>44</v>
      </c>
      <c r="P223" s="19">
        <f t="shared" si="26"/>
        <v>12.79</v>
      </c>
      <c r="R223" s="25">
        <f t="shared" si="29"/>
        <v>22</v>
      </c>
      <c r="S223">
        <f t="shared" si="30"/>
        <v>2</v>
      </c>
      <c r="T223">
        <v>39</v>
      </c>
      <c r="U223">
        <v>33</v>
      </c>
    </row>
    <row r="224" spans="1:21" x14ac:dyDescent="0.25">
      <c r="A224" s="13">
        <v>41</v>
      </c>
      <c r="B224" s="21">
        <v>46049</v>
      </c>
      <c r="C224">
        <v>55</v>
      </c>
      <c r="D224">
        <v>45</v>
      </c>
      <c r="E224">
        <v>49</v>
      </c>
      <c r="F224">
        <v>29</v>
      </c>
      <c r="G224">
        <v>47</v>
      </c>
      <c r="H224">
        <v>13</v>
      </c>
      <c r="I224">
        <v>44</v>
      </c>
      <c r="J224">
        <v>20</v>
      </c>
      <c r="K224">
        <v>69</v>
      </c>
      <c r="L224">
        <v>43</v>
      </c>
      <c r="M224">
        <v>46</v>
      </c>
      <c r="N224">
        <v>41</v>
      </c>
      <c r="O224" s="19">
        <f t="shared" si="25"/>
        <v>41</v>
      </c>
      <c r="P224" s="19">
        <f t="shared" si="26"/>
        <v>13.64</v>
      </c>
      <c r="R224" s="25">
        <f t="shared" ref="R224:R230" si="31">O224-A224</f>
        <v>0</v>
      </c>
      <c r="S224">
        <f t="shared" ref="S224:S230" si="32">O224/A224</f>
        <v>1</v>
      </c>
      <c r="T224">
        <v>41</v>
      </c>
      <c r="U224">
        <v>31</v>
      </c>
    </row>
    <row r="225" spans="1:21" x14ac:dyDescent="0.25">
      <c r="A225" s="13">
        <v>32</v>
      </c>
      <c r="B225" s="21">
        <v>46050</v>
      </c>
      <c r="C225">
        <v>57</v>
      </c>
      <c r="D225">
        <v>45</v>
      </c>
      <c r="E225">
        <v>49</v>
      </c>
      <c r="F225">
        <v>34</v>
      </c>
      <c r="G225">
        <v>46</v>
      </c>
      <c r="H225">
        <v>17</v>
      </c>
      <c r="I225">
        <v>44</v>
      </c>
      <c r="J225">
        <v>24</v>
      </c>
      <c r="K225">
        <v>57</v>
      </c>
      <c r="L225">
        <v>43</v>
      </c>
      <c r="M225">
        <v>56</v>
      </c>
      <c r="N225">
        <v>45</v>
      </c>
      <c r="O225" s="19">
        <f t="shared" si="25"/>
        <v>43</v>
      </c>
      <c r="P225" s="19">
        <f t="shared" si="26"/>
        <v>12.12</v>
      </c>
      <c r="R225" s="25">
        <f t="shared" si="31"/>
        <v>11</v>
      </c>
      <c r="S225">
        <f t="shared" si="32"/>
        <v>1.34375</v>
      </c>
      <c r="T225">
        <v>58</v>
      </c>
      <c r="U225">
        <v>33</v>
      </c>
    </row>
    <row r="226" spans="1:21" x14ac:dyDescent="0.25">
      <c r="A226" s="13">
        <v>85</v>
      </c>
      <c r="B226" s="21">
        <v>46051</v>
      </c>
      <c r="C226">
        <v>53</v>
      </c>
      <c r="D226">
        <v>55</v>
      </c>
      <c r="E226">
        <v>50</v>
      </c>
      <c r="F226">
        <v>58</v>
      </c>
      <c r="G226">
        <v>55</v>
      </c>
      <c r="H226">
        <v>31</v>
      </c>
      <c r="I226">
        <v>55</v>
      </c>
      <c r="J226">
        <v>39</v>
      </c>
      <c r="K226">
        <v>68</v>
      </c>
      <c r="L226">
        <v>58</v>
      </c>
      <c r="M226">
        <v>76</v>
      </c>
      <c r="N226">
        <v>68</v>
      </c>
      <c r="O226" s="19">
        <f t="shared" si="25"/>
        <v>55</v>
      </c>
      <c r="P226" s="19">
        <f t="shared" si="26"/>
        <v>11.2</v>
      </c>
      <c r="R226" s="25">
        <f t="shared" si="31"/>
        <v>-30</v>
      </c>
      <c r="S226">
        <f t="shared" si="32"/>
        <v>0.6470588235294118</v>
      </c>
      <c r="T226">
        <v>54</v>
      </c>
      <c r="U226">
        <v>45</v>
      </c>
    </row>
    <row r="227" spans="1:21" x14ac:dyDescent="0.25">
      <c r="A227" s="13">
        <v>111</v>
      </c>
      <c r="B227" s="21">
        <v>46052</v>
      </c>
      <c r="C227">
        <v>117</v>
      </c>
      <c r="D227">
        <v>101</v>
      </c>
      <c r="E227">
        <v>115</v>
      </c>
      <c r="F227">
        <v>97</v>
      </c>
      <c r="G227">
        <v>98</v>
      </c>
      <c r="H227">
        <v>60</v>
      </c>
      <c r="I227">
        <v>103</v>
      </c>
      <c r="J227">
        <v>73</v>
      </c>
      <c r="K227">
        <v>130</v>
      </c>
      <c r="L227">
        <v>112</v>
      </c>
      <c r="M227">
        <v>129</v>
      </c>
      <c r="N227">
        <v>110</v>
      </c>
      <c r="O227" s="19">
        <f t="shared" si="25"/>
        <v>103</v>
      </c>
      <c r="P227" s="19">
        <f t="shared" si="26"/>
        <v>19.25</v>
      </c>
      <c r="R227" s="25">
        <f t="shared" si="31"/>
        <v>-8</v>
      </c>
      <c r="S227">
        <f t="shared" si="32"/>
        <v>0.92792792792792789</v>
      </c>
      <c r="T227">
        <v>113</v>
      </c>
      <c r="U227">
        <v>83</v>
      </c>
    </row>
    <row r="228" spans="1:21" x14ac:dyDescent="0.25">
      <c r="A228" s="13">
        <v>163</v>
      </c>
      <c r="B228" s="21">
        <v>46053</v>
      </c>
      <c r="C228">
        <v>137</v>
      </c>
      <c r="D228">
        <v>124</v>
      </c>
      <c r="E228">
        <v>135</v>
      </c>
      <c r="F228">
        <v>131</v>
      </c>
      <c r="G228">
        <v>126</v>
      </c>
      <c r="H228">
        <v>89</v>
      </c>
      <c r="I228">
        <v>130</v>
      </c>
      <c r="J228">
        <v>100</v>
      </c>
      <c r="K228">
        <v>155</v>
      </c>
      <c r="L228">
        <v>127</v>
      </c>
      <c r="M228">
        <v>133</v>
      </c>
      <c r="N228">
        <v>125</v>
      </c>
      <c r="O228" s="19">
        <f t="shared" si="25"/>
        <v>125</v>
      </c>
      <c r="P228" s="19">
        <f t="shared" si="26"/>
        <v>16.260000000000002</v>
      </c>
      <c r="R228" s="25">
        <f t="shared" si="31"/>
        <v>-38</v>
      </c>
      <c r="S228">
        <f t="shared" si="32"/>
        <v>0.76687116564417179</v>
      </c>
      <c r="T228">
        <v>137</v>
      </c>
      <c r="U228">
        <v>106</v>
      </c>
    </row>
    <row r="229" spans="1:21" x14ac:dyDescent="0.25">
      <c r="A229" s="13">
        <v>62</v>
      </c>
      <c r="B229" s="21">
        <v>46054</v>
      </c>
      <c r="C229">
        <v>60</v>
      </c>
      <c r="D229">
        <v>40</v>
      </c>
      <c r="E229">
        <v>47</v>
      </c>
      <c r="F229">
        <v>31</v>
      </c>
      <c r="G229">
        <v>49</v>
      </c>
      <c r="H229">
        <v>14</v>
      </c>
      <c r="I229">
        <v>44</v>
      </c>
      <c r="J229">
        <v>22</v>
      </c>
      <c r="K229">
        <v>56</v>
      </c>
      <c r="L229">
        <v>40</v>
      </c>
      <c r="M229">
        <v>70</v>
      </c>
      <c r="N229">
        <v>41</v>
      </c>
      <c r="O229" s="19">
        <f t="shared" si="25"/>
        <v>43</v>
      </c>
      <c r="P229" s="19">
        <f t="shared" si="26"/>
        <v>14.98</v>
      </c>
      <c r="R229" s="25">
        <f t="shared" si="31"/>
        <v>-19</v>
      </c>
      <c r="S229">
        <f t="shared" si="32"/>
        <v>0.69354838709677424</v>
      </c>
      <c r="T229">
        <v>59</v>
      </c>
      <c r="U229">
        <v>29</v>
      </c>
    </row>
    <row r="230" spans="1:21" x14ac:dyDescent="0.25">
      <c r="A230" s="13">
        <v>51</v>
      </c>
      <c r="B230" s="21">
        <v>46055</v>
      </c>
      <c r="C230">
        <v>61</v>
      </c>
      <c r="D230">
        <v>41</v>
      </c>
      <c r="E230">
        <v>48</v>
      </c>
      <c r="F230">
        <v>27</v>
      </c>
      <c r="G230">
        <v>48</v>
      </c>
      <c r="H230">
        <v>10</v>
      </c>
      <c r="I230">
        <v>44</v>
      </c>
      <c r="J230">
        <v>17</v>
      </c>
      <c r="K230">
        <v>48</v>
      </c>
      <c r="L230">
        <v>40</v>
      </c>
      <c r="M230">
        <v>58</v>
      </c>
      <c r="N230">
        <v>40</v>
      </c>
      <c r="O230" s="19">
        <f t="shared" si="25"/>
        <v>40</v>
      </c>
      <c r="P230" s="19">
        <f t="shared" si="26"/>
        <v>14.42</v>
      </c>
      <c r="R230" s="25">
        <f t="shared" si="31"/>
        <v>-11</v>
      </c>
      <c r="S230">
        <f t="shared" si="32"/>
        <v>0.78431372549019607</v>
      </c>
      <c r="T230">
        <v>54</v>
      </c>
      <c r="U230">
        <v>28</v>
      </c>
    </row>
    <row r="231" spans="1:21" x14ac:dyDescent="0.25">
      <c r="A231" s="13">
        <v>42</v>
      </c>
      <c r="B231" s="21">
        <v>46056</v>
      </c>
      <c r="C231">
        <v>47</v>
      </c>
      <c r="D231">
        <v>45</v>
      </c>
      <c r="E231">
        <v>49</v>
      </c>
      <c r="F231">
        <v>30</v>
      </c>
      <c r="G231">
        <v>45</v>
      </c>
      <c r="H231">
        <v>41</v>
      </c>
      <c r="I231">
        <v>44</v>
      </c>
      <c r="J231">
        <v>25</v>
      </c>
      <c r="K231">
        <v>48</v>
      </c>
      <c r="L231">
        <v>46</v>
      </c>
      <c r="M231">
        <v>53</v>
      </c>
      <c r="N231">
        <v>45</v>
      </c>
      <c r="O231" s="19">
        <f t="shared" si="25"/>
        <v>43</v>
      </c>
      <c r="P231" s="19">
        <f t="shared" si="26"/>
        <v>7.25</v>
      </c>
      <c r="R231" s="25">
        <f t="shared" ref="R231:R234" si="33">O231-A231</f>
        <v>1</v>
      </c>
      <c r="S231">
        <f t="shared" ref="S231:S234" si="34">O231/A231</f>
        <v>1.0238095238095237</v>
      </c>
      <c r="T231">
        <v>45</v>
      </c>
      <c r="U231">
        <v>37</v>
      </c>
    </row>
    <row r="232" spans="1:21" x14ac:dyDescent="0.25">
      <c r="A232" s="13">
        <v>38</v>
      </c>
      <c r="B232" s="21">
        <v>46057</v>
      </c>
      <c r="C232">
        <v>47</v>
      </c>
      <c r="D232">
        <v>46</v>
      </c>
      <c r="E232">
        <v>49</v>
      </c>
      <c r="F232">
        <v>32</v>
      </c>
      <c r="G232">
        <v>44</v>
      </c>
      <c r="H232">
        <v>44</v>
      </c>
      <c r="I232">
        <v>44</v>
      </c>
      <c r="J232">
        <v>29</v>
      </c>
      <c r="K232">
        <v>48</v>
      </c>
      <c r="L232">
        <v>46</v>
      </c>
      <c r="M232">
        <v>54</v>
      </c>
      <c r="N232">
        <v>46</v>
      </c>
      <c r="O232" s="19">
        <f t="shared" si="25"/>
        <v>45</v>
      </c>
      <c r="P232" s="19">
        <f t="shared" si="26"/>
        <v>7.7</v>
      </c>
      <c r="R232" s="25">
        <f t="shared" si="33"/>
        <v>7</v>
      </c>
      <c r="S232">
        <f t="shared" si="34"/>
        <v>1.1842105263157894</v>
      </c>
      <c r="T232">
        <v>62</v>
      </c>
      <c r="U232">
        <v>44</v>
      </c>
    </row>
    <row r="233" spans="1:21" x14ac:dyDescent="0.25">
      <c r="A233" s="13">
        <v>29</v>
      </c>
      <c r="B233" s="21">
        <v>46058</v>
      </c>
      <c r="C233">
        <v>47</v>
      </c>
      <c r="D233">
        <v>51</v>
      </c>
      <c r="E233">
        <v>53</v>
      </c>
      <c r="F233">
        <v>34</v>
      </c>
      <c r="G233">
        <v>47</v>
      </c>
      <c r="H233">
        <v>43</v>
      </c>
      <c r="I233">
        <v>47</v>
      </c>
      <c r="J233">
        <v>34</v>
      </c>
      <c r="K233">
        <v>53</v>
      </c>
      <c r="L233">
        <v>51</v>
      </c>
      <c r="M233">
        <v>58</v>
      </c>
      <c r="N233">
        <v>50</v>
      </c>
      <c r="O233" s="19">
        <f t="shared" si="25"/>
        <v>48</v>
      </c>
      <c r="P233" s="19">
        <f t="shared" si="26"/>
        <v>6.51</v>
      </c>
      <c r="R233" s="25">
        <f t="shared" si="33"/>
        <v>19</v>
      </c>
      <c r="S233">
        <f t="shared" si="34"/>
        <v>1.6551724137931034</v>
      </c>
      <c r="T233">
        <v>50</v>
      </c>
      <c r="U233">
        <v>48</v>
      </c>
    </row>
    <row r="234" spans="1:21" x14ac:dyDescent="0.25">
      <c r="A234" s="13">
        <v>140</v>
      </c>
      <c r="B234" s="21">
        <v>46059</v>
      </c>
      <c r="C234">
        <v>121</v>
      </c>
      <c r="D234">
        <v>120</v>
      </c>
      <c r="E234">
        <v>105</v>
      </c>
      <c r="F234">
        <v>78</v>
      </c>
      <c r="G234">
        <v>100</v>
      </c>
      <c r="H234">
        <v>91</v>
      </c>
      <c r="I234">
        <v>87</v>
      </c>
      <c r="J234">
        <v>70</v>
      </c>
      <c r="K234">
        <v>165</v>
      </c>
      <c r="L234">
        <v>129</v>
      </c>
      <c r="M234">
        <v>121</v>
      </c>
      <c r="N234">
        <v>115</v>
      </c>
      <c r="O234" s="19">
        <f t="shared" si="25"/>
        <v>107</v>
      </c>
      <c r="P234" s="19">
        <f t="shared" si="26"/>
        <v>23.24</v>
      </c>
      <c r="R234" s="25">
        <f t="shared" si="33"/>
        <v>-33</v>
      </c>
      <c r="S234">
        <f t="shared" si="34"/>
        <v>0.76428571428571423</v>
      </c>
      <c r="T234">
        <v>96</v>
      </c>
      <c r="U234">
        <v>100</v>
      </c>
    </row>
    <row r="235" spans="1:21" x14ac:dyDescent="0.25">
      <c r="A235" s="13">
        <v>186</v>
      </c>
      <c r="B235" s="21">
        <v>46060</v>
      </c>
      <c r="C235">
        <v>121</v>
      </c>
      <c r="D235">
        <v>121</v>
      </c>
      <c r="E235">
        <v>115</v>
      </c>
      <c r="F235">
        <v>111</v>
      </c>
      <c r="G235">
        <v>155</v>
      </c>
      <c r="H235">
        <v>145</v>
      </c>
      <c r="I235">
        <v>130</v>
      </c>
      <c r="J235">
        <v>112</v>
      </c>
      <c r="K235">
        <v>141</v>
      </c>
      <c r="L235">
        <v>133</v>
      </c>
      <c r="M235">
        <v>150</v>
      </c>
      <c r="N235">
        <v>135</v>
      </c>
      <c r="O235" s="19">
        <f t="shared" si="25"/>
        <v>130</v>
      </c>
      <c r="P235" s="19">
        <f t="shared" si="26"/>
        <v>14</v>
      </c>
      <c r="R235" s="25">
        <f t="shared" ref="R235:R244" si="35">O235-A235</f>
        <v>-56</v>
      </c>
      <c r="S235">
        <f t="shared" ref="S235:S244" si="36">O235/A235</f>
        <v>0.69892473118279574</v>
      </c>
      <c r="T235">
        <v>117</v>
      </c>
      <c r="U235">
        <v>140</v>
      </c>
    </row>
    <row r="236" spans="1:21" x14ac:dyDescent="0.25">
      <c r="A236" s="13">
        <v>0</v>
      </c>
      <c r="B236" s="21">
        <v>46061</v>
      </c>
      <c r="C236">
        <v>46</v>
      </c>
      <c r="D236">
        <v>29</v>
      </c>
      <c r="E236">
        <v>44</v>
      </c>
      <c r="F236">
        <v>21</v>
      </c>
      <c r="G236">
        <v>43</v>
      </c>
      <c r="H236">
        <v>10</v>
      </c>
      <c r="I236">
        <v>44</v>
      </c>
      <c r="J236">
        <v>26</v>
      </c>
      <c r="K236">
        <v>44</v>
      </c>
      <c r="L236">
        <v>28</v>
      </c>
      <c r="M236">
        <v>46</v>
      </c>
      <c r="N236">
        <v>27</v>
      </c>
      <c r="O236" s="19">
        <f t="shared" si="25"/>
        <v>35</v>
      </c>
      <c r="P236" s="19">
        <f t="shared" si="26"/>
        <v>10.96</v>
      </c>
      <c r="R236" s="25">
        <f t="shared" si="35"/>
        <v>35</v>
      </c>
      <c r="S236">
        <f>O236/(A236+1)</f>
        <v>35</v>
      </c>
      <c r="T236">
        <v>44</v>
      </c>
      <c r="U236">
        <v>35</v>
      </c>
    </row>
    <row r="237" spans="1:21" x14ac:dyDescent="0.25">
      <c r="A237" s="13">
        <v>30</v>
      </c>
      <c r="B237" s="21">
        <v>46062</v>
      </c>
      <c r="C237">
        <v>47</v>
      </c>
      <c r="D237">
        <v>39</v>
      </c>
      <c r="E237">
        <v>44</v>
      </c>
      <c r="F237">
        <v>35</v>
      </c>
      <c r="G237">
        <v>46</v>
      </c>
      <c r="H237">
        <v>36</v>
      </c>
      <c r="I237">
        <v>45</v>
      </c>
      <c r="J237">
        <v>33</v>
      </c>
      <c r="K237">
        <v>46</v>
      </c>
      <c r="L237">
        <v>44</v>
      </c>
      <c r="M237">
        <v>46</v>
      </c>
      <c r="N237">
        <v>43</v>
      </c>
      <c r="O237" s="19">
        <f t="shared" si="25"/>
        <v>42</v>
      </c>
      <c r="P237" s="19">
        <f t="shared" si="26"/>
        <v>4.91</v>
      </c>
      <c r="R237" s="25">
        <f t="shared" si="35"/>
        <v>12</v>
      </c>
      <c r="S237">
        <f t="shared" si="36"/>
        <v>1.4</v>
      </c>
      <c r="T237">
        <v>45</v>
      </c>
      <c r="U237">
        <v>34</v>
      </c>
    </row>
    <row r="238" spans="1:21" x14ac:dyDescent="0.25">
      <c r="A238" s="13">
        <v>26</v>
      </c>
      <c r="B238" s="21">
        <v>46063</v>
      </c>
      <c r="C238">
        <v>47</v>
      </c>
      <c r="D238">
        <v>38</v>
      </c>
      <c r="E238">
        <v>45</v>
      </c>
      <c r="F238">
        <v>36</v>
      </c>
      <c r="G238">
        <v>49</v>
      </c>
      <c r="H238">
        <v>39</v>
      </c>
      <c r="I238">
        <v>52</v>
      </c>
      <c r="J238">
        <v>32</v>
      </c>
      <c r="K238">
        <v>46</v>
      </c>
      <c r="L238">
        <v>43</v>
      </c>
      <c r="M238">
        <v>46</v>
      </c>
      <c r="N238">
        <v>42</v>
      </c>
      <c r="O238" s="19">
        <f t="shared" si="25"/>
        <v>42</v>
      </c>
      <c r="P238" s="19">
        <f t="shared" si="26"/>
        <v>5.88</v>
      </c>
      <c r="R238" s="25">
        <f t="shared" si="35"/>
        <v>16</v>
      </c>
      <c r="S238">
        <f t="shared" si="36"/>
        <v>1.6153846153846154</v>
      </c>
      <c r="T238">
        <v>45</v>
      </c>
      <c r="U238">
        <v>32</v>
      </c>
    </row>
    <row r="239" spans="1:21" x14ac:dyDescent="0.25">
      <c r="A239" s="13">
        <v>59</v>
      </c>
      <c r="B239" s="21">
        <v>46064</v>
      </c>
      <c r="C239">
        <v>47</v>
      </c>
      <c r="D239">
        <v>41</v>
      </c>
      <c r="E239">
        <v>44</v>
      </c>
      <c r="F239">
        <v>35</v>
      </c>
      <c r="G239">
        <v>46</v>
      </c>
      <c r="H239">
        <v>35</v>
      </c>
      <c r="I239">
        <v>47</v>
      </c>
      <c r="J239">
        <v>31</v>
      </c>
      <c r="K239">
        <v>46</v>
      </c>
      <c r="L239">
        <v>40</v>
      </c>
      <c r="M239">
        <v>46</v>
      </c>
      <c r="N239">
        <v>41</v>
      </c>
      <c r="O239" s="19">
        <f t="shared" si="25"/>
        <v>42</v>
      </c>
      <c r="P239" s="19">
        <f t="shared" si="26"/>
        <v>5.5</v>
      </c>
      <c r="R239" s="25">
        <f t="shared" si="35"/>
        <v>-17</v>
      </c>
      <c r="S239">
        <f t="shared" si="36"/>
        <v>0.71186440677966101</v>
      </c>
      <c r="T239">
        <v>48</v>
      </c>
      <c r="U239">
        <v>34</v>
      </c>
    </row>
    <row r="240" spans="1:21" x14ac:dyDescent="0.25">
      <c r="A240" s="13">
        <v>37</v>
      </c>
      <c r="B240" s="21">
        <v>46065</v>
      </c>
      <c r="C240">
        <v>49</v>
      </c>
      <c r="D240">
        <v>44</v>
      </c>
      <c r="E240">
        <v>61</v>
      </c>
      <c r="F240">
        <v>50</v>
      </c>
      <c r="G240">
        <v>49</v>
      </c>
      <c r="H240">
        <v>47</v>
      </c>
      <c r="I240">
        <v>61</v>
      </c>
      <c r="J240">
        <v>57</v>
      </c>
      <c r="K240">
        <v>46</v>
      </c>
      <c r="L240">
        <v>43</v>
      </c>
      <c r="M240">
        <v>49</v>
      </c>
      <c r="N240">
        <v>42</v>
      </c>
      <c r="O240" s="19">
        <f t="shared" si="25"/>
        <v>50</v>
      </c>
      <c r="P240" s="19">
        <f t="shared" si="26"/>
        <v>6.03</v>
      </c>
      <c r="R240" s="25">
        <f t="shared" si="35"/>
        <v>13</v>
      </c>
      <c r="S240">
        <f t="shared" si="36"/>
        <v>1.3513513513513513</v>
      </c>
      <c r="T240">
        <v>54</v>
      </c>
      <c r="U240">
        <v>45</v>
      </c>
    </row>
    <row r="241" spans="1:23" x14ac:dyDescent="0.25">
      <c r="A241" s="13">
        <v>199</v>
      </c>
      <c r="B241" s="21">
        <v>46066</v>
      </c>
      <c r="C241">
        <v>93</v>
      </c>
      <c r="D241">
        <v>89</v>
      </c>
      <c r="E241">
        <v>84</v>
      </c>
      <c r="F241">
        <v>89</v>
      </c>
      <c r="G241">
        <v>79</v>
      </c>
      <c r="H241">
        <v>81</v>
      </c>
      <c r="I241">
        <v>102</v>
      </c>
      <c r="J241">
        <v>80</v>
      </c>
      <c r="K241">
        <v>100</v>
      </c>
      <c r="L241">
        <v>86</v>
      </c>
      <c r="M241">
        <v>95</v>
      </c>
      <c r="N241">
        <v>92</v>
      </c>
      <c r="O241" s="19">
        <f t="shared" si="25"/>
        <v>89</v>
      </c>
      <c r="P241" s="19">
        <f t="shared" si="26"/>
        <v>7.03</v>
      </c>
      <c r="R241" s="25">
        <f t="shared" si="35"/>
        <v>-110</v>
      </c>
      <c r="S241">
        <f t="shared" si="36"/>
        <v>0.44723618090452261</v>
      </c>
      <c r="T241">
        <v>89</v>
      </c>
      <c r="U241">
        <v>81</v>
      </c>
    </row>
    <row r="242" spans="1:23" x14ac:dyDescent="0.25">
      <c r="A242" s="13">
        <v>283</v>
      </c>
      <c r="B242" s="21">
        <v>46067</v>
      </c>
      <c r="C242">
        <v>249</v>
      </c>
      <c r="D242">
        <v>202</v>
      </c>
      <c r="E242">
        <v>147</v>
      </c>
      <c r="F242">
        <v>140</v>
      </c>
      <c r="G242">
        <v>152</v>
      </c>
      <c r="H242">
        <v>157</v>
      </c>
      <c r="I242">
        <v>162</v>
      </c>
      <c r="J242">
        <v>113</v>
      </c>
      <c r="K242">
        <v>235</v>
      </c>
      <c r="L242">
        <v>190</v>
      </c>
      <c r="M242">
        <v>238</v>
      </c>
      <c r="N242">
        <v>210</v>
      </c>
      <c r="O242" s="19">
        <f>ROUND(AVERAGE(C242:N242,T242,U242),0)</f>
        <v>183</v>
      </c>
      <c r="P242" s="19">
        <f t="shared" si="26"/>
        <v>39.81</v>
      </c>
      <c r="R242" s="25">
        <f t="shared" si="35"/>
        <v>-100</v>
      </c>
      <c r="S242">
        <f t="shared" si="36"/>
        <v>0.64664310954063609</v>
      </c>
      <c r="T242">
        <v>163</v>
      </c>
      <c r="U242">
        <v>204</v>
      </c>
    </row>
    <row r="243" spans="1:23" x14ac:dyDescent="0.25">
      <c r="A243" s="13">
        <v>91</v>
      </c>
      <c r="B243" s="21">
        <v>46068</v>
      </c>
      <c r="C243">
        <v>47</v>
      </c>
      <c r="D243">
        <v>39</v>
      </c>
      <c r="E243">
        <v>44</v>
      </c>
      <c r="F243">
        <v>38</v>
      </c>
      <c r="G243">
        <v>46</v>
      </c>
      <c r="H243">
        <v>38</v>
      </c>
      <c r="I243">
        <v>45</v>
      </c>
      <c r="J243">
        <v>36</v>
      </c>
      <c r="K243">
        <v>46</v>
      </c>
      <c r="L243">
        <v>46</v>
      </c>
      <c r="M243">
        <v>46</v>
      </c>
      <c r="N243">
        <v>45</v>
      </c>
      <c r="O243" s="19">
        <f t="shared" si="25"/>
        <v>43</v>
      </c>
      <c r="P243" s="19">
        <f t="shared" si="26"/>
        <v>3.56</v>
      </c>
      <c r="R243" s="25">
        <f t="shared" si="35"/>
        <v>-48</v>
      </c>
      <c r="S243">
        <f t="shared" si="36"/>
        <v>0.47252747252747251</v>
      </c>
      <c r="T243">
        <v>44</v>
      </c>
      <c r="U243">
        <v>44</v>
      </c>
    </row>
    <row r="244" spans="1:23" x14ac:dyDescent="0.25">
      <c r="A244" s="13">
        <v>35</v>
      </c>
      <c r="B244" s="21">
        <v>46069</v>
      </c>
      <c r="C244">
        <v>47</v>
      </c>
      <c r="D244">
        <v>42</v>
      </c>
      <c r="E244">
        <v>48</v>
      </c>
      <c r="F244">
        <v>35</v>
      </c>
      <c r="G244">
        <v>46</v>
      </c>
      <c r="H244">
        <v>16</v>
      </c>
      <c r="I244">
        <v>47</v>
      </c>
      <c r="J244">
        <v>17</v>
      </c>
      <c r="K244">
        <v>52</v>
      </c>
      <c r="L244">
        <v>50</v>
      </c>
      <c r="M244">
        <v>52</v>
      </c>
      <c r="N244">
        <v>45</v>
      </c>
      <c r="O244" s="19">
        <f t="shared" si="25"/>
        <v>42</v>
      </c>
      <c r="P244" s="19">
        <f t="shared" si="26"/>
        <v>11.41</v>
      </c>
      <c r="R244" s="25">
        <f t="shared" si="35"/>
        <v>7</v>
      </c>
      <c r="S244">
        <f t="shared" si="36"/>
        <v>1.2</v>
      </c>
      <c r="T244">
        <v>50</v>
      </c>
      <c r="U244">
        <v>36</v>
      </c>
    </row>
    <row r="245" spans="1:23" x14ac:dyDescent="0.25">
      <c r="A245" s="13">
        <v>79</v>
      </c>
      <c r="B245" s="21">
        <v>46070</v>
      </c>
      <c r="C245">
        <v>78</v>
      </c>
      <c r="D245">
        <v>44</v>
      </c>
      <c r="E245">
        <v>51</v>
      </c>
      <c r="F245">
        <v>31</v>
      </c>
      <c r="G245">
        <v>38</v>
      </c>
      <c r="H245">
        <v>22</v>
      </c>
      <c r="I245">
        <v>42</v>
      </c>
      <c r="J245">
        <v>29</v>
      </c>
      <c r="K245">
        <v>60</v>
      </c>
      <c r="L245">
        <v>46</v>
      </c>
      <c r="M245">
        <v>67</v>
      </c>
      <c r="N245">
        <v>45</v>
      </c>
      <c r="O245" s="19">
        <f t="shared" si="25"/>
        <v>45</v>
      </c>
      <c r="P245" s="19">
        <f t="shared" si="26"/>
        <v>14.49</v>
      </c>
      <c r="R245" s="25">
        <f t="shared" ref="R245:R258" si="37">O245-A245</f>
        <v>-34</v>
      </c>
      <c r="S245">
        <f t="shared" ref="S245:S258" si="38">O245/A245</f>
        <v>0.569620253164557</v>
      </c>
      <c r="T245">
        <v>46</v>
      </c>
      <c r="U245">
        <v>37</v>
      </c>
    </row>
    <row r="246" spans="1:23" x14ac:dyDescent="0.25">
      <c r="A246" s="13">
        <v>29</v>
      </c>
      <c r="B246" s="21">
        <v>46071</v>
      </c>
      <c r="C246">
        <v>47</v>
      </c>
      <c r="D246">
        <v>54</v>
      </c>
      <c r="E246">
        <v>60</v>
      </c>
      <c r="F246">
        <v>45</v>
      </c>
      <c r="G246">
        <v>48</v>
      </c>
      <c r="H246">
        <v>46</v>
      </c>
      <c r="I246">
        <v>69</v>
      </c>
      <c r="J246">
        <v>52</v>
      </c>
      <c r="K246">
        <v>54</v>
      </c>
      <c r="L246">
        <v>51</v>
      </c>
      <c r="M246">
        <v>45</v>
      </c>
      <c r="N246">
        <v>48</v>
      </c>
      <c r="O246" s="19">
        <f t="shared" si="25"/>
        <v>52</v>
      </c>
      <c r="P246" s="19">
        <f t="shared" si="26"/>
        <v>6.34</v>
      </c>
      <c r="R246" s="25">
        <f t="shared" si="37"/>
        <v>23</v>
      </c>
      <c r="S246">
        <f t="shared" si="38"/>
        <v>1.7931034482758621</v>
      </c>
      <c r="T246">
        <v>53</v>
      </c>
      <c r="U246">
        <v>55</v>
      </c>
      <c r="W246" s="36"/>
    </row>
    <row r="247" spans="1:23" x14ac:dyDescent="0.25">
      <c r="A247" s="13">
        <v>38</v>
      </c>
      <c r="B247" s="21">
        <v>46072</v>
      </c>
      <c r="C247">
        <v>48</v>
      </c>
      <c r="D247">
        <v>52</v>
      </c>
      <c r="E247">
        <v>59</v>
      </c>
      <c r="F247">
        <v>47</v>
      </c>
      <c r="G247">
        <v>60</v>
      </c>
      <c r="H247">
        <v>55</v>
      </c>
      <c r="I247">
        <v>59</v>
      </c>
      <c r="J247">
        <v>51</v>
      </c>
      <c r="K247">
        <v>52</v>
      </c>
      <c r="L247">
        <v>49</v>
      </c>
      <c r="M247">
        <v>57</v>
      </c>
      <c r="N247">
        <v>49</v>
      </c>
      <c r="O247" s="19">
        <f t="shared" si="25"/>
        <v>53</v>
      </c>
      <c r="P247" s="19">
        <f t="shared" si="26"/>
        <v>4.18</v>
      </c>
      <c r="R247" s="25">
        <f t="shared" si="37"/>
        <v>15</v>
      </c>
      <c r="S247">
        <f t="shared" si="38"/>
        <v>1.3947368421052631</v>
      </c>
      <c r="T247">
        <v>52</v>
      </c>
      <c r="U247">
        <v>51</v>
      </c>
      <c r="W247" s="36"/>
    </row>
    <row r="248" spans="1:23" x14ac:dyDescent="0.25">
      <c r="A248" s="13">
        <v>101</v>
      </c>
      <c r="B248" s="21">
        <v>46073</v>
      </c>
      <c r="C248">
        <v>101</v>
      </c>
      <c r="D248">
        <v>85</v>
      </c>
      <c r="E248">
        <v>103</v>
      </c>
      <c r="F248">
        <v>58</v>
      </c>
      <c r="G248">
        <v>87</v>
      </c>
      <c r="H248">
        <v>28</v>
      </c>
      <c r="I248">
        <v>112</v>
      </c>
      <c r="J248">
        <v>58</v>
      </c>
      <c r="K248">
        <v>98</v>
      </c>
      <c r="L248">
        <v>97</v>
      </c>
      <c r="M248">
        <v>105</v>
      </c>
      <c r="N248">
        <v>87</v>
      </c>
      <c r="O248" s="19">
        <f t="shared" si="25"/>
        <v>85</v>
      </c>
      <c r="P248" s="19">
        <f t="shared" si="26"/>
        <v>22.86</v>
      </c>
      <c r="R248" s="25">
        <f t="shared" si="37"/>
        <v>-16</v>
      </c>
      <c r="S248">
        <f t="shared" si="38"/>
        <v>0.84158415841584155</v>
      </c>
      <c r="T248">
        <v>103</v>
      </c>
      <c r="U248">
        <v>69</v>
      </c>
      <c r="W248" s="36"/>
    </row>
    <row r="249" spans="1:23" x14ac:dyDescent="0.25">
      <c r="A249" s="13">
        <v>183</v>
      </c>
      <c r="B249" s="21">
        <v>46074</v>
      </c>
      <c r="C249">
        <v>88</v>
      </c>
      <c r="D249">
        <v>131</v>
      </c>
      <c r="E249">
        <v>99</v>
      </c>
      <c r="F249">
        <v>110</v>
      </c>
      <c r="G249">
        <v>107</v>
      </c>
      <c r="H249">
        <v>111</v>
      </c>
      <c r="I249">
        <v>101</v>
      </c>
      <c r="J249">
        <v>121</v>
      </c>
      <c r="K249">
        <v>117</v>
      </c>
      <c r="L249">
        <v>133</v>
      </c>
      <c r="M249">
        <v>73</v>
      </c>
      <c r="N249">
        <v>132</v>
      </c>
      <c r="O249" s="19">
        <f t="shared" si="25"/>
        <v>110</v>
      </c>
      <c r="P249" s="19">
        <f t="shared" si="26"/>
        <v>17.399999999999999</v>
      </c>
      <c r="R249" s="25">
        <f t="shared" si="37"/>
        <v>-73</v>
      </c>
      <c r="S249">
        <f t="shared" si="38"/>
        <v>0.60109289617486339</v>
      </c>
      <c r="T249">
        <v>92</v>
      </c>
      <c r="U249">
        <v>125</v>
      </c>
      <c r="W249" s="36"/>
    </row>
    <row r="250" spans="1:23" x14ac:dyDescent="0.25">
      <c r="A250" s="13">
        <v>66</v>
      </c>
      <c r="B250" s="21">
        <v>46075</v>
      </c>
      <c r="C250">
        <v>45</v>
      </c>
      <c r="D250">
        <v>40</v>
      </c>
      <c r="E250">
        <v>41</v>
      </c>
      <c r="F250">
        <v>35</v>
      </c>
      <c r="G250">
        <v>40</v>
      </c>
      <c r="H250">
        <v>34</v>
      </c>
      <c r="I250">
        <v>60</v>
      </c>
      <c r="J250">
        <v>37</v>
      </c>
      <c r="K250">
        <v>47</v>
      </c>
      <c r="L250">
        <v>42</v>
      </c>
      <c r="M250">
        <v>45</v>
      </c>
      <c r="N250">
        <v>41</v>
      </c>
      <c r="O250" s="19">
        <f t="shared" si="25"/>
        <v>42</v>
      </c>
      <c r="P250" s="19">
        <f t="shared" si="26"/>
        <v>6.21</v>
      </c>
      <c r="R250" s="25">
        <f t="shared" si="37"/>
        <v>-24</v>
      </c>
      <c r="S250">
        <f t="shared" si="38"/>
        <v>0.63636363636363635</v>
      </c>
      <c r="T250">
        <v>45</v>
      </c>
      <c r="U250">
        <v>38</v>
      </c>
      <c r="W250" s="36"/>
    </row>
    <row r="251" spans="1:23" x14ac:dyDescent="0.25">
      <c r="A251" s="13">
        <v>36</v>
      </c>
      <c r="B251" s="21">
        <v>46076</v>
      </c>
      <c r="C251">
        <v>45</v>
      </c>
      <c r="D251">
        <v>40</v>
      </c>
      <c r="E251">
        <v>52</v>
      </c>
      <c r="F251">
        <v>34</v>
      </c>
      <c r="G251">
        <v>39</v>
      </c>
      <c r="H251">
        <v>29</v>
      </c>
      <c r="I251">
        <v>68</v>
      </c>
      <c r="J251">
        <v>34</v>
      </c>
      <c r="K251">
        <v>47</v>
      </c>
      <c r="L251">
        <v>44</v>
      </c>
      <c r="M251">
        <v>46</v>
      </c>
      <c r="N251">
        <v>43</v>
      </c>
      <c r="O251" s="19">
        <f t="shared" si="25"/>
        <v>43</v>
      </c>
      <c r="P251" s="19">
        <f t="shared" si="26"/>
        <v>9.0500000000000007</v>
      </c>
      <c r="R251" s="25">
        <f t="shared" si="37"/>
        <v>7</v>
      </c>
      <c r="S251">
        <f t="shared" si="38"/>
        <v>1.1944444444444444</v>
      </c>
      <c r="T251">
        <v>45</v>
      </c>
      <c r="U251">
        <v>38</v>
      </c>
      <c r="W251" s="36"/>
    </row>
    <row r="252" spans="1:23" x14ac:dyDescent="0.25">
      <c r="A252" s="13">
        <v>45</v>
      </c>
      <c r="B252" s="21">
        <v>46077</v>
      </c>
      <c r="C252">
        <v>59</v>
      </c>
      <c r="D252">
        <v>42</v>
      </c>
      <c r="E252">
        <v>49</v>
      </c>
      <c r="F252">
        <v>35</v>
      </c>
      <c r="G252">
        <v>36</v>
      </c>
      <c r="H252">
        <v>29</v>
      </c>
      <c r="I252">
        <v>65</v>
      </c>
      <c r="J252">
        <v>30</v>
      </c>
      <c r="K252">
        <v>45</v>
      </c>
      <c r="L252">
        <v>43</v>
      </c>
      <c r="M252">
        <v>49</v>
      </c>
      <c r="N252">
        <v>44</v>
      </c>
      <c r="O252" s="19">
        <f t="shared" si="25"/>
        <v>44</v>
      </c>
      <c r="P252" s="19">
        <f t="shared" si="26"/>
        <v>9.7200000000000006</v>
      </c>
      <c r="R252" s="25">
        <f t="shared" si="37"/>
        <v>-1</v>
      </c>
      <c r="S252">
        <f t="shared" si="38"/>
        <v>0.97777777777777775</v>
      </c>
      <c r="T252">
        <v>45</v>
      </c>
      <c r="U252">
        <v>38</v>
      </c>
      <c r="W252" s="36"/>
    </row>
    <row r="253" spans="1:23" x14ac:dyDescent="0.25">
      <c r="A253" s="13">
        <v>64</v>
      </c>
      <c r="B253" s="21">
        <v>46078</v>
      </c>
      <c r="C253">
        <v>47</v>
      </c>
      <c r="D253">
        <v>41</v>
      </c>
      <c r="E253">
        <v>51</v>
      </c>
      <c r="F253">
        <v>43</v>
      </c>
      <c r="G253">
        <v>35</v>
      </c>
      <c r="H253">
        <v>37</v>
      </c>
      <c r="I253">
        <v>59</v>
      </c>
      <c r="J253">
        <v>37</v>
      </c>
      <c r="K253">
        <v>52</v>
      </c>
      <c r="L253">
        <v>43</v>
      </c>
      <c r="M253">
        <v>47</v>
      </c>
      <c r="N253">
        <v>44</v>
      </c>
      <c r="O253" s="19">
        <f t="shared" si="25"/>
        <v>45</v>
      </c>
      <c r="P253" s="19">
        <f t="shared" si="26"/>
        <v>6.52</v>
      </c>
      <c r="R253" s="25">
        <f t="shared" si="37"/>
        <v>-19</v>
      </c>
      <c r="S253">
        <f t="shared" si="38"/>
        <v>0.703125</v>
      </c>
      <c r="T253">
        <v>52</v>
      </c>
      <c r="U253">
        <v>43</v>
      </c>
      <c r="W253" s="36"/>
    </row>
    <row r="254" spans="1:23" x14ac:dyDescent="0.25">
      <c r="A254" s="13">
        <v>41</v>
      </c>
      <c r="B254" s="21">
        <v>46079</v>
      </c>
      <c r="C254">
        <v>64</v>
      </c>
      <c r="D254">
        <v>86</v>
      </c>
      <c r="E254">
        <v>75</v>
      </c>
      <c r="F254">
        <v>55</v>
      </c>
      <c r="G254">
        <v>47</v>
      </c>
      <c r="H254">
        <v>14</v>
      </c>
      <c r="I254">
        <v>57</v>
      </c>
      <c r="J254">
        <v>56</v>
      </c>
      <c r="K254">
        <v>85</v>
      </c>
      <c r="L254">
        <v>86</v>
      </c>
      <c r="M254">
        <v>86</v>
      </c>
      <c r="N254">
        <v>85</v>
      </c>
      <c r="O254" s="19">
        <f t="shared" si="25"/>
        <v>70</v>
      </c>
      <c r="P254" s="19">
        <f t="shared" si="26"/>
        <v>25.78</v>
      </c>
      <c r="R254" s="25">
        <f t="shared" si="37"/>
        <v>29</v>
      </c>
      <c r="S254">
        <f t="shared" si="38"/>
        <v>1.7073170731707317</v>
      </c>
      <c r="T254">
        <v>130</v>
      </c>
      <c r="U254">
        <v>57</v>
      </c>
      <c r="W254" s="36"/>
    </row>
    <row r="255" spans="1:23" x14ac:dyDescent="0.25">
      <c r="A255" s="13">
        <v>90</v>
      </c>
      <c r="B255" s="21">
        <v>46080</v>
      </c>
      <c r="C255">
        <v>101</v>
      </c>
      <c r="D255">
        <v>74</v>
      </c>
      <c r="E255">
        <v>100</v>
      </c>
      <c r="F255">
        <v>46</v>
      </c>
      <c r="G255">
        <v>78</v>
      </c>
      <c r="H255">
        <v>27</v>
      </c>
      <c r="I255">
        <v>115</v>
      </c>
      <c r="J255">
        <v>46</v>
      </c>
      <c r="K255">
        <v>82</v>
      </c>
      <c r="L255">
        <v>84</v>
      </c>
      <c r="M255">
        <v>103</v>
      </c>
      <c r="N255">
        <v>74</v>
      </c>
      <c r="O255" s="19">
        <f t="shared" si="25"/>
        <v>79</v>
      </c>
      <c r="P255" s="19">
        <f t="shared" si="26"/>
        <v>25.07</v>
      </c>
      <c r="R255" s="25">
        <f t="shared" si="37"/>
        <v>-11</v>
      </c>
      <c r="S255">
        <f t="shared" si="38"/>
        <v>0.87777777777777777</v>
      </c>
      <c r="T255">
        <v>108</v>
      </c>
      <c r="U255">
        <v>65</v>
      </c>
      <c r="W255" s="36"/>
    </row>
    <row r="256" spans="1:23" x14ac:dyDescent="0.25">
      <c r="A256" s="13">
        <v>137</v>
      </c>
      <c r="B256" s="21">
        <v>46081</v>
      </c>
      <c r="C256">
        <v>158</v>
      </c>
      <c r="D256">
        <v>114</v>
      </c>
      <c r="E256">
        <v>141</v>
      </c>
      <c r="F256">
        <v>107</v>
      </c>
      <c r="G256">
        <v>106</v>
      </c>
      <c r="H256">
        <v>111</v>
      </c>
      <c r="I256">
        <v>111</v>
      </c>
      <c r="J256">
        <v>124</v>
      </c>
      <c r="K256">
        <v>149</v>
      </c>
      <c r="L256">
        <v>116</v>
      </c>
      <c r="M256">
        <v>134</v>
      </c>
      <c r="N256">
        <v>117</v>
      </c>
      <c r="O256" s="19">
        <f t="shared" si="25"/>
        <v>125</v>
      </c>
      <c r="P256" s="19">
        <f t="shared" si="26"/>
        <v>16.71</v>
      </c>
      <c r="R256" s="25">
        <f t="shared" si="37"/>
        <v>-12</v>
      </c>
      <c r="S256">
        <f t="shared" si="38"/>
        <v>0.91240875912408759</v>
      </c>
      <c r="T256">
        <v>147</v>
      </c>
      <c r="U256">
        <v>116</v>
      </c>
      <c r="W256" s="36"/>
    </row>
    <row r="257" spans="1:23" x14ac:dyDescent="0.25">
      <c r="A257" s="13">
        <v>43</v>
      </c>
      <c r="B257" s="21">
        <v>46082</v>
      </c>
      <c r="C257">
        <v>52</v>
      </c>
      <c r="D257">
        <v>38</v>
      </c>
      <c r="E257">
        <v>32</v>
      </c>
      <c r="F257">
        <v>24</v>
      </c>
      <c r="G257">
        <v>38</v>
      </c>
      <c r="H257">
        <v>9</v>
      </c>
      <c r="I257">
        <v>35</v>
      </c>
      <c r="J257">
        <v>20</v>
      </c>
      <c r="K257">
        <v>54</v>
      </c>
      <c r="L257">
        <v>40</v>
      </c>
      <c r="M257">
        <v>45</v>
      </c>
      <c r="N257">
        <v>38</v>
      </c>
      <c r="O257" s="19">
        <f t="shared" si="25"/>
        <v>36</v>
      </c>
      <c r="P257" s="19">
        <f t="shared" si="26"/>
        <v>11.8</v>
      </c>
      <c r="R257" s="25">
        <f t="shared" si="37"/>
        <v>-7</v>
      </c>
      <c r="S257">
        <f t="shared" si="38"/>
        <v>0.83720930232558144</v>
      </c>
      <c r="T257">
        <v>46</v>
      </c>
      <c r="U257">
        <v>32</v>
      </c>
      <c r="W257" s="36"/>
    </row>
    <row r="258" spans="1:23" x14ac:dyDescent="0.25">
      <c r="A258" s="13">
        <v>39</v>
      </c>
      <c r="B258" s="21">
        <v>46083</v>
      </c>
      <c r="C258">
        <v>46</v>
      </c>
      <c r="D258">
        <v>42</v>
      </c>
      <c r="E258">
        <v>50</v>
      </c>
      <c r="F258">
        <v>30</v>
      </c>
      <c r="G258">
        <v>36</v>
      </c>
      <c r="H258">
        <v>18</v>
      </c>
      <c r="I258">
        <v>52</v>
      </c>
      <c r="J258">
        <v>25</v>
      </c>
      <c r="K258">
        <v>74</v>
      </c>
      <c r="L258">
        <v>43</v>
      </c>
      <c r="M258">
        <v>51</v>
      </c>
      <c r="N258">
        <v>44</v>
      </c>
      <c r="O258" s="19">
        <f t="shared" si="25"/>
        <v>43</v>
      </c>
      <c r="P258" s="19">
        <f t="shared" si="26"/>
        <v>13.17</v>
      </c>
      <c r="R258" s="25">
        <f t="shared" si="37"/>
        <v>4</v>
      </c>
      <c r="S258">
        <f t="shared" si="38"/>
        <v>1.1025641025641026</v>
      </c>
      <c r="T258">
        <v>49</v>
      </c>
      <c r="U258">
        <v>35</v>
      </c>
      <c r="W258" s="36"/>
    </row>
    <row r="259" spans="1:23" x14ac:dyDescent="0.25">
      <c r="A259" s="13">
        <v>46</v>
      </c>
      <c r="B259" s="21">
        <v>46084</v>
      </c>
      <c r="C259">
        <v>43</v>
      </c>
      <c r="D259">
        <v>48</v>
      </c>
      <c r="E259">
        <v>46</v>
      </c>
      <c r="F259">
        <v>38</v>
      </c>
      <c r="G259">
        <v>43</v>
      </c>
      <c r="H259">
        <v>30</v>
      </c>
      <c r="I259">
        <v>48</v>
      </c>
      <c r="J259">
        <v>20</v>
      </c>
      <c r="K259">
        <v>51</v>
      </c>
      <c r="L259">
        <v>43</v>
      </c>
      <c r="M259">
        <v>42</v>
      </c>
      <c r="N259">
        <v>43</v>
      </c>
      <c r="O259" s="19">
        <f t="shared" si="25"/>
        <v>41</v>
      </c>
      <c r="P259" s="19">
        <f t="shared" si="26"/>
        <v>8.1199999999999992</v>
      </c>
      <c r="R259" s="25">
        <f t="shared" ref="R259:R271" si="39">O259-A259</f>
        <v>-5</v>
      </c>
      <c r="S259">
        <f t="shared" ref="S259:S271" si="40">O259/A259</f>
        <v>0.89130434782608692</v>
      </c>
      <c r="T259">
        <v>48</v>
      </c>
      <c r="U259">
        <v>33</v>
      </c>
      <c r="W259" s="36"/>
    </row>
    <row r="260" spans="1:23" x14ac:dyDescent="0.25">
      <c r="A260" s="13">
        <v>21</v>
      </c>
      <c r="B260" s="21">
        <v>46085</v>
      </c>
      <c r="C260">
        <v>48</v>
      </c>
      <c r="D260">
        <v>37</v>
      </c>
      <c r="E260">
        <v>45</v>
      </c>
      <c r="F260">
        <v>30</v>
      </c>
      <c r="G260">
        <v>36</v>
      </c>
      <c r="H260">
        <v>21</v>
      </c>
      <c r="I260">
        <v>46</v>
      </c>
      <c r="J260">
        <v>19</v>
      </c>
      <c r="K260">
        <v>40</v>
      </c>
      <c r="L260">
        <v>42</v>
      </c>
      <c r="M260">
        <v>42</v>
      </c>
      <c r="N260">
        <v>40</v>
      </c>
      <c r="O260" s="19">
        <f t="shared" si="25"/>
        <v>37</v>
      </c>
      <c r="P260" s="19">
        <f t="shared" si="26"/>
        <v>8.73</v>
      </c>
      <c r="R260" s="25">
        <f t="shared" si="39"/>
        <v>16</v>
      </c>
      <c r="S260">
        <f t="shared" si="40"/>
        <v>1.7619047619047619</v>
      </c>
      <c r="T260">
        <v>46</v>
      </c>
      <c r="U260">
        <v>32</v>
      </c>
      <c r="W260" s="36"/>
    </row>
    <row r="261" spans="1:23" x14ac:dyDescent="0.25">
      <c r="A261" s="13">
        <v>40</v>
      </c>
      <c r="B261" s="21">
        <v>46086</v>
      </c>
      <c r="C261">
        <v>53</v>
      </c>
      <c r="D261">
        <v>41</v>
      </c>
      <c r="E261">
        <v>49</v>
      </c>
      <c r="F261">
        <v>42</v>
      </c>
      <c r="G261">
        <v>49</v>
      </c>
      <c r="H261">
        <v>50</v>
      </c>
      <c r="I261">
        <v>61</v>
      </c>
      <c r="J261">
        <v>19</v>
      </c>
      <c r="K261">
        <v>47</v>
      </c>
      <c r="L261">
        <v>44</v>
      </c>
      <c r="M261">
        <v>44</v>
      </c>
      <c r="N261">
        <v>40</v>
      </c>
      <c r="O261" s="19">
        <f t="shared" si="25"/>
        <v>45</v>
      </c>
      <c r="P261" s="19">
        <f t="shared" si="26"/>
        <v>9.2799999999999994</v>
      </c>
      <c r="R261" s="25">
        <f t="shared" si="39"/>
        <v>5</v>
      </c>
      <c r="S261">
        <f t="shared" si="40"/>
        <v>1.125</v>
      </c>
      <c r="T261">
        <v>52</v>
      </c>
      <c r="U261">
        <v>38</v>
      </c>
      <c r="W261" s="36"/>
    </row>
    <row r="262" spans="1:23" x14ac:dyDescent="0.25">
      <c r="A262" s="13">
        <v>120</v>
      </c>
      <c r="B262" s="21">
        <v>46087</v>
      </c>
      <c r="C262">
        <v>103</v>
      </c>
      <c r="D262">
        <v>89</v>
      </c>
      <c r="E262">
        <v>87</v>
      </c>
      <c r="F262">
        <v>69</v>
      </c>
      <c r="G262">
        <v>57</v>
      </c>
      <c r="H262">
        <v>34</v>
      </c>
      <c r="I262">
        <v>59</v>
      </c>
      <c r="J262">
        <v>31</v>
      </c>
      <c r="K262">
        <v>100</v>
      </c>
      <c r="L262">
        <v>94</v>
      </c>
      <c r="M262">
        <v>88</v>
      </c>
      <c r="N262">
        <v>91</v>
      </c>
      <c r="O262" s="19">
        <f t="shared" ref="O262:O263" si="41">ROUND(AVERAGE(C262:N262,T262,U262),0)</f>
        <v>76</v>
      </c>
      <c r="P262" s="19">
        <f t="shared" ref="P262:P263" si="42">ROUND(_xlfn.STDEV.P(C262:N262,T262,U262),2)</f>
        <v>22.54</v>
      </c>
      <c r="R262" s="25">
        <f t="shared" si="39"/>
        <v>-44</v>
      </c>
      <c r="S262">
        <f t="shared" si="40"/>
        <v>0.6333333333333333</v>
      </c>
      <c r="T262">
        <v>93</v>
      </c>
      <c r="U262">
        <v>69</v>
      </c>
      <c r="W262" s="36"/>
    </row>
    <row r="263" spans="1:23" x14ac:dyDescent="0.25">
      <c r="A263" s="13">
        <v>157</v>
      </c>
      <c r="B263" s="21">
        <v>46088</v>
      </c>
      <c r="C263">
        <v>176</v>
      </c>
      <c r="D263">
        <v>162</v>
      </c>
      <c r="E263">
        <v>168</v>
      </c>
      <c r="F263">
        <v>128</v>
      </c>
      <c r="G263">
        <v>140</v>
      </c>
      <c r="H263">
        <v>98</v>
      </c>
      <c r="I263">
        <v>165</v>
      </c>
      <c r="J263">
        <v>47</v>
      </c>
      <c r="K263">
        <v>181</v>
      </c>
      <c r="L263">
        <v>153</v>
      </c>
      <c r="M263">
        <v>142</v>
      </c>
      <c r="N263">
        <v>149</v>
      </c>
      <c r="O263" s="19">
        <f t="shared" si="41"/>
        <v>144</v>
      </c>
      <c r="P263" s="19">
        <f t="shared" si="42"/>
        <v>33.9</v>
      </c>
      <c r="R263" s="25">
        <f t="shared" si="39"/>
        <v>-13</v>
      </c>
      <c r="S263">
        <f t="shared" si="40"/>
        <v>0.91719745222929938</v>
      </c>
      <c r="T263">
        <v>165</v>
      </c>
      <c r="U263">
        <v>146</v>
      </c>
      <c r="W263" s="36"/>
    </row>
    <row r="264" spans="1:23" x14ac:dyDescent="0.25">
      <c r="A264" s="13">
        <v>54</v>
      </c>
      <c r="B264" s="21">
        <v>46089</v>
      </c>
      <c r="C264">
        <v>43</v>
      </c>
      <c r="D264">
        <v>41</v>
      </c>
      <c r="E264">
        <v>46</v>
      </c>
      <c r="F264">
        <v>32</v>
      </c>
      <c r="G264">
        <v>54</v>
      </c>
      <c r="H264">
        <v>17</v>
      </c>
      <c r="I264">
        <v>44</v>
      </c>
      <c r="J264">
        <v>20</v>
      </c>
      <c r="K264">
        <v>47</v>
      </c>
      <c r="L264">
        <v>41</v>
      </c>
      <c r="M264">
        <v>39</v>
      </c>
      <c r="N264">
        <v>38</v>
      </c>
      <c r="O264" s="19">
        <f t="shared" ref="O264:O289" si="43">ROUND(AVERAGE(C264:N264,T264,U264),0)</f>
        <v>38</v>
      </c>
      <c r="P264" s="19">
        <f t="shared" ref="P264:P289" si="44">ROUND(_xlfn.STDEV.P(C264:N264,T264,U264),2)</f>
        <v>10.09</v>
      </c>
      <c r="R264" s="25">
        <f t="shared" si="39"/>
        <v>-16</v>
      </c>
      <c r="S264">
        <f t="shared" si="40"/>
        <v>0.70370370370370372</v>
      </c>
      <c r="T264">
        <v>46</v>
      </c>
      <c r="U264">
        <v>29</v>
      </c>
    </row>
    <row r="265" spans="1:23" x14ac:dyDescent="0.25">
      <c r="A265" s="13">
        <v>28</v>
      </c>
      <c r="B265" s="21">
        <v>46090</v>
      </c>
      <c r="C265">
        <v>62</v>
      </c>
      <c r="D265">
        <v>48</v>
      </c>
      <c r="E265">
        <v>48</v>
      </c>
      <c r="F265">
        <v>46</v>
      </c>
      <c r="G265">
        <v>43</v>
      </c>
      <c r="H265">
        <v>28</v>
      </c>
      <c r="I265">
        <v>48</v>
      </c>
      <c r="J265">
        <v>20</v>
      </c>
      <c r="K265">
        <v>60</v>
      </c>
      <c r="L265">
        <v>47</v>
      </c>
      <c r="M265">
        <v>48</v>
      </c>
      <c r="N265">
        <v>47</v>
      </c>
      <c r="O265" s="19">
        <f t="shared" si="43"/>
        <v>45</v>
      </c>
      <c r="P265" s="19">
        <f t="shared" si="44"/>
        <v>10.45</v>
      </c>
      <c r="R265" s="25">
        <f t="shared" si="39"/>
        <v>17</v>
      </c>
      <c r="S265">
        <f t="shared" si="40"/>
        <v>1.6071428571428572</v>
      </c>
      <c r="T265">
        <v>47</v>
      </c>
      <c r="U265">
        <v>38</v>
      </c>
    </row>
    <row r="266" spans="1:23" x14ac:dyDescent="0.25">
      <c r="A266" s="13">
        <v>33</v>
      </c>
      <c r="B266" s="21">
        <v>46091</v>
      </c>
      <c r="C266">
        <v>56</v>
      </c>
      <c r="D266">
        <v>52</v>
      </c>
      <c r="E266">
        <v>51</v>
      </c>
      <c r="F266">
        <v>34</v>
      </c>
      <c r="G266">
        <v>40</v>
      </c>
      <c r="H266">
        <v>24</v>
      </c>
      <c r="I266">
        <v>47</v>
      </c>
      <c r="J266">
        <v>22</v>
      </c>
      <c r="K266">
        <v>60</v>
      </c>
      <c r="L266">
        <v>54</v>
      </c>
      <c r="M266">
        <v>50</v>
      </c>
      <c r="N266">
        <v>43</v>
      </c>
      <c r="O266" s="19">
        <f t="shared" si="43"/>
        <v>44</v>
      </c>
      <c r="P266" s="19">
        <f t="shared" si="44"/>
        <v>10.94</v>
      </c>
      <c r="R266" s="25">
        <f t="shared" si="39"/>
        <v>11</v>
      </c>
      <c r="S266">
        <f t="shared" si="40"/>
        <v>1.3333333333333333</v>
      </c>
      <c r="T266">
        <v>47</v>
      </c>
      <c r="U266">
        <v>41</v>
      </c>
    </row>
    <row r="267" spans="1:23" x14ac:dyDescent="0.25">
      <c r="A267" s="13">
        <v>31</v>
      </c>
      <c r="B267" s="21">
        <v>46092</v>
      </c>
      <c r="C267">
        <v>51</v>
      </c>
      <c r="D267">
        <v>44</v>
      </c>
      <c r="E267">
        <v>52</v>
      </c>
      <c r="F267">
        <v>37</v>
      </c>
      <c r="G267">
        <v>36</v>
      </c>
      <c r="H267">
        <v>17</v>
      </c>
      <c r="I267">
        <v>44</v>
      </c>
      <c r="J267">
        <v>20</v>
      </c>
      <c r="K267">
        <v>49</v>
      </c>
      <c r="L267">
        <v>42</v>
      </c>
      <c r="M267">
        <v>44</v>
      </c>
      <c r="N267">
        <v>42</v>
      </c>
      <c r="O267" s="19">
        <f t="shared" si="43"/>
        <v>41</v>
      </c>
      <c r="P267" s="19">
        <f t="shared" si="44"/>
        <v>10.039999999999999</v>
      </c>
      <c r="R267" s="25">
        <f t="shared" si="39"/>
        <v>10</v>
      </c>
      <c r="S267">
        <f t="shared" si="40"/>
        <v>1.3225806451612903</v>
      </c>
      <c r="T267">
        <v>46</v>
      </c>
      <c r="U267">
        <v>45</v>
      </c>
    </row>
    <row r="268" spans="1:23" x14ac:dyDescent="0.25">
      <c r="A268" s="13">
        <v>34</v>
      </c>
      <c r="B268" s="21">
        <v>46093</v>
      </c>
      <c r="C268">
        <v>58</v>
      </c>
      <c r="D268">
        <v>36</v>
      </c>
      <c r="E268">
        <v>52</v>
      </c>
      <c r="F268">
        <v>52</v>
      </c>
      <c r="G268">
        <v>44</v>
      </c>
      <c r="H268">
        <v>61</v>
      </c>
      <c r="I268">
        <v>67</v>
      </c>
      <c r="J268">
        <v>19</v>
      </c>
      <c r="K268">
        <v>53</v>
      </c>
      <c r="L268">
        <v>36</v>
      </c>
      <c r="M268">
        <v>43</v>
      </c>
      <c r="N268">
        <v>40</v>
      </c>
      <c r="O268" s="19">
        <f t="shared" si="43"/>
        <v>47</v>
      </c>
      <c r="P268" s="19">
        <f t="shared" si="44"/>
        <v>11.93</v>
      </c>
      <c r="R268" s="25">
        <f t="shared" si="39"/>
        <v>13</v>
      </c>
      <c r="S268">
        <f t="shared" si="40"/>
        <v>1.3823529411764706</v>
      </c>
      <c r="T268">
        <v>56</v>
      </c>
      <c r="U268">
        <v>44</v>
      </c>
    </row>
    <row r="269" spans="1:23" x14ac:dyDescent="0.25">
      <c r="A269" s="13">
        <v>111</v>
      </c>
      <c r="B269" s="21">
        <v>46094</v>
      </c>
      <c r="C269">
        <v>81</v>
      </c>
      <c r="D269">
        <v>69</v>
      </c>
      <c r="E269">
        <v>80</v>
      </c>
      <c r="F269">
        <v>51</v>
      </c>
      <c r="G269">
        <v>60</v>
      </c>
      <c r="H269">
        <v>27</v>
      </c>
      <c r="I269">
        <v>72</v>
      </c>
      <c r="J269">
        <v>28</v>
      </c>
      <c r="K269">
        <v>77</v>
      </c>
      <c r="L269">
        <v>73</v>
      </c>
      <c r="M269">
        <v>66</v>
      </c>
      <c r="N269">
        <v>71</v>
      </c>
      <c r="O269" s="19">
        <f t="shared" si="43"/>
        <v>64</v>
      </c>
      <c r="P269" s="19">
        <f t="shared" si="44"/>
        <v>16.760000000000002</v>
      </c>
      <c r="R269" s="25">
        <f t="shared" si="39"/>
        <v>-47</v>
      </c>
      <c r="S269">
        <f t="shared" si="40"/>
        <v>0.57657657657657657</v>
      </c>
      <c r="T269">
        <v>76</v>
      </c>
      <c r="U269">
        <v>62</v>
      </c>
    </row>
    <row r="270" spans="1:23" x14ac:dyDescent="0.25">
      <c r="A270" s="13">
        <v>135</v>
      </c>
      <c r="B270" s="21">
        <v>46095</v>
      </c>
      <c r="C270">
        <v>133</v>
      </c>
      <c r="D270">
        <v>155</v>
      </c>
      <c r="E270">
        <v>133</v>
      </c>
      <c r="F270">
        <v>104</v>
      </c>
      <c r="G270">
        <v>135</v>
      </c>
      <c r="H270">
        <v>79</v>
      </c>
      <c r="I270">
        <v>130</v>
      </c>
      <c r="J270">
        <v>44</v>
      </c>
      <c r="K270">
        <v>140</v>
      </c>
      <c r="L270">
        <v>149</v>
      </c>
      <c r="M270">
        <v>135</v>
      </c>
      <c r="N270">
        <v>146</v>
      </c>
      <c r="O270" s="19">
        <f t="shared" si="43"/>
        <v>126</v>
      </c>
      <c r="P270" s="19">
        <f t="shared" si="44"/>
        <v>29.3</v>
      </c>
      <c r="R270" s="25">
        <f t="shared" si="39"/>
        <v>-9</v>
      </c>
      <c r="S270">
        <f t="shared" si="40"/>
        <v>0.93333333333333335</v>
      </c>
      <c r="T270">
        <v>132</v>
      </c>
      <c r="U270">
        <v>144</v>
      </c>
    </row>
    <row r="271" spans="1:23" x14ac:dyDescent="0.25">
      <c r="A271" s="13">
        <v>32</v>
      </c>
      <c r="B271" s="21">
        <v>46096</v>
      </c>
      <c r="C271">
        <v>64</v>
      </c>
      <c r="D271">
        <v>46</v>
      </c>
      <c r="E271">
        <v>61</v>
      </c>
      <c r="F271">
        <v>32</v>
      </c>
      <c r="G271">
        <v>34</v>
      </c>
      <c r="H271">
        <v>29</v>
      </c>
      <c r="I271">
        <v>49</v>
      </c>
      <c r="J271">
        <v>20</v>
      </c>
      <c r="K271">
        <v>38</v>
      </c>
      <c r="L271">
        <v>56</v>
      </c>
      <c r="M271">
        <v>40</v>
      </c>
      <c r="N271">
        <v>46</v>
      </c>
      <c r="O271" s="19">
        <f t="shared" si="43"/>
        <v>44</v>
      </c>
      <c r="P271" s="19">
        <f t="shared" si="44"/>
        <v>13.91</v>
      </c>
      <c r="R271" s="25">
        <f t="shared" si="39"/>
        <v>12</v>
      </c>
      <c r="S271">
        <f t="shared" si="40"/>
        <v>1.375</v>
      </c>
      <c r="T271">
        <v>69</v>
      </c>
      <c r="U271">
        <v>33</v>
      </c>
    </row>
    <row r="272" spans="1:23" x14ac:dyDescent="0.25">
      <c r="B272" s="21">
        <v>46097</v>
      </c>
      <c r="C272">
        <v>45</v>
      </c>
      <c r="D272">
        <v>40</v>
      </c>
      <c r="E272">
        <v>44</v>
      </c>
      <c r="F272">
        <v>42</v>
      </c>
      <c r="G272">
        <v>39</v>
      </c>
      <c r="H272">
        <v>67</v>
      </c>
      <c r="I272">
        <v>41</v>
      </c>
      <c r="J272">
        <v>36</v>
      </c>
      <c r="K272">
        <v>48</v>
      </c>
      <c r="L272">
        <v>43</v>
      </c>
      <c r="M272">
        <v>44</v>
      </c>
      <c r="N272">
        <v>41</v>
      </c>
      <c r="O272" s="19">
        <f t="shared" si="43"/>
        <v>44</v>
      </c>
      <c r="P272" s="19">
        <f t="shared" si="44"/>
        <v>7.25</v>
      </c>
      <c r="T272">
        <v>43</v>
      </c>
      <c r="U272">
        <v>36</v>
      </c>
    </row>
    <row r="273" spans="2:21" x14ac:dyDescent="0.25">
      <c r="B273" s="21">
        <v>46098</v>
      </c>
      <c r="C273">
        <v>44</v>
      </c>
      <c r="D273">
        <v>28</v>
      </c>
      <c r="E273">
        <v>43</v>
      </c>
      <c r="F273">
        <v>27</v>
      </c>
      <c r="G273">
        <v>39</v>
      </c>
      <c r="H273">
        <v>45</v>
      </c>
      <c r="I273">
        <v>41</v>
      </c>
      <c r="J273">
        <v>23</v>
      </c>
      <c r="K273">
        <v>44</v>
      </c>
      <c r="L273">
        <v>32</v>
      </c>
      <c r="M273">
        <v>41</v>
      </c>
      <c r="N273">
        <v>28</v>
      </c>
      <c r="O273" s="19">
        <f t="shared" si="43"/>
        <v>36</v>
      </c>
      <c r="P273" s="19">
        <f t="shared" si="44"/>
        <v>7.75</v>
      </c>
      <c r="T273">
        <v>43</v>
      </c>
      <c r="U273">
        <v>27</v>
      </c>
    </row>
    <row r="274" spans="2:21" x14ac:dyDescent="0.25">
      <c r="B274" s="21">
        <v>46099</v>
      </c>
      <c r="C274">
        <v>46</v>
      </c>
      <c r="D274">
        <v>43</v>
      </c>
      <c r="E274">
        <v>46</v>
      </c>
      <c r="F274">
        <v>43</v>
      </c>
      <c r="G274">
        <v>40</v>
      </c>
      <c r="H274">
        <v>33</v>
      </c>
      <c r="I274">
        <v>48</v>
      </c>
      <c r="J274">
        <v>41</v>
      </c>
      <c r="K274">
        <v>47</v>
      </c>
      <c r="L274">
        <v>45</v>
      </c>
      <c r="M274">
        <v>44</v>
      </c>
      <c r="N274">
        <v>41</v>
      </c>
      <c r="O274" s="19">
        <f t="shared" si="43"/>
        <v>43</v>
      </c>
      <c r="P274" s="19">
        <f t="shared" si="44"/>
        <v>3.94</v>
      </c>
      <c r="T274">
        <v>41</v>
      </c>
      <c r="U274">
        <v>37</v>
      </c>
    </row>
    <row r="275" spans="2:21" x14ac:dyDescent="0.25">
      <c r="B275" s="21">
        <v>46100</v>
      </c>
      <c r="C275">
        <v>60</v>
      </c>
      <c r="D275">
        <v>49</v>
      </c>
      <c r="E275">
        <v>55</v>
      </c>
      <c r="F275">
        <v>56</v>
      </c>
      <c r="G275">
        <v>46</v>
      </c>
      <c r="H275">
        <v>36</v>
      </c>
      <c r="I275">
        <v>59</v>
      </c>
      <c r="J275">
        <v>50</v>
      </c>
      <c r="K275">
        <v>55</v>
      </c>
      <c r="L275">
        <v>49</v>
      </c>
      <c r="M275">
        <v>68</v>
      </c>
      <c r="N275">
        <v>50</v>
      </c>
      <c r="O275" s="19">
        <f t="shared" si="43"/>
        <v>53</v>
      </c>
      <c r="P275" s="19">
        <f t="shared" si="44"/>
        <v>7.34</v>
      </c>
      <c r="T275">
        <v>59</v>
      </c>
      <c r="U275">
        <v>51</v>
      </c>
    </row>
    <row r="276" spans="2:21" x14ac:dyDescent="0.25">
      <c r="B276" s="21">
        <v>46101</v>
      </c>
      <c r="C276">
        <v>111</v>
      </c>
      <c r="D276">
        <v>112</v>
      </c>
      <c r="E276">
        <v>106</v>
      </c>
      <c r="F276">
        <v>97</v>
      </c>
      <c r="G276">
        <v>87</v>
      </c>
      <c r="H276">
        <v>67</v>
      </c>
      <c r="I276">
        <v>117</v>
      </c>
      <c r="J276">
        <v>94</v>
      </c>
      <c r="K276">
        <v>123</v>
      </c>
      <c r="L276">
        <v>126</v>
      </c>
      <c r="M276">
        <v>135</v>
      </c>
      <c r="N276">
        <v>109</v>
      </c>
      <c r="O276" s="19">
        <f t="shared" si="43"/>
        <v>108</v>
      </c>
      <c r="P276" s="19">
        <f t="shared" si="44"/>
        <v>17.25</v>
      </c>
      <c r="T276">
        <v>126</v>
      </c>
      <c r="U276">
        <v>104</v>
      </c>
    </row>
    <row r="277" spans="2:21" x14ac:dyDescent="0.25">
      <c r="B277" s="21">
        <v>46102</v>
      </c>
      <c r="C277">
        <v>139</v>
      </c>
      <c r="D277">
        <v>130</v>
      </c>
      <c r="E277">
        <v>128</v>
      </c>
      <c r="F277">
        <v>124</v>
      </c>
      <c r="G277">
        <v>107</v>
      </c>
      <c r="H277">
        <v>112</v>
      </c>
      <c r="I277">
        <v>129</v>
      </c>
      <c r="J277">
        <v>134</v>
      </c>
      <c r="K277">
        <v>150</v>
      </c>
      <c r="L277">
        <v>132</v>
      </c>
      <c r="M277">
        <v>92</v>
      </c>
      <c r="N277">
        <v>127</v>
      </c>
      <c r="O277" s="19">
        <f t="shared" si="43"/>
        <v>125</v>
      </c>
      <c r="P277" s="19">
        <f t="shared" si="44"/>
        <v>14.21</v>
      </c>
      <c r="T277">
        <v>114</v>
      </c>
      <c r="U277">
        <v>136</v>
      </c>
    </row>
    <row r="278" spans="2:21" x14ac:dyDescent="0.25">
      <c r="B278" s="21">
        <v>46103</v>
      </c>
      <c r="C278">
        <v>46</v>
      </c>
      <c r="D278">
        <v>39</v>
      </c>
      <c r="E278">
        <v>49</v>
      </c>
      <c r="F278">
        <v>29</v>
      </c>
      <c r="G278">
        <v>39</v>
      </c>
      <c r="H278">
        <v>58</v>
      </c>
      <c r="I278">
        <v>41</v>
      </c>
      <c r="J278">
        <v>27</v>
      </c>
      <c r="K278">
        <v>46</v>
      </c>
      <c r="L278">
        <v>40</v>
      </c>
      <c r="M278">
        <v>53</v>
      </c>
      <c r="N278">
        <v>45</v>
      </c>
      <c r="O278" s="19">
        <f t="shared" si="43"/>
        <v>43</v>
      </c>
      <c r="P278" s="19">
        <f t="shared" si="44"/>
        <v>8.48</v>
      </c>
      <c r="T278">
        <v>50</v>
      </c>
      <c r="U278">
        <v>34</v>
      </c>
    </row>
    <row r="279" spans="2:21" x14ac:dyDescent="0.25">
      <c r="B279" s="21">
        <v>46104</v>
      </c>
      <c r="C279">
        <v>60</v>
      </c>
      <c r="D279">
        <v>45</v>
      </c>
      <c r="E279">
        <v>48</v>
      </c>
      <c r="F279">
        <v>38</v>
      </c>
      <c r="G279">
        <v>40</v>
      </c>
      <c r="H279">
        <v>21</v>
      </c>
      <c r="I279">
        <v>42</v>
      </c>
      <c r="J279">
        <v>31</v>
      </c>
      <c r="K279">
        <v>58</v>
      </c>
      <c r="L279">
        <v>50</v>
      </c>
      <c r="M279">
        <v>60</v>
      </c>
      <c r="N279">
        <v>46</v>
      </c>
      <c r="O279" s="19">
        <f t="shared" si="43"/>
        <v>45</v>
      </c>
      <c r="P279" s="19">
        <f t="shared" si="44"/>
        <v>10.73</v>
      </c>
      <c r="T279">
        <v>50</v>
      </c>
      <c r="U279">
        <v>36</v>
      </c>
    </row>
    <row r="280" spans="2:21" x14ac:dyDescent="0.25">
      <c r="B280" s="21">
        <v>46105</v>
      </c>
      <c r="C280">
        <v>46</v>
      </c>
      <c r="D280">
        <v>43</v>
      </c>
      <c r="E280">
        <v>47</v>
      </c>
      <c r="F280">
        <v>32</v>
      </c>
      <c r="G280">
        <v>31</v>
      </c>
      <c r="H280">
        <v>15</v>
      </c>
      <c r="I280">
        <v>42</v>
      </c>
      <c r="J280">
        <v>22</v>
      </c>
      <c r="K280">
        <v>48</v>
      </c>
      <c r="L280">
        <v>46</v>
      </c>
      <c r="M280">
        <v>31</v>
      </c>
      <c r="N280">
        <v>46</v>
      </c>
      <c r="O280" s="19">
        <f t="shared" si="43"/>
        <v>39</v>
      </c>
      <c r="P280" s="19">
        <f t="shared" si="44"/>
        <v>11.07</v>
      </c>
      <c r="T280">
        <v>57</v>
      </c>
      <c r="U280">
        <v>33</v>
      </c>
    </row>
    <row r="281" spans="2:21" x14ac:dyDescent="0.25">
      <c r="B281" s="21">
        <v>46106</v>
      </c>
      <c r="C281">
        <v>55</v>
      </c>
      <c r="D281">
        <v>41</v>
      </c>
      <c r="E281">
        <v>45</v>
      </c>
      <c r="F281">
        <v>30</v>
      </c>
      <c r="G281">
        <v>32</v>
      </c>
      <c r="H281">
        <v>19</v>
      </c>
      <c r="I281">
        <v>45</v>
      </c>
      <c r="J281">
        <v>21</v>
      </c>
      <c r="K281">
        <v>56</v>
      </c>
      <c r="L281">
        <v>40</v>
      </c>
      <c r="M281">
        <v>47</v>
      </c>
      <c r="N281">
        <v>41</v>
      </c>
      <c r="O281" s="19">
        <f t="shared" si="43"/>
        <v>40</v>
      </c>
      <c r="P281" s="19">
        <f t="shared" si="44"/>
        <v>11.45</v>
      </c>
      <c r="T281">
        <v>55</v>
      </c>
      <c r="U281">
        <v>32</v>
      </c>
    </row>
    <row r="282" spans="2:21" x14ac:dyDescent="0.25">
      <c r="B282" s="21">
        <v>46107</v>
      </c>
      <c r="C282">
        <v>45</v>
      </c>
      <c r="D282">
        <v>44</v>
      </c>
      <c r="E282">
        <v>45</v>
      </c>
      <c r="F282">
        <v>43</v>
      </c>
      <c r="G282">
        <v>45</v>
      </c>
      <c r="H282">
        <v>28</v>
      </c>
      <c r="I282">
        <v>71</v>
      </c>
      <c r="J282">
        <v>43</v>
      </c>
      <c r="K282">
        <v>47</v>
      </c>
      <c r="L282">
        <v>42</v>
      </c>
      <c r="M282">
        <v>50</v>
      </c>
      <c r="N282">
        <v>43</v>
      </c>
      <c r="O282" s="19">
        <f t="shared" si="43"/>
        <v>46</v>
      </c>
      <c r="P282" s="19">
        <f t="shared" si="44"/>
        <v>9.19</v>
      </c>
      <c r="T282">
        <v>59</v>
      </c>
      <c r="U282">
        <v>45</v>
      </c>
    </row>
    <row r="283" spans="2:21" x14ac:dyDescent="0.25">
      <c r="B283" s="21">
        <v>46108</v>
      </c>
      <c r="C283">
        <v>102</v>
      </c>
      <c r="D283">
        <v>80</v>
      </c>
      <c r="E283">
        <v>73</v>
      </c>
      <c r="F283">
        <v>79</v>
      </c>
      <c r="G283">
        <v>91</v>
      </c>
      <c r="H283">
        <v>71</v>
      </c>
      <c r="I283">
        <v>121</v>
      </c>
      <c r="J283">
        <v>81</v>
      </c>
      <c r="K283">
        <v>98</v>
      </c>
      <c r="L283">
        <v>84</v>
      </c>
      <c r="M283">
        <v>88</v>
      </c>
      <c r="N283">
        <v>81</v>
      </c>
      <c r="O283" s="19">
        <f t="shared" si="43"/>
        <v>87</v>
      </c>
      <c r="P283" s="19">
        <f t="shared" si="44"/>
        <v>12.62</v>
      </c>
      <c r="T283">
        <v>88</v>
      </c>
      <c r="U283">
        <v>79</v>
      </c>
    </row>
    <row r="284" spans="2:21" x14ac:dyDescent="0.25">
      <c r="B284" s="21">
        <v>46109</v>
      </c>
      <c r="C284">
        <v>141</v>
      </c>
      <c r="D284">
        <v>120</v>
      </c>
      <c r="E284">
        <v>87</v>
      </c>
      <c r="F284">
        <v>113</v>
      </c>
      <c r="G284">
        <v>108</v>
      </c>
      <c r="H284">
        <v>110</v>
      </c>
      <c r="I284">
        <v>138</v>
      </c>
      <c r="J284">
        <v>128</v>
      </c>
      <c r="K284">
        <v>157</v>
      </c>
      <c r="L284">
        <v>120</v>
      </c>
      <c r="M284">
        <v>123</v>
      </c>
      <c r="N284">
        <v>118</v>
      </c>
      <c r="O284" s="19">
        <f t="shared" si="43"/>
        <v>122</v>
      </c>
      <c r="P284" s="19">
        <f t="shared" si="44"/>
        <v>15.99</v>
      </c>
      <c r="T284">
        <v>127</v>
      </c>
      <c r="U284">
        <v>120</v>
      </c>
    </row>
    <row r="285" spans="2:21" x14ac:dyDescent="0.25">
      <c r="B285" s="21">
        <v>46110</v>
      </c>
      <c r="C285">
        <v>64</v>
      </c>
      <c r="D285">
        <v>50</v>
      </c>
      <c r="E285">
        <v>49</v>
      </c>
      <c r="F285">
        <v>40</v>
      </c>
      <c r="G285">
        <v>47</v>
      </c>
      <c r="H285">
        <v>9</v>
      </c>
      <c r="I285">
        <v>42</v>
      </c>
      <c r="J285">
        <v>30</v>
      </c>
      <c r="K285">
        <v>55</v>
      </c>
      <c r="L285">
        <v>53</v>
      </c>
      <c r="M285">
        <v>55</v>
      </c>
      <c r="N285">
        <v>50</v>
      </c>
      <c r="O285" s="19">
        <f t="shared" si="43"/>
        <v>46</v>
      </c>
      <c r="P285" s="19">
        <f t="shared" si="44"/>
        <v>13.68</v>
      </c>
      <c r="T285">
        <v>61</v>
      </c>
      <c r="U285">
        <v>34</v>
      </c>
    </row>
    <row r="286" spans="2:21" x14ac:dyDescent="0.25">
      <c r="B286" s="21">
        <v>46111</v>
      </c>
      <c r="C286">
        <v>45</v>
      </c>
      <c r="D286">
        <v>40</v>
      </c>
      <c r="E286">
        <v>48</v>
      </c>
      <c r="F286">
        <v>38</v>
      </c>
      <c r="G286">
        <v>40</v>
      </c>
      <c r="H286">
        <v>60</v>
      </c>
      <c r="I286">
        <v>41</v>
      </c>
      <c r="J286">
        <v>43</v>
      </c>
      <c r="K286">
        <v>47</v>
      </c>
      <c r="L286">
        <v>39</v>
      </c>
      <c r="M286">
        <v>46</v>
      </c>
      <c r="N286">
        <v>40</v>
      </c>
      <c r="O286" s="19">
        <f t="shared" si="43"/>
        <v>43</v>
      </c>
      <c r="P286" s="19">
        <f t="shared" si="44"/>
        <v>6.06</v>
      </c>
      <c r="T286">
        <v>43</v>
      </c>
      <c r="U286">
        <v>33</v>
      </c>
    </row>
    <row r="287" spans="2:21" x14ac:dyDescent="0.25">
      <c r="B287" s="21">
        <v>46112</v>
      </c>
      <c r="C287">
        <v>55</v>
      </c>
      <c r="D287">
        <v>42</v>
      </c>
      <c r="E287">
        <v>56</v>
      </c>
      <c r="F287">
        <v>38</v>
      </c>
      <c r="G287">
        <v>39</v>
      </c>
      <c r="H287">
        <v>20</v>
      </c>
      <c r="I287">
        <v>49</v>
      </c>
      <c r="J287">
        <v>30</v>
      </c>
      <c r="K287">
        <v>51</v>
      </c>
      <c r="L287">
        <v>46</v>
      </c>
      <c r="M287">
        <v>66</v>
      </c>
      <c r="N287">
        <v>42</v>
      </c>
      <c r="O287" s="19">
        <f t="shared" si="43"/>
        <v>44</v>
      </c>
      <c r="P287" s="19">
        <f t="shared" si="44"/>
        <v>11.32</v>
      </c>
      <c r="T287">
        <v>49</v>
      </c>
      <c r="U287">
        <v>34</v>
      </c>
    </row>
    <row r="288" spans="2:21" x14ac:dyDescent="0.25">
      <c r="B288" s="21">
        <v>46113</v>
      </c>
      <c r="C288">
        <v>48</v>
      </c>
      <c r="D288">
        <v>47</v>
      </c>
      <c r="E288">
        <v>64</v>
      </c>
      <c r="F288">
        <v>45</v>
      </c>
      <c r="G288">
        <v>44</v>
      </c>
      <c r="H288">
        <v>65</v>
      </c>
      <c r="I288">
        <v>53</v>
      </c>
      <c r="J288">
        <v>49</v>
      </c>
      <c r="K288">
        <v>49</v>
      </c>
      <c r="L288">
        <v>43</v>
      </c>
      <c r="M288">
        <v>57</v>
      </c>
      <c r="N288">
        <v>51</v>
      </c>
      <c r="O288" s="19">
        <f t="shared" si="43"/>
        <v>50</v>
      </c>
      <c r="P288" s="19">
        <f t="shared" si="44"/>
        <v>7.58</v>
      </c>
      <c r="T288">
        <v>52</v>
      </c>
      <c r="U288">
        <v>36</v>
      </c>
    </row>
    <row r="289" spans="2:21" x14ac:dyDescent="0.25">
      <c r="B289" s="21">
        <v>46114</v>
      </c>
      <c r="C289">
        <v>108</v>
      </c>
      <c r="D289">
        <v>66</v>
      </c>
      <c r="E289">
        <v>78</v>
      </c>
      <c r="F289">
        <v>69</v>
      </c>
      <c r="G289">
        <v>71</v>
      </c>
      <c r="H289">
        <v>42</v>
      </c>
      <c r="I289">
        <v>63</v>
      </c>
      <c r="J289">
        <v>63</v>
      </c>
      <c r="K289">
        <v>112</v>
      </c>
      <c r="L289">
        <v>78</v>
      </c>
      <c r="M289">
        <v>88</v>
      </c>
      <c r="N289">
        <v>69</v>
      </c>
      <c r="O289" s="19">
        <f t="shared" si="43"/>
        <v>75</v>
      </c>
      <c r="P289" s="19">
        <f t="shared" si="44"/>
        <v>17.899999999999999</v>
      </c>
      <c r="T289">
        <v>85</v>
      </c>
      <c r="U289">
        <v>61</v>
      </c>
    </row>
    <row r="290" spans="2:21" x14ac:dyDescent="0.25">
      <c r="B290" s="21">
        <v>46115</v>
      </c>
      <c r="C290">
        <v>92</v>
      </c>
      <c r="D290">
        <v>65</v>
      </c>
      <c r="E290">
        <v>85</v>
      </c>
      <c r="F290">
        <v>60</v>
      </c>
      <c r="G290">
        <v>59</v>
      </c>
      <c r="H290">
        <v>48</v>
      </c>
      <c r="I290">
        <v>60</v>
      </c>
      <c r="J290">
        <v>48</v>
      </c>
      <c r="K290">
        <v>96</v>
      </c>
      <c r="L290">
        <v>92</v>
      </c>
      <c r="M290">
        <v>91</v>
      </c>
      <c r="N290">
        <v>66</v>
      </c>
      <c r="O290" s="19">
        <f t="shared" ref="O290:O304" si="45">ROUND(AVERAGE(C290:N290,T290,U290),0)</f>
        <v>70</v>
      </c>
      <c r="P290" s="19">
        <f t="shared" ref="P290:P304" si="46">ROUND(_xlfn.STDEV.P(C290:N290,T290,U290),2)</f>
        <v>16.829999999999998</v>
      </c>
      <c r="T290">
        <v>69</v>
      </c>
      <c r="U290">
        <v>52</v>
      </c>
    </row>
    <row r="291" spans="2:21" x14ac:dyDescent="0.25">
      <c r="B291" s="21">
        <v>46116</v>
      </c>
      <c r="C291">
        <v>109</v>
      </c>
      <c r="D291">
        <v>107</v>
      </c>
      <c r="E291">
        <v>84</v>
      </c>
      <c r="F291">
        <v>93</v>
      </c>
      <c r="G291">
        <v>88</v>
      </c>
      <c r="H291">
        <v>92</v>
      </c>
      <c r="I291">
        <v>101</v>
      </c>
      <c r="J291">
        <v>97</v>
      </c>
      <c r="K291">
        <v>116</v>
      </c>
      <c r="L291">
        <v>115</v>
      </c>
      <c r="M291">
        <v>92</v>
      </c>
      <c r="N291">
        <v>110</v>
      </c>
      <c r="O291" s="19">
        <f t="shared" si="45"/>
        <v>99</v>
      </c>
      <c r="P291" s="19">
        <f t="shared" si="46"/>
        <v>11.21</v>
      </c>
      <c r="T291">
        <v>78</v>
      </c>
      <c r="U291">
        <v>100</v>
      </c>
    </row>
    <row r="292" spans="2:21" x14ac:dyDescent="0.25">
      <c r="B292" s="21">
        <v>46117</v>
      </c>
      <c r="C292">
        <v>44</v>
      </c>
      <c r="D292">
        <v>30</v>
      </c>
      <c r="E292">
        <v>43</v>
      </c>
      <c r="F292">
        <v>17</v>
      </c>
      <c r="G292">
        <v>37</v>
      </c>
      <c r="H292">
        <v>9</v>
      </c>
      <c r="I292">
        <v>40</v>
      </c>
      <c r="J292">
        <v>18</v>
      </c>
      <c r="K292">
        <v>45</v>
      </c>
      <c r="L292">
        <v>31</v>
      </c>
      <c r="M292">
        <v>37</v>
      </c>
      <c r="N292">
        <v>32</v>
      </c>
      <c r="O292" s="19">
        <f t="shared" si="45"/>
        <v>32</v>
      </c>
      <c r="P292" s="19">
        <f t="shared" si="46"/>
        <v>10.58</v>
      </c>
      <c r="T292">
        <v>34</v>
      </c>
      <c r="U292">
        <v>24</v>
      </c>
    </row>
    <row r="293" spans="2:21" x14ac:dyDescent="0.25">
      <c r="B293" s="21">
        <v>46118</v>
      </c>
      <c r="C293">
        <v>46</v>
      </c>
      <c r="D293">
        <v>44</v>
      </c>
      <c r="E293">
        <v>50</v>
      </c>
      <c r="F293">
        <v>38</v>
      </c>
      <c r="G293">
        <v>41</v>
      </c>
      <c r="H293">
        <v>30</v>
      </c>
      <c r="I293">
        <v>41</v>
      </c>
      <c r="J293">
        <v>33</v>
      </c>
      <c r="K293">
        <v>47</v>
      </c>
      <c r="L293">
        <v>45</v>
      </c>
      <c r="M293">
        <v>44</v>
      </c>
      <c r="N293">
        <v>44</v>
      </c>
      <c r="O293" s="19">
        <f t="shared" si="45"/>
        <v>41</v>
      </c>
      <c r="P293" s="19">
        <f t="shared" si="46"/>
        <v>5.52</v>
      </c>
      <c r="T293">
        <v>41</v>
      </c>
      <c r="U293">
        <v>34</v>
      </c>
    </row>
    <row r="294" spans="2:21" x14ac:dyDescent="0.25">
      <c r="B294" s="21">
        <v>46119</v>
      </c>
      <c r="C294">
        <v>49</v>
      </c>
      <c r="D294">
        <v>45</v>
      </c>
      <c r="E294">
        <v>60</v>
      </c>
      <c r="F294">
        <v>34</v>
      </c>
      <c r="G294">
        <v>42</v>
      </c>
      <c r="H294">
        <v>21</v>
      </c>
      <c r="I294">
        <v>43</v>
      </c>
      <c r="J294">
        <v>27</v>
      </c>
      <c r="K294">
        <v>47</v>
      </c>
      <c r="L294">
        <v>48</v>
      </c>
      <c r="M294">
        <v>64</v>
      </c>
      <c r="N294">
        <v>46</v>
      </c>
      <c r="O294" s="19">
        <f t="shared" si="45"/>
        <v>44</v>
      </c>
      <c r="P294" s="19">
        <f t="shared" si="46"/>
        <v>11.24</v>
      </c>
      <c r="T294">
        <v>50</v>
      </c>
      <c r="U294">
        <v>34</v>
      </c>
    </row>
    <row r="295" spans="2:21" x14ac:dyDescent="0.25">
      <c r="B295" s="21">
        <v>46120</v>
      </c>
      <c r="C295">
        <v>50</v>
      </c>
      <c r="D295">
        <v>42</v>
      </c>
      <c r="E295">
        <v>61</v>
      </c>
      <c r="F295">
        <v>44</v>
      </c>
      <c r="G295">
        <v>41</v>
      </c>
      <c r="H295">
        <v>72</v>
      </c>
      <c r="I295">
        <v>65</v>
      </c>
      <c r="J295">
        <v>32</v>
      </c>
      <c r="K295">
        <v>96</v>
      </c>
      <c r="L295">
        <v>48</v>
      </c>
      <c r="M295">
        <v>89</v>
      </c>
      <c r="N295">
        <v>45</v>
      </c>
      <c r="O295" s="19">
        <f t="shared" si="45"/>
        <v>58</v>
      </c>
      <c r="P295" s="19">
        <f t="shared" si="46"/>
        <v>17.989999999999998</v>
      </c>
      <c r="T295">
        <v>68</v>
      </c>
      <c r="U295">
        <v>63</v>
      </c>
    </row>
    <row r="296" spans="2:21" x14ac:dyDescent="0.25">
      <c r="B296" s="21">
        <v>46121</v>
      </c>
      <c r="C296">
        <v>74</v>
      </c>
      <c r="D296">
        <v>48</v>
      </c>
      <c r="E296">
        <v>51</v>
      </c>
      <c r="F296">
        <v>46</v>
      </c>
      <c r="G296">
        <v>51</v>
      </c>
      <c r="H296">
        <v>48</v>
      </c>
      <c r="I296">
        <v>63</v>
      </c>
      <c r="J296">
        <v>56</v>
      </c>
      <c r="K296">
        <v>66</v>
      </c>
      <c r="L296">
        <v>52</v>
      </c>
      <c r="M296">
        <v>59</v>
      </c>
      <c r="N296">
        <v>51</v>
      </c>
      <c r="O296" s="19">
        <f t="shared" si="45"/>
        <v>56</v>
      </c>
      <c r="P296" s="19">
        <f t="shared" si="46"/>
        <v>7.58</v>
      </c>
      <c r="T296">
        <v>58</v>
      </c>
      <c r="U296">
        <v>55</v>
      </c>
    </row>
    <row r="297" spans="2:21" x14ac:dyDescent="0.25">
      <c r="B297" s="21">
        <v>46122</v>
      </c>
      <c r="C297">
        <v>64</v>
      </c>
      <c r="D297">
        <v>81</v>
      </c>
      <c r="E297">
        <v>69</v>
      </c>
      <c r="F297">
        <v>71</v>
      </c>
      <c r="G297">
        <v>66</v>
      </c>
      <c r="H297">
        <v>59</v>
      </c>
      <c r="I297">
        <v>72</v>
      </c>
      <c r="J297">
        <v>64</v>
      </c>
      <c r="K297">
        <v>71</v>
      </c>
      <c r="L297">
        <v>87</v>
      </c>
      <c r="M297">
        <v>79</v>
      </c>
      <c r="N297">
        <v>83</v>
      </c>
      <c r="O297" s="19">
        <f t="shared" si="45"/>
        <v>73</v>
      </c>
      <c r="P297" s="19">
        <f t="shared" si="46"/>
        <v>8.07</v>
      </c>
      <c r="T297">
        <v>71</v>
      </c>
      <c r="U297">
        <v>82</v>
      </c>
    </row>
    <row r="298" spans="2:21" x14ac:dyDescent="0.25">
      <c r="B298" s="21">
        <v>46123</v>
      </c>
      <c r="C298">
        <v>159</v>
      </c>
      <c r="D298">
        <v>134</v>
      </c>
      <c r="E298">
        <v>136</v>
      </c>
      <c r="F298">
        <v>134</v>
      </c>
      <c r="G298">
        <v>106</v>
      </c>
      <c r="H298">
        <v>92</v>
      </c>
      <c r="I298">
        <v>101</v>
      </c>
      <c r="J298">
        <v>120</v>
      </c>
      <c r="K298">
        <v>157</v>
      </c>
      <c r="L298">
        <v>152</v>
      </c>
      <c r="M298">
        <v>167</v>
      </c>
      <c r="N298">
        <v>135</v>
      </c>
      <c r="O298" s="19">
        <f t="shared" si="45"/>
        <v>131</v>
      </c>
      <c r="P298" s="19">
        <f t="shared" si="46"/>
        <v>21.66</v>
      </c>
      <c r="T298">
        <v>122</v>
      </c>
      <c r="U298">
        <v>123</v>
      </c>
    </row>
    <row r="299" spans="2:21" x14ac:dyDescent="0.25">
      <c r="B299" s="21">
        <v>46124</v>
      </c>
      <c r="C299">
        <v>46</v>
      </c>
      <c r="D299">
        <v>44</v>
      </c>
      <c r="E299">
        <v>47</v>
      </c>
      <c r="F299">
        <v>41</v>
      </c>
      <c r="G299">
        <v>41</v>
      </c>
      <c r="H299">
        <v>28</v>
      </c>
      <c r="I299">
        <v>41</v>
      </c>
      <c r="J299">
        <v>41</v>
      </c>
      <c r="K299">
        <v>47</v>
      </c>
      <c r="L299">
        <v>48</v>
      </c>
      <c r="M299">
        <v>56</v>
      </c>
      <c r="N299">
        <v>44</v>
      </c>
      <c r="O299" s="19">
        <f t="shared" si="45"/>
        <v>43</v>
      </c>
      <c r="P299" s="19">
        <f t="shared" si="46"/>
        <v>6.06</v>
      </c>
      <c r="T299">
        <v>43</v>
      </c>
      <c r="U299">
        <v>37</v>
      </c>
    </row>
    <row r="300" spans="2:21" x14ac:dyDescent="0.25">
      <c r="B300" s="21">
        <v>46125</v>
      </c>
      <c r="C300">
        <v>71</v>
      </c>
      <c r="D300">
        <v>51</v>
      </c>
      <c r="E300">
        <v>50</v>
      </c>
      <c r="F300">
        <v>33</v>
      </c>
      <c r="G300">
        <v>43</v>
      </c>
      <c r="H300">
        <v>7</v>
      </c>
      <c r="I300">
        <v>47</v>
      </c>
      <c r="J300">
        <v>22</v>
      </c>
      <c r="K300">
        <v>72</v>
      </c>
      <c r="L300">
        <v>50</v>
      </c>
      <c r="M300">
        <v>61</v>
      </c>
      <c r="N300">
        <v>53</v>
      </c>
      <c r="O300" s="19">
        <f t="shared" si="45"/>
        <v>48</v>
      </c>
      <c r="P300" s="19">
        <f t="shared" si="46"/>
        <v>18.68</v>
      </c>
      <c r="T300">
        <v>77</v>
      </c>
      <c r="U300">
        <v>37</v>
      </c>
    </row>
    <row r="301" spans="2:21" x14ac:dyDescent="0.25">
      <c r="B301" s="21">
        <v>46126</v>
      </c>
      <c r="C301">
        <v>79</v>
      </c>
      <c r="D301">
        <v>45</v>
      </c>
      <c r="E301">
        <v>61</v>
      </c>
      <c r="F301">
        <v>36</v>
      </c>
      <c r="G301">
        <v>41</v>
      </c>
      <c r="H301">
        <v>15</v>
      </c>
      <c r="I301">
        <v>53</v>
      </c>
      <c r="J301">
        <v>30</v>
      </c>
      <c r="K301">
        <v>63</v>
      </c>
      <c r="L301">
        <v>49</v>
      </c>
      <c r="M301">
        <v>74</v>
      </c>
      <c r="N301">
        <v>44</v>
      </c>
      <c r="O301" s="19">
        <f t="shared" si="45"/>
        <v>48</v>
      </c>
      <c r="P301" s="19">
        <f t="shared" si="46"/>
        <v>16.86</v>
      </c>
      <c r="T301">
        <v>50</v>
      </c>
      <c r="U301">
        <v>31</v>
      </c>
    </row>
    <row r="302" spans="2:21" x14ac:dyDescent="0.25">
      <c r="B302" s="21">
        <v>46127</v>
      </c>
      <c r="C302">
        <v>61</v>
      </c>
      <c r="D302">
        <v>49</v>
      </c>
      <c r="E302">
        <v>58</v>
      </c>
      <c r="F302">
        <v>36</v>
      </c>
      <c r="G302">
        <v>45</v>
      </c>
      <c r="H302">
        <v>15</v>
      </c>
      <c r="I302">
        <v>49</v>
      </c>
      <c r="J302">
        <v>30</v>
      </c>
      <c r="K302">
        <v>54</v>
      </c>
      <c r="L302">
        <v>53</v>
      </c>
      <c r="M302">
        <v>60</v>
      </c>
      <c r="N302">
        <v>48</v>
      </c>
      <c r="O302" s="19">
        <f t="shared" si="45"/>
        <v>46</v>
      </c>
      <c r="P302" s="19">
        <f t="shared" si="46"/>
        <v>12.35</v>
      </c>
      <c r="T302">
        <v>52</v>
      </c>
      <c r="U302">
        <v>37</v>
      </c>
    </row>
    <row r="303" spans="2:21" x14ac:dyDescent="0.25">
      <c r="B303" s="21">
        <v>46128</v>
      </c>
      <c r="C303">
        <v>57</v>
      </c>
      <c r="D303">
        <v>48</v>
      </c>
      <c r="E303">
        <v>49</v>
      </c>
      <c r="F303">
        <v>46</v>
      </c>
      <c r="G303">
        <v>49</v>
      </c>
      <c r="H303">
        <v>39</v>
      </c>
      <c r="I303">
        <v>57</v>
      </c>
      <c r="J303">
        <v>50</v>
      </c>
      <c r="K303">
        <v>57</v>
      </c>
      <c r="L303">
        <v>51</v>
      </c>
      <c r="M303">
        <v>56</v>
      </c>
      <c r="N303">
        <v>49</v>
      </c>
      <c r="O303" s="19">
        <f t="shared" si="45"/>
        <v>51</v>
      </c>
      <c r="P303" s="19">
        <f t="shared" si="46"/>
        <v>4.8099999999999996</v>
      </c>
      <c r="T303">
        <v>52</v>
      </c>
      <c r="U303">
        <v>51</v>
      </c>
    </row>
    <row r="304" spans="2:21" ht="15.75" thickBot="1" x14ac:dyDescent="0.3">
      <c r="B304" s="21">
        <v>46129</v>
      </c>
      <c r="C304">
        <v>126</v>
      </c>
      <c r="D304">
        <v>110</v>
      </c>
      <c r="E304">
        <v>104</v>
      </c>
      <c r="F304">
        <v>101</v>
      </c>
      <c r="G304">
        <v>95</v>
      </c>
      <c r="H304">
        <v>70</v>
      </c>
      <c r="I304">
        <v>132</v>
      </c>
      <c r="J304">
        <v>94</v>
      </c>
      <c r="K304">
        <v>119</v>
      </c>
      <c r="L304">
        <v>125</v>
      </c>
      <c r="M304">
        <v>123</v>
      </c>
      <c r="N304">
        <v>109</v>
      </c>
      <c r="O304" s="19">
        <f t="shared" si="45"/>
        <v>109</v>
      </c>
      <c r="P304" s="19">
        <f t="shared" si="46"/>
        <v>15.99</v>
      </c>
      <c r="T304">
        <v>121</v>
      </c>
      <c r="U304">
        <v>103</v>
      </c>
    </row>
    <row r="305" spans="2:21" ht="15.75" thickBot="1" x14ac:dyDescent="0.3">
      <c r="B305" s="32"/>
      <c r="C305" s="61" t="s">
        <v>53</v>
      </c>
      <c r="D305" s="62"/>
      <c r="E305" s="62" t="s">
        <v>57</v>
      </c>
      <c r="F305" s="62"/>
      <c r="G305" s="62" t="s">
        <v>54</v>
      </c>
      <c r="H305" s="62"/>
      <c r="I305" s="62" t="s">
        <v>58</v>
      </c>
      <c r="J305" s="62"/>
      <c r="K305" s="62" t="s">
        <v>55</v>
      </c>
      <c r="L305" s="62"/>
      <c r="M305" s="62" t="s">
        <v>56</v>
      </c>
      <c r="N305" s="63"/>
      <c r="O305" s="47"/>
      <c r="P305" s="48"/>
      <c r="T305" s="59" t="s">
        <v>66</v>
      </c>
      <c r="U305" s="60"/>
    </row>
    <row r="306" spans="2:21" x14ac:dyDescent="0.25">
      <c r="C306">
        <v>29.34</v>
      </c>
      <c r="D306">
        <v>30.21</v>
      </c>
      <c r="E306">
        <v>24.61</v>
      </c>
      <c r="F306" s="14">
        <v>27.28</v>
      </c>
      <c r="G306" s="14">
        <v>22.28</v>
      </c>
      <c r="H306" s="14">
        <v>23.15</v>
      </c>
      <c r="I306" s="14">
        <v>28.87</v>
      </c>
      <c r="J306" s="14">
        <v>28.82</v>
      </c>
      <c r="K306" s="14">
        <v>26.2</v>
      </c>
      <c r="L306" s="14">
        <v>28.06</v>
      </c>
      <c r="M306" s="14">
        <v>28.45</v>
      </c>
      <c r="N306" s="15">
        <v>30.56</v>
      </c>
      <c r="T306">
        <v>27.27</v>
      </c>
      <c r="U306">
        <v>27.18</v>
      </c>
    </row>
  </sheetData>
  <mergeCells count="9">
    <mergeCell ref="T305:U305"/>
    <mergeCell ref="B1:O1"/>
    <mergeCell ref="C2:N2"/>
    <mergeCell ref="C305:D305"/>
    <mergeCell ref="I305:J305"/>
    <mergeCell ref="E305:F305"/>
    <mergeCell ref="G305:H305"/>
    <mergeCell ref="K305:L305"/>
    <mergeCell ref="M305:N305"/>
  </mergeCells>
  <conditionalFormatting sqref="C98:N271 T142:U271">
    <cfRule type="expression" dxfId="16" priority="8">
      <formula>ABS(C98-$A98)&lt;=5</formula>
    </cfRule>
    <cfRule type="expression" dxfId="15" priority="9">
      <formula>ABS(C98-$A98)&lt;=10</formula>
    </cfRule>
    <cfRule type="expression" dxfId="14" priority="10">
      <formula>ABS(C98-$A98)&lt;=15</formula>
    </cfRule>
  </conditionalFormatting>
  <conditionalFormatting sqref="R3:R271">
    <cfRule type="colorScale" priority="13">
      <colorScale>
        <cfvo type="min"/>
        <cfvo type="max"/>
        <color rgb="FF92D050"/>
        <color rgb="FFFF0000"/>
      </colorScale>
    </cfRule>
  </conditionalFormatting>
  <conditionalFormatting sqref="T306:U306">
    <cfRule type="cellIs" dxfId="13" priority="1" operator="lessThan">
      <formula>20</formula>
    </cfRule>
  </conditionalFormatting>
  <conditionalFormatting sqref="C306:N306 T306 U306">
    <cfRule type="cellIs" dxfId="12" priority="2" operator="lessThan">
      <formula>$O$305-$P$305</formula>
    </cfRule>
    <cfRule type="cellIs" dxfId="11" priority="3" operator="greaterThan">
      <formula>$O$305+$P$305</formula>
    </cfRule>
    <cfRule type="cellIs" dxfId="10" priority="4" operator="between">
      <formula>$O$305-$P$305</formula>
      <formula>"$O$264+$P$264"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2"/>
      <c r="C1" s="53" t="s">
        <v>44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3"/>
    </row>
    <row r="3" spans="1:27" x14ac:dyDescent="0.25">
      <c r="A3">
        <v>32</v>
      </c>
      <c r="B3" s="33"/>
    </row>
    <row r="4" spans="1:27" x14ac:dyDescent="0.25">
      <c r="A4">
        <v>48</v>
      </c>
      <c r="B4" s="33"/>
    </row>
    <row r="5" spans="1:27" x14ac:dyDescent="0.25">
      <c r="A5">
        <v>66</v>
      </c>
      <c r="B5" s="33"/>
    </row>
    <row r="6" spans="1:27" x14ac:dyDescent="0.25">
      <c r="A6">
        <v>32</v>
      </c>
      <c r="B6" s="33"/>
    </row>
    <row r="7" spans="1:27" x14ac:dyDescent="0.25">
      <c r="A7">
        <v>138</v>
      </c>
      <c r="B7" s="33"/>
    </row>
    <row r="8" spans="1:27" x14ac:dyDescent="0.25">
      <c r="A8">
        <v>148</v>
      </c>
      <c r="B8" s="33"/>
    </row>
    <row r="9" spans="1:27" x14ac:dyDescent="0.25">
      <c r="A9">
        <v>56</v>
      </c>
      <c r="B9" s="33"/>
    </row>
    <row r="10" spans="1:27" x14ac:dyDescent="0.25">
      <c r="A10">
        <v>43</v>
      </c>
      <c r="B10" s="33"/>
    </row>
    <row r="11" spans="1:27" x14ac:dyDescent="0.25">
      <c r="A11">
        <v>64</v>
      </c>
      <c r="B11" s="33"/>
    </row>
    <row r="12" spans="1:27" x14ac:dyDescent="0.25">
      <c r="A12">
        <v>44</v>
      </c>
      <c r="B12" s="33"/>
    </row>
    <row r="13" spans="1:27" x14ac:dyDescent="0.25">
      <c r="A13">
        <v>86</v>
      </c>
      <c r="B13" s="33"/>
    </row>
    <row r="14" spans="1:27" x14ac:dyDescent="0.25">
      <c r="A14">
        <v>148</v>
      </c>
      <c r="B14" s="33"/>
    </row>
    <row r="15" spans="1:27" x14ac:dyDescent="0.25">
      <c r="A15">
        <v>133</v>
      </c>
      <c r="B15" s="33"/>
    </row>
    <row r="16" spans="1:27" x14ac:dyDescent="0.25">
      <c r="A16">
        <v>84</v>
      </c>
      <c r="B16" s="33"/>
    </row>
    <row r="17" spans="1:28" x14ac:dyDescent="0.25">
      <c r="A17">
        <v>31</v>
      </c>
      <c r="B17" s="33"/>
    </row>
    <row r="18" spans="1:28" x14ac:dyDescent="0.25">
      <c r="A18">
        <v>53</v>
      </c>
      <c r="B18" s="33"/>
    </row>
    <row r="19" spans="1:28" x14ac:dyDescent="0.25">
      <c r="A19">
        <v>38</v>
      </c>
      <c r="B19" s="33"/>
    </row>
    <row r="20" spans="1:28" x14ac:dyDescent="0.25">
      <c r="A20">
        <v>104</v>
      </c>
      <c r="B20" s="33"/>
    </row>
    <row r="21" spans="1:28" x14ac:dyDescent="0.25">
      <c r="A21">
        <v>169</v>
      </c>
      <c r="B21" s="33"/>
    </row>
    <row r="22" spans="1:28" x14ac:dyDescent="0.25">
      <c r="A22">
        <v>184</v>
      </c>
      <c r="B22" s="33"/>
    </row>
    <row r="23" spans="1:28" x14ac:dyDescent="0.25">
      <c r="A23">
        <v>143</v>
      </c>
      <c r="B23" s="33"/>
    </row>
    <row r="24" spans="1:28" x14ac:dyDescent="0.25">
      <c r="A24">
        <v>57</v>
      </c>
      <c r="B24" s="33"/>
      <c r="C24">
        <v>58</v>
      </c>
      <c r="X24" s="18"/>
      <c r="Y24" s="34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3"/>
      <c r="C25">
        <v>63</v>
      </c>
      <c r="X25" s="18"/>
      <c r="Y25" s="34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3"/>
      <c r="C26">
        <v>53</v>
      </c>
      <c r="X26" s="18"/>
      <c r="Y26" s="34">
        <f t="shared" si="0"/>
        <v>53</v>
      </c>
      <c r="Z26">
        <f t="shared" si="1"/>
        <v>24</v>
      </c>
    </row>
    <row r="27" spans="1:28" x14ac:dyDescent="0.25">
      <c r="A27">
        <v>78</v>
      </c>
      <c r="B27" s="33"/>
      <c r="C27">
        <v>95</v>
      </c>
      <c r="X27" s="18"/>
      <c r="Y27" s="34">
        <f t="shared" si="0"/>
        <v>95</v>
      </c>
      <c r="Z27">
        <f t="shared" si="1"/>
        <v>17</v>
      </c>
    </row>
    <row r="28" spans="1:28" x14ac:dyDescent="0.25">
      <c r="A28">
        <v>160</v>
      </c>
      <c r="B28" s="33"/>
      <c r="C28">
        <v>100</v>
      </c>
      <c r="X28" s="18"/>
      <c r="Y28" s="34">
        <f t="shared" si="0"/>
        <v>100</v>
      </c>
      <c r="Z28">
        <f t="shared" si="1"/>
        <v>60</v>
      </c>
    </row>
    <row r="29" spans="1:28" x14ac:dyDescent="0.25">
      <c r="A29">
        <v>157</v>
      </c>
      <c r="B29" s="33"/>
      <c r="C29">
        <v>180</v>
      </c>
      <c r="X29" s="18"/>
      <c r="Y29" s="34">
        <f t="shared" si="0"/>
        <v>180</v>
      </c>
      <c r="Z29">
        <f t="shared" si="1"/>
        <v>23</v>
      </c>
    </row>
    <row r="30" spans="1:28" x14ac:dyDescent="0.25">
      <c r="A30">
        <v>70</v>
      </c>
      <c r="B30" s="33"/>
      <c r="C30">
        <v>67</v>
      </c>
      <c r="X30" s="18"/>
      <c r="Y30" s="34">
        <f t="shared" si="0"/>
        <v>67</v>
      </c>
      <c r="Z30">
        <f t="shared" si="1"/>
        <v>3</v>
      </c>
    </row>
    <row r="31" spans="1:28" x14ac:dyDescent="0.25">
      <c r="A31">
        <v>68</v>
      </c>
      <c r="B31" s="33"/>
      <c r="C31">
        <v>46</v>
      </c>
      <c r="X31" s="18"/>
      <c r="Y31" s="34">
        <f t="shared" si="0"/>
        <v>46</v>
      </c>
      <c r="Z31">
        <f t="shared" si="1"/>
        <v>22</v>
      </c>
    </row>
    <row r="32" spans="1:28" x14ac:dyDescent="0.25">
      <c r="A32">
        <v>40</v>
      </c>
      <c r="B32" s="33"/>
      <c r="C32">
        <v>95</v>
      </c>
      <c r="X32" s="18"/>
      <c r="Y32" s="34">
        <f t="shared" si="0"/>
        <v>95</v>
      </c>
      <c r="Z32">
        <f t="shared" si="1"/>
        <v>55</v>
      </c>
    </row>
    <row r="33" spans="1:28" x14ac:dyDescent="0.25">
      <c r="A33">
        <v>78</v>
      </c>
      <c r="B33" s="33"/>
      <c r="C33">
        <v>98</v>
      </c>
      <c r="X33" s="18"/>
      <c r="Y33" s="34">
        <f t="shared" si="0"/>
        <v>98</v>
      </c>
      <c r="Z33">
        <f t="shared" si="1"/>
        <v>20</v>
      </c>
    </row>
    <row r="34" spans="1:28" x14ac:dyDescent="0.25">
      <c r="A34">
        <v>65</v>
      </c>
      <c r="B34" s="33"/>
      <c r="C34">
        <v>43</v>
      </c>
      <c r="X34" s="18"/>
      <c r="Y34" s="34">
        <f t="shared" si="0"/>
        <v>43</v>
      </c>
      <c r="Z34">
        <f t="shared" si="1"/>
        <v>22</v>
      </c>
    </row>
    <row r="35" spans="1:28" x14ac:dyDescent="0.25">
      <c r="A35">
        <v>151</v>
      </c>
      <c r="B35" s="33"/>
      <c r="C35">
        <v>140</v>
      </c>
      <c r="X35" s="18"/>
      <c r="Y35" s="34">
        <f t="shared" si="0"/>
        <v>140</v>
      </c>
      <c r="Z35">
        <f t="shared" si="1"/>
        <v>11</v>
      </c>
    </row>
    <row r="36" spans="1:28" x14ac:dyDescent="0.25">
      <c r="A36">
        <v>133</v>
      </c>
      <c r="B36" s="33"/>
      <c r="C36">
        <v>177</v>
      </c>
      <c r="X36" s="18"/>
      <c r="Y36" s="34">
        <f t="shared" si="0"/>
        <v>177</v>
      </c>
      <c r="Z36">
        <f t="shared" si="1"/>
        <v>44</v>
      </c>
    </row>
    <row r="37" spans="1:28" x14ac:dyDescent="0.25">
      <c r="A37">
        <v>82</v>
      </c>
      <c r="B37" s="33"/>
      <c r="C37">
        <v>43</v>
      </c>
      <c r="X37" s="18"/>
      <c r="Y37" s="34">
        <f t="shared" si="0"/>
        <v>43</v>
      </c>
      <c r="Z37">
        <f t="shared" si="1"/>
        <v>39</v>
      </c>
    </row>
    <row r="38" spans="1:28" x14ac:dyDescent="0.25">
      <c r="A38">
        <v>63</v>
      </c>
      <c r="B38" s="33"/>
      <c r="C38">
        <v>53</v>
      </c>
      <c r="X38" s="18"/>
      <c r="Y38" s="34">
        <f t="shared" si="0"/>
        <v>53</v>
      </c>
      <c r="Z38">
        <f t="shared" si="1"/>
        <v>10</v>
      </c>
    </row>
    <row r="39" spans="1:28" x14ac:dyDescent="0.25">
      <c r="A39">
        <v>38</v>
      </c>
      <c r="B39" s="33"/>
      <c r="C39">
        <v>50</v>
      </c>
      <c r="X39" s="18"/>
      <c r="Y39" s="34">
        <f t="shared" si="0"/>
        <v>50</v>
      </c>
      <c r="Z39">
        <f t="shared" si="1"/>
        <v>12</v>
      </c>
    </row>
    <row r="40" spans="1:28" x14ac:dyDescent="0.25">
      <c r="A40">
        <v>76</v>
      </c>
      <c r="B40" s="33"/>
      <c r="C40">
        <v>49</v>
      </c>
      <c r="X40" s="18"/>
      <c r="Y40" s="34">
        <f t="shared" si="0"/>
        <v>49</v>
      </c>
      <c r="Z40">
        <f t="shared" si="1"/>
        <v>27</v>
      </c>
    </row>
    <row r="41" spans="1:28" x14ac:dyDescent="0.25">
      <c r="A41">
        <v>73</v>
      </c>
      <c r="B41" s="33"/>
      <c r="C41">
        <v>54</v>
      </c>
      <c r="X41" s="18"/>
      <c r="Y41" s="34">
        <f t="shared" si="0"/>
        <v>54</v>
      </c>
      <c r="Z41">
        <f t="shared" si="1"/>
        <v>19</v>
      </c>
    </row>
    <row r="42" spans="1:28" x14ac:dyDescent="0.25">
      <c r="A42">
        <v>169</v>
      </c>
      <c r="B42" s="33"/>
      <c r="C42">
        <v>142</v>
      </c>
      <c r="X42" s="18"/>
      <c r="Y42" s="34">
        <f t="shared" si="0"/>
        <v>142</v>
      </c>
      <c r="Z42">
        <f t="shared" si="1"/>
        <v>27</v>
      </c>
    </row>
    <row r="43" spans="1:28" x14ac:dyDescent="0.25">
      <c r="A43">
        <v>118</v>
      </c>
      <c r="B43" s="33"/>
      <c r="C43">
        <v>105</v>
      </c>
      <c r="X43" s="18"/>
      <c r="Y43" s="34">
        <f t="shared" si="0"/>
        <v>105</v>
      </c>
      <c r="Z43">
        <f t="shared" si="1"/>
        <v>13</v>
      </c>
    </row>
    <row r="44" spans="1:28" x14ac:dyDescent="0.25">
      <c r="A44">
        <v>40</v>
      </c>
      <c r="B44" s="33"/>
      <c r="C44">
        <v>47</v>
      </c>
      <c r="X44" s="18"/>
      <c r="Y44" s="34">
        <f t="shared" si="0"/>
        <v>47</v>
      </c>
      <c r="Z44">
        <f t="shared" si="1"/>
        <v>7</v>
      </c>
    </row>
    <row r="45" spans="1:28" x14ac:dyDescent="0.25">
      <c r="A45">
        <v>67</v>
      </c>
      <c r="B45" s="33"/>
      <c r="C45">
        <v>54</v>
      </c>
      <c r="X45" s="18"/>
      <c r="Y45" s="34">
        <f t="shared" si="0"/>
        <v>54</v>
      </c>
      <c r="Z45">
        <f t="shared" si="1"/>
        <v>13</v>
      </c>
    </row>
    <row r="46" spans="1:28" x14ac:dyDescent="0.25">
      <c r="A46">
        <v>80</v>
      </c>
      <c r="B46" s="33"/>
      <c r="C46">
        <v>60</v>
      </c>
      <c r="D46">
        <v>49</v>
      </c>
      <c r="X46" s="18"/>
      <c r="Y46" s="34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3"/>
      <c r="C47">
        <v>97</v>
      </c>
      <c r="D47">
        <v>103</v>
      </c>
      <c r="X47" s="18"/>
      <c r="Y47" s="34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3"/>
      <c r="C48">
        <v>99</v>
      </c>
      <c r="D48">
        <v>114</v>
      </c>
      <c r="X48" s="18"/>
      <c r="Y48" s="34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3"/>
      <c r="C49">
        <v>144</v>
      </c>
      <c r="D49">
        <v>156</v>
      </c>
      <c r="X49" s="18"/>
      <c r="Y49" s="34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3"/>
      <c r="C50">
        <v>176</v>
      </c>
      <c r="D50">
        <v>138</v>
      </c>
      <c r="X50" s="18"/>
      <c r="Y50" s="34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3"/>
      <c r="C51">
        <v>44</v>
      </c>
      <c r="D51">
        <v>61</v>
      </c>
      <c r="X51" s="18"/>
      <c r="Y51" s="34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3"/>
      <c r="C52">
        <v>43</v>
      </c>
      <c r="D52">
        <v>57</v>
      </c>
      <c r="X52" s="18"/>
      <c r="Y52" s="34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3"/>
      <c r="C53">
        <v>49</v>
      </c>
      <c r="D53">
        <v>41</v>
      </c>
      <c r="X53" s="18"/>
      <c r="Y53" s="34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3"/>
      <c r="C54">
        <v>43</v>
      </c>
      <c r="D54">
        <v>44</v>
      </c>
      <c r="X54" s="18"/>
      <c r="Y54" s="34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3"/>
      <c r="C55">
        <v>50</v>
      </c>
      <c r="D55">
        <v>75</v>
      </c>
      <c r="X55" s="18"/>
      <c r="Y55" s="34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3"/>
      <c r="C56">
        <v>119</v>
      </c>
      <c r="D56">
        <v>130</v>
      </c>
      <c r="X56" s="18"/>
      <c r="Y56" s="34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3"/>
      <c r="C57">
        <v>163</v>
      </c>
      <c r="D57">
        <v>140</v>
      </c>
      <c r="X57" s="18"/>
      <c r="Y57" s="34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3"/>
      <c r="C58">
        <v>49</v>
      </c>
      <c r="D58">
        <v>62</v>
      </c>
      <c r="X58" s="18"/>
      <c r="Y58" s="34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3"/>
      <c r="C59">
        <v>45</v>
      </c>
      <c r="D59">
        <v>51</v>
      </c>
      <c r="X59" s="18"/>
      <c r="Y59" s="34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3"/>
      <c r="C60">
        <v>113</v>
      </c>
      <c r="D60">
        <v>43</v>
      </c>
      <c r="X60" s="18"/>
      <c r="Y60" s="34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3"/>
      <c r="C61">
        <v>106</v>
      </c>
      <c r="D61">
        <v>70</v>
      </c>
      <c r="X61" s="18"/>
      <c r="Y61" s="34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3"/>
      <c r="C62">
        <v>44</v>
      </c>
      <c r="D62">
        <v>85</v>
      </c>
      <c r="X62" s="18"/>
      <c r="Y62" s="34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3"/>
      <c r="C63">
        <v>100</v>
      </c>
      <c r="D63">
        <v>140</v>
      </c>
      <c r="X63" s="18"/>
      <c r="Y63" s="34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3"/>
      <c r="C64">
        <v>82</v>
      </c>
      <c r="D64">
        <v>90</v>
      </c>
      <c r="X64" s="18"/>
      <c r="Y64" s="34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3"/>
      <c r="C65">
        <v>60</v>
      </c>
      <c r="D65">
        <v>65</v>
      </c>
      <c r="X65" s="18"/>
      <c r="Y65" s="34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3"/>
      <c r="C66">
        <v>59</v>
      </c>
      <c r="D66">
        <v>46</v>
      </c>
      <c r="X66" s="18"/>
      <c r="Y66" s="34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3"/>
      <c r="C67">
        <v>81</v>
      </c>
      <c r="D67">
        <v>87</v>
      </c>
      <c r="X67" s="18"/>
      <c r="Y67" s="34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3"/>
      <c r="C68">
        <v>43</v>
      </c>
      <c r="D68">
        <v>46</v>
      </c>
      <c r="E68" s="35">
        <v>64</v>
      </c>
      <c r="X68" s="18"/>
      <c r="Y68" s="34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3"/>
      <c r="C69">
        <v>66</v>
      </c>
      <c r="D69">
        <v>105</v>
      </c>
      <c r="E69" s="35">
        <v>94</v>
      </c>
      <c r="X69" s="18"/>
      <c r="Y69" s="34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3"/>
      <c r="C70">
        <v>144</v>
      </c>
      <c r="D70">
        <v>134</v>
      </c>
      <c r="E70" s="35">
        <v>134</v>
      </c>
      <c r="X70" s="18"/>
      <c r="Y70" s="34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3"/>
      <c r="C71">
        <v>150</v>
      </c>
      <c r="D71">
        <v>136</v>
      </c>
      <c r="E71" s="35">
        <v>148</v>
      </c>
      <c r="X71" s="18"/>
      <c r="Y71" s="34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3"/>
      <c r="C72">
        <v>48</v>
      </c>
      <c r="D72">
        <v>64</v>
      </c>
      <c r="E72" s="35">
        <v>90</v>
      </c>
      <c r="X72" s="18"/>
      <c r="Y72" s="34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3"/>
      <c r="C73">
        <v>50</v>
      </c>
      <c r="D73">
        <v>46</v>
      </c>
      <c r="E73" s="35">
        <v>50</v>
      </c>
      <c r="X73" s="18"/>
      <c r="Y73" s="34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3"/>
      <c r="C74">
        <v>48</v>
      </c>
      <c r="D74">
        <v>50</v>
      </c>
      <c r="E74" s="35">
        <v>71</v>
      </c>
      <c r="X74" s="18"/>
      <c r="Y74" s="34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3"/>
      <c r="C75">
        <v>60</v>
      </c>
      <c r="D75">
        <v>75</v>
      </c>
      <c r="E75" s="35">
        <v>98</v>
      </c>
      <c r="X75" s="18"/>
      <c r="Y75" s="34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3"/>
      <c r="C76">
        <v>43</v>
      </c>
      <c r="D76">
        <v>45</v>
      </c>
      <c r="E76" s="35">
        <v>188</v>
      </c>
      <c r="X76" s="18"/>
      <c r="Y76" s="34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3"/>
      <c r="C77">
        <v>134</v>
      </c>
      <c r="D77">
        <v>143</v>
      </c>
      <c r="E77" s="35">
        <v>160</v>
      </c>
      <c r="X77" s="18"/>
      <c r="Y77" s="34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3"/>
      <c r="C78">
        <v>178</v>
      </c>
      <c r="D78">
        <v>149</v>
      </c>
      <c r="E78" s="35">
        <v>212</v>
      </c>
      <c r="X78" s="18"/>
      <c r="Y78" s="34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3"/>
      <c r="C79">
        <v>43</v>
      </c>
      <c r="D79">
        <v>64</v>
      </c>
      <c r="E79" s="35">
        <v>42</v>
      </c>
      <c r="X79" s="18"/>
      <c r="Y79" s="34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3"/>
      <c r="C80">
        <v>54</v>
      </c>
      <c r="D80">
        <v>53</v>
      </c>
      <c r="E80" s="35">
        <v>60</v>
      </c>
      <c r="X80" s="18"/>
      <c r="Y80" s="34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3"/>
      <c r="C81">
        <v>45</v>
      </c>
      <c r="D81">
        <v>46</v>
      </c>
      <c r="E81" s="35">
        <v>109</v>
      </c>
      <c r="X81" s="18"/>
      <c r="Y81" s="34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3"/>
      <c r="C82">
        <v>93</v>
      </c>
      <c r="D82">
        <v>95</v>
      </c>
      <c r="E82" s="35">
        <v>114</v>
      </c>
      <c r="X82" s="18"/>
      <c r="Y82" s="34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3"/>
      <c r="C83">
        <v>47</v>
      </c>
      <c r="D83">
        <v>93</v>
      </c>
      <c r="E83" s="35">
        <v>144</v>
      </c>
      <c r="X83" s="18"/>
      <c r="Y83" s="34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3"/>
      <c r="C84">
        <v>118</v>
      </c>
      <c r="D84">
        <v>142</v>
      </c>
      <c r="E84" s="35">
        <v>201</v>
      </c>
      <c r="X84" s="18"/>
      <c r="Y84" s="34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3"/>
      <c r="C85">
        <v>55</v>
      </c>
      <c r="D85">
        <v>81</v>
      </c>
      <c r="E85" s="35">
        <v>91</v>
      </c>
      <c r="X85" s="18"/>
      <c r="Y85" s="34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3"/>
      <c r="C86">
        <v>43</v>
      </c>
      <c r="D86">
        <v>68</v>
      </c>
      <c r="E86" s="35">
        <v>42</v>
      </c>
      <c r="X86" s="18"/>
      <c r="Y86" s="34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3"/>
      <c r="C87">
        <v>51</v>
      </c>
      <c r="D87">
        <v>48</v>
      </c>
      <c r="E87" s="35">
        <v>43</v>
      </c>
      <c r="X87" s="18"/>
      <c r="Y87" s="34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3"/>
      <c r="C88">
        <v>43</v>
      </c>
      <c r="D88">
        <v>47</v>
      </c>
      <c r="E88" s="35">
        <v>73</v>
      </c>
      <c r="X88" s="18"/>
      <c r="Y88" s="34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3"/>
      <c r="C89">
        <v>50</v>
      </c>
      <c r="D89">
        <v>50</v>
      </c>
      <c r="E89" s="35">
        <v>67</v>
      </c>
      <c r="X89" s="18"/>
      <c r="Y89" s="34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3"/>
      <c r="C90">
        <v>68</v>
      </c>
      <c r="D90">
        <v>108</v>
      </c>
      <c r="E90" s="35">
        <v>102</v>
      </c>
      <c r="F90">
        <v>101</v>
      </c>
      <c r="X90" s="18"/>
      <c r="Y90" s="34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3"/>
      <c r="C91">
        <v>135</v>
      </c>
      <c r="D91">
        <v>152</v>
      </c>
      <c r="E91" s="35">
        <v>193</v>
      </c>
      <c r="F91">
        <v>162</v>
      </c>
      <c r="X91" s="18"/>
      <c r="Y91" s="34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3"/>
      <c r="C92">
        <v>174</v>
      </c>
      <c r="D92">
        <v>165</v>
      </c>
      <c r="E92" s="35">
        <v>252</v>
      </c>
      <c r="F92">
        <v>190</v>
      </c>
      <c r="X92" s="18"/>
      <c r="Y92" s="34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3"/>
      <c r="C93">
        <v>62</v>
      </c>
      <c r="D93">
        <v>42</v>
      </c>
      <c r="E93" s="35">
        <v>49</v>
      </c>
      <c r="F93">
        <v>45</v>
      </c>
      <c r="X93" s="18"/>
      <c r="Y93" s="34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3"/>
      <c r="C94">
        <v>52</v>
      </c>
      <c r="D94">
        <v>42</v>
      </c>
      <c r="E94" s="35">
        <v>63</v>
      </c>
      <c r="F94">
        <v>44</v>
      </c>
      <c r="X94" s="18"/>
      <c r="Y94" s="34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3"/>
      <c r="C95">
        <v>43</v>
      </c>
      <c r="D95">
        <v>50</v>
      </c>
      <c r="E95" s="35">
        <v>115</v>
      </c>
      <c r="F95">
        <v>51</v>
      </c>
      <c r="X95" s="18"/>
      <c r="Y95" s="34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3"/>
      <c r="C96">
        <v>43</v>
      </c>
      <c r="D96">
        <v>42</v>
      </c>
      <c r="E96" s="35">
        <v>101</v>
      </c>
      <c r="F96">
        <v>89</v>
      </c>
      <c r="X96" s="18"/>
      <c r="Y96" s="34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3"/>
      <c r="C97">
        <v>54</v>
      </c>
      <c r="D97">
        <v>103</v>
      </c>
      <c r="E97" s="35">
        <v>144</v>
      </c>
      <c r="F97">
        <v>130</v>
      </c>
      <c r="X97" s="18"/>
      <c r="Y97" s="34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3"/>
      <c r="C98">
        <v>128</v>
      </c>
      <c r="D98">
        <v>149</v>
      </c>
      <c r="E98" s="35">
        <v>207</v>
      </c>
      <c r="F98">
        <v>161</v>
      </c>
      <c r="X98" s="18"/>
      <c r="Y98" s="34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3"/>
      <c r="C99">
        <v>174</v>
      </c>
      <c r="D99">
        <v>132</v>
      </c>
      <c r="E99" s="35">
        <v>187</v>
      </c>
      <c r="F99">
        <v>177</v>
      </c>
      <c r="X99" s="18"/>
      <c r="Y99" s="34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3"/>
      <c r="C100">
        <v>64</v>
      </c>
      <c r="D100">
        <v>56</v>
      </c>
      <c r="E100" s="35">
        <v>57</v>
      </c>
      <c r="F100">
        <v>107</v>
      </c>
      <c r="X100" s="18"/>
      <c r="Y100" s="34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3"/>
      <c r="C101">
        <v>55</v>
      </c>
      <c r="D101">
        <v>44</v>
      </c>
      <c r="E101" s="35">
        <v>64</v>
      </c>
      <c r="F101">
        <v>73</v>
      </c>
      <c r="X101" s="18"/>
      <c r="Y101" s="34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3"/>
      <c r="C102">
        <v>43</v>
      </c>
      <c r="D102">
        <v>42</v>
      </c>
      <c r="E102" s="35">
        <v>87</v>
      </c>
      <c r="F102">
        <v>55</v>
      </c>
      <c r="X102" s="18"/>
      <c r="Y102" s="34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3"/>
      <c r="C103">
        <v>43</v>
      </c>
      <c r="D103">
        <v>43</v>
      </c>
      <c r="E103" s="35">
        <v>128</v>
      </c>
      <c r="F103">
        <v>83</v>
      </c>
      <c r="X103" s="18"/>
      <c r="Y103" s="34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3"/>
      <c r="C104">
        <v>72</v>
      </c>
      <c r="D104">
        <v>89</v>
      </c>
      <c r="E104" s="35">
        <v>143</v>
      </c>
      <c r="F104">
        <v>87</v>
      </c>
      <c r="X104" s="18"/>
      <c r="Y104" s="34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3"/>
      <c r="C105">
        <v>141</v>
      </c>
      <c r="D105">
        <v>124</v>
      </c>
      <c r="E105" s="35">
        <v>140</v>
      </c>
      <c r="F105">
        <v>166</v>
      </c>
      <c r="X105" s="18"/>
      <c r="Y105" s="34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3"/>
      <c r="C106">
        <v>163</v>
      </c>
      <c r="D106">
        <v>119</v>
      </c>
      <c r="E106" s="35">
        <v>191</v>
      </c>
      <c r="F106">
        <v>177</v>
      </c>
      <c r="X106" s="18"/>
      <c r="Y106" s="34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3"/>
      <c r="C107">
        <v>65</v>
      </c>
      <c r="D107">
        <v>47</v>
      </c>
      <c r="E107" s="35">
        <v>55</v>
      </c>
      <c r="F107">
        <v>55</v>
      </c>
      <c r="X107" s="18"/>
      <c r="Y107" s="34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3"/>
      <c r="C108">
        <v>51</v>
      </c>
      <c r="D108">
        <v>51</v>
      </c>
      <c r="E108" s="35">
        <v>64</v>
      </c>
      <c r="F108">
        <v>97</v>
      </c>
      <c r="X108" s="18"/>
      <c r="Y108" s="34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3"/>
      <c r="C109">
        <v>80</v>
      </c>
      <c r="D109">
        <v>87</v>
      </c>
      <c r="E109" s="35">
        <v>42</v>
      </c>
      <c r="F109">
        <v>47</v>
      </c>
      <c r="X109" s="18"/>
      <c r="Y109" s="34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3"/>
      <c r="C110">
        <v>48</v>
      </c>
      <c r="D110">
        <v>59</v>
      </c>
      <c r="E110" s="35">
        <v>70</v>
      </c>
      <c r="F110">
        <v>105</v>
      </c>
      <c r="X110" s="18"/>
      <c r="Y110" s="34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3"/>
      <c r="C111">
        <v>53</v>
      </c>
      <c r="D111">
        <v>103</v>
      </c>
      <c r="E111" s="35">
        <v>202</v>
      </c>
      <c r="F111">
        <v>110</v>
      </c>
      <c r="X111" s="18"/>
      <c r="Y111" s="34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3"/>
      <c r="C112">
        <v>152</v>
      </c>
      <c r="D112">
        <v>142</v>
      </c>
      <c r="E112" s="35">
        <v>146</v>
      </c>
      <c r="F112">
        <v>158</v>
      </c>
      <c r="G112">
        <v>195</v>
      </c>
      <c r="X112" s="18"/>
      <c r="Y112" s="34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3"/>
      <c r="C113">
        <v>168</v>
      </c>
      <c r="D113">
        <v>151</v>
      </c>
      <c r="E113" s="35">
        <v>160</v>
      </c>
      <c r="F113">
        <v>178</v>
      </c>
      <c r="G113">
        <v>216</v>
      </c>
      <c r="X113" s="18"/>
      <c r="Y113" s="34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3"/>
      <c r="C114">
        <v>54</v>
      </c>
      <c r="D114">
        <v>45</v>
      </c>
      <c r="E114" s="35">
        <v>44</v>
      </c>
      <c r="F114">
        <v>110</v>
      </c>
      <c r="G114">
        <v>120</v>
      </c>
      <c r="X114" s="18"/>
      <c r="Y114" s="34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3"/>
      <c r="C115">
        <v>47</v>
      </c>
      <c r="D115">
        <v>41</v>
      </c>
      <c r="E115" s="35">
        <v>65</v>
      </c>
      <c r="F115">
        <v>44</v>
      </c>
      <c r="G115">
        <v>83</v>
      </c>
      <c r="X115" s="18"/>
      <c r="Y115" s="34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3"/>
      <c r="C116">
        <v>43</v>
      </c>
      <c r="D116">
        <v>42</v>
      </c>
      <c r="E116" s="35">
        <v>84</v>
      </c>
      <c r="F116">
        <v>53</v>
      </c>
      <c r="G116">
        <v>84</v>
      </c>
      <c r="X116" s="18"/>
      <c r="Y116" s="34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3"/>
      <c r="C117">
        <v>43</v>
      </c>
      <c r="D117">
        <v>44</v>
      </c>
      <c r="E117" s="35">
        <v>120</v>
      </c>
      <c r="F117">
        <v>84</v>
      </c>
      <c r="G117">
        <v>68</v>
      </c>
      <c r="X117" s="18"/>
      <c r="Y117" s="34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3"/>
      <c r="C118">
        <v>99</v>
      </c>
      <c r="D118">
        <v>101</v>
      </c>
      <c r="E118" s="35">
        <v>95</v>
      </c>
      <c r="F118">
        <v>88</v>
      </c>
      <c r="G118">
        <v>73</v>
      </c>
      <c r="X118" s="18"/>
      <c r="Y118" s="34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3"/>
      <c r="C119">
        <v>120</v>
      </c>
      <c r="D119">
        <v>127</v>
      </c>
      <c r="E119" s="35">
        <v>130</v>
      </c>
      <c r="F119">
        <v>134</v>
      </c>
      <c r="G119">
        <v>185</v>
      </c>
      <c r="X119" s="18"/>
      <c r="Y119" s="34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3"/>
      <c r="C120">
        <v>129</v>
      </c>
      <c r="D120">
        <v>122</v>
      </c>
      <c r="E120" s="35">
        <v>122</v>
      </c>
      <c r="F120">
        <v>143</v>
      </c>
      <c r="G120">
        <v>194</v>
      </c>
      <c r="X120" s="18"/>
      <c r="Y120" s="34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3"/>
      <c r="C121">
        <v>54</v>
      </c>
      <c r="D121">
        <v>61</v>
      </c>
      <c r="E121" s="35">
        <v>97</v>
      </c>
      <c r="F121">
        <v>80</v>
      </c>
      <c r="G121">
        <v>101</v>
      </c>
      <c r="X121" s="18"/>
      <c r="Y121" s="34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3"/>
      <c r="C122">
        <v>86</v>
      </c>
      <c r="D122">
        <v>53</v>
      </c>
      <c r="E122" s="35">
        <v>76</v>
      </c>
      <c r="F122">
        <v>75</v>
      </c>
      <c r="G122">
        <v>94</v>
      </c>
      <c r="X122" s="18"/>
      <c r="Y122" s="34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3"/>
      <c r="C123">
        <v>43</v>
      </c>
      <c r="D123">
        <v>46</v>
      </c>
      <c r="E123" s="35">
        <v>73</v>
      </c>
      <c r="F123">
        <v>100</v>
      </c>
      <c r="G123">
        <v>90</v>
      </c>
      <c r="X123" s="18"/>
      <c r="Y123" s="34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3"/>
      <c r="C124">
        <v>43</v>
      </c>
      <c r="D124">
        <v>41</v>
      </c>
      <c r="E124" s="35">
        <v>104</v>
      </c>
      <c r="F124">
        <v>51</v>
      </c>
      <c r="G124">
        <v>80</v>
      </c>
      <c r="X124" s="18"/>
      <c r="Y124" s="34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3"/>
      <c r="C125">
        <v>44</v>
      </c>
      <c r="D125">
        <v>63</v>
      </c>
      <c r="E125" s="35">
        <v>183</v>
      </c>
      <c r="F125">
        <v>67</v>
      </c>
      <c r="G125">
        <v>87</v>
      </c>
      <c r="X125" s="18"/>
      <c r="Y125" s="34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3"/>
      <c r="C126">
        <v>130</v>
      </c>
      <c r="D126">
        <v>150</v>
      </c>
      <c r="E126" s="35">
        <v>233</v>
      </c>
      <c r="F126">
        <v>154</v>
      </c>
      <c r="G126">
        <v>147</v>
      </c>
      <c r="X126" s="18"/>
      <c r="Y126" s="34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3"/>
      <c r="C127">
        <v>168</v>
      </c>
      <c r="D127">
        <v>148</v>
      </c>
      <c r="E127" s="35">
        <v>258</v>
      </c>
      <c r="F127">
        <v>171</v>
      </c>
      <c r="G127">
        <v>161</v>
      </c>
      <c r="X127" s="18"/>
      <c r="Y127" s="34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3"/>
      <c r="C128">
        <v>56</v>
      </c>
      <c r="D128">
        <v>61</v>
      </c>
      <c r="E128" s="35">
        <v>77</v>
      </c>
      <c r="F128">
        <v>117</v>
      </c>
      <c r="G128">
        <v>73</v>
      </c>
      <c r="X128" s="18"/>
      <c r="Y128" s="34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3"/>
      <c r="C129">
        <v>47</v>
      </c>
      <c r="D129">
        <v>51</v>
      </c>
      <c r="E129" s="35">
        <v>78</v>
      </c>
      <c r="F129">
        <v>106</v>
      </c>
      <c r="G129">
        <v>64</v>
      </c>
      <c r="X129" s="18"/>
      <c r="Y129" s="34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3"/>
      <c r="C130">
        <v>54</v>
      </c>
      <c r="D130">
        <v>62</v>
      </c>
      <c r="E130" s="35">
        <v>43</v>
      </c>
      <c r="F130">
        <v>81</v>
      </c>
      <c r="G130">
        <v>64</v>
      </c>
      <c r="X130" s="18"/>
      <c r="Y130" s="34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3"/>
      <c r="C131">
        <v>92</v>
      </c>
      <c r="D131">
        <v>103</v>
      </c>
      <c r="E131" s="35">
        <v>83</v>
      </c>
      <c r="F131">
        <v>90</v>
      </c>
      <c r="G131">
        <v>81</v>
      </c>
      <c r="X131" s="18"/>
      <c r="Y131" s="34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3"/>
      <c r="C132">
        <v>57</v>
      </c>
      <c r="D132">
        <v>106</v>
      </c>
      <c r="E132" s="35">
        <v>155</v>
      </c>
      <c r="F132">
        <v>132</v>
      </c>
      <c r="G132">
        <v>100</v>
      </c>
      <c r="X132" s="18"/>
      <c r="Y132" s="34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3"/>
      <c r="C133">
        <v>90</v>
      </c>
      <c r="D133">
        <v>117</v>
      </c>
      <c r="E133" s="35">
        <v>148</v>
      </c>
      <c r="F133">
        <v>129</v>
      </c>
      <c r="G133">
        <v>166</v>
      </c>
      <c r="X133" s="18"/>
      <c r="Y133" s="34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3"/>
      <c r="C134">
        <v>176</v>
      </c>
      <c r="D134">
        <v>133</v>
      </c>
      <c r="E134" s="35">
        <v>204</v>
      </c>
      <c r="F134">
        <v>158</v>
      </c>
      <c r="G134">
        <v>177</v>
      </c>
      <c r="H134">
        <v>206</v>
      </c>
      <c r="X134" s="18"/>
      <c r="Y134" s="34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3"/>
      <c r="C135">
        <v>49</v>
      </c>
      <c r="D135">
        <v>65</v>
      </c>
      <c r="E135" s="35">
        <v>95</v>
      </c>
      <c r="F135">
        <v>96</v>
      </c>
      <c r="G135">
        <v>104</v>
      </c>
      <c r="H135">
        <v>60</v>
      </c>
      <c r="X135" s="18"/>
      <c r="Y135" s="34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3"/>
      <c r="C136">
        <v>51</v>
      </c>
      <c r="D136">
        <v>41</v>
      </c>
      <c r="E136" s="35">
        <v>57</v>
      </c>
      <c r="F136">
        <v>68</v>
      </c>
      <c r="G136">
        <v>100</v>
      </c>
      <c r="H136">
        <v>65</v>
      </c>
      <c r="X136" s="18"/>
      <c r="Y136" s="34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3"/>
      <c r="C137">
        <v>43</v>
      </c>
      <c r="D137">
        <v>41</v>
      </c>
      <c r="E137" s="35">
        <v>80</v>
      </c>
      <c r="F137">
        <v>63</v>
      </c>
      <c r="G137">
        <v>84</v>
      </c>
      <c r="H137">
        <v>61</v>
      </c>
      <c r="X137" s="18"/>
      <c r="Y137" s="34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3"/>
      <c r="C138">
        <v>43</v>
      </c>
      <c r="D138">
        <v>41</v>
      </c>
      <c r="E138" s="35">
        <v>106</v>
      </c>
      <c r="F138">
        <v>63</v>
      </c>
      <c r="G138">
        <v>80</v>
      </c>
      <c r="H138">
        <v>65</v>
      </c>
      <c r="X138" s="18"/>
      <c r="Y138" s="34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3"/>
      <c r="C139">
        <v>78</v>
      </c>
      <c r="D139">
        <v>120</v>
      </c>
      <c r="E139" s="35">
        <v>190</v>
      </c>
      <c r="F139">
        <v>132</v>
      </c>
      <c r="G139">
        <v>83</v>
      </c>
      <c r="H139">
        <v>140</v>
      </c>
      <c r="X139" s="18"/>
      <c r="Y139" s="34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3"/>
      <c r="C140">
        <v>150</v>
      </c>
      <c r="D140">
        <v>155</v>
      </c>
      <c r="E140" s="35">
        <v>170</v>
      </c>
      <c r="F140">
        <v>147</v>
      </c>
      <c r="G140">
        <v>192</v>
      </c>
      <c r="H140">
        <v>138</v>
      </c>
      <c r="X140" s="18"/>
      <c r="Y140" s="34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3"/>
      <c r="C141">
        <v>190</v>
      </c>
      <c r="D141">
        <v>161</v>
      </c>
      <c r="E141" s="35">
        <v>153</v>
      </c>
      <c r="F141">
        <v>142</v>
      </c>
      <c r="G141">
        <v>186</v>
      </c>
      <c r="H141">
        <v>205</v>
      </c>
      <c r="X141" s="18"/>
      <c r="Y141" s="34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3"/>
      <c r="C142">
        <v>43</v>
      </c>
      <c r="D142">
        <v>50</v>
      </c>
      <c r="E142" s="35">
        <v>42</v>
      </c>
      <c r="F142">
        <v>126</v>
      </c>
      <c r="G142">
        <v>145</v>
      </c>
      <c r="H142">
        <v>48</v>
      </c>
      <c r="X142" s="18"/>
      <c r="Y142" s="34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3"/>
      <c r="C143">
        <v>47</v>
      </c>
      <c r="D143">
        <v>51</v>
      </c>
      <c r="E143" s="35">
        <v>61</v>
      </c>
      <c r="F143">
        <v>128</v>
      </c>
      <c r="G143">
        <v>103</v>
      </c>
      <c r="H143">
        <v>48</v>
      </c>
      <c r="X143" s="18"/>
      <c r="Y143" s="34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3"/>
      <c r="C144">
        <v>43</v>
      </c>
      <c r="D144">
        <v>42</v>
      </c>
      <c r="E144" s="35">
        <v>83</v>
      </c>
      <c r="F144">
        <v>69</v>
      </c>
      <c r="G144">
        <v>84</v>
      </c>
      <c r="H144">
        <v>60</v>
      </c>
      <c r="X144" s="18"/>
      <c r="Y144" s="34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3"/>
      <c r="C145">
        <v>43</v>
      </c>
      <c r="D145">
        <v>41</v>
      </c>
      <c r="E145" s="35">
        <v>118</v>
      </c>
      <c r="F145">
        <v>46</v>
      </c>
      <c r="G145">
        <v>81</v>
      </c>
      <c r="H145">
        <v>63</v>
      </c>
      <c r="X145" s="18"/>
      <c r="Y145" s="34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3"/>
      <c r="C146">
        <v>63</v>
      </c>
      <c r="D146">
        <v>112</v>
      </c>
      <c r="E146" s="35">
        <v>181</v>
      </c>
      <c r="F146">
        <v>128</v>
      </c>
      <c r="G146">
        <v>83</v>
      </c>
      <c r="H146">
        <v>148</v>
      </c>
      <c r="X146" s="18"/>
      <c r="Y146" s="34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3"/>
      <c r="C147">
        <v>145</v>
      </c>
      <c r="D147">
        <v>124</v>
      </c>
      <c r="E147" s="35">
        <v>138</v>
      </c>
      <c r="F147">
        <v>124</v>
      </c>
      <c r="G147">
        <v>158</v>
      </c>
      <c r="H147">
        <v>196</v>
      </c>
      <c r="X147" s="18"/>
      <c r="Y147" s="34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3"/>
      <c r="C148">
        <v>169</v>
      </c>
      <c r="D148">
        <v>132</v>
      </c>
      <c r="E148" s="35">
        <v>229</v>
      </c>
      <c r="F148">
        <v>154</v>
      </c>
      <c r="G148">
        <v>150</v>
      </c>
      <c r="H148">
        <v>204</v>
      </c>
      <c r="X148" s="18"/>
      <c r="Y148" s="34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3"/>
      <c r="C149">
        <v>58</v>
      </c>
      <c r="D149">
        <v>46</v>
      </c>
      <c r="E149" s="35">
        <v>59</v>
      </c>
      <c r="F149">
        <v>86</v>
      </c>
      <c r="G149">
        <v>98</v>
      </c>
      <c r="H149">
        <v>92</v>
      </c>
      <c r="X149" s="18"/>
      <c r="Y149" s="34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3"/>
      <c r="C150">
        <v>49</v>
      </c>
      <c r="D150">
        <v>45</v>
      </c>
      <c r="E150" s="35">
        <v>70</v>
      </c>
      <c r="F150">
        <v>83</v>
      </c>
      <c r="G150">
        <v>81</v>
      </c>
      <c r="H150">
        <v>63</v>
      </c>
      <c r="X150" s="18"/>
      <c r="Y150" s="34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3"/>
      <c r="C151">
        <v>43</v>
      </c>
      <c r="D151">
        <v>42</v>
      </c>
      <c r="E151" s="35">
        <v>96</v>
      </c>
      <c r="F151">
        <v>55</v>
      </c>
      <c r="G151">
        <v>87</v>
      </c>
      <c r="H151">
        <v>74</v>
      </c>
      <c r="X151" s="18"/>
      <c r="Y151" s="34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3"/>
      <c r="C152">
        <v>43</v>
      </c>
      <c r="D152">
        <v>41</v>
      </c>
      <c r="E152" s="35">
        <v>121</v>
      </c>
      <c r="F152">
        <v>45</v>
      </c>
      <c r="G152">
        <v>81</v>
      </c>
      <c r="H152">
        <v>62</v>
      </c>
      <c r="X152" s="18"/>
      <c r="Y152" s="34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3"/>
      <c r="C153">
        <v>58</v>
      </c>
      <c r="D153">
        <v>112</v>
      </c>
      <c r="E153" s="35">
        <v>226</v>
      </c>
      <c r="F153">
        <v>129</v>
      </c>
      <c r="G153">
        <v>63</v>
      </c>
      <c r="H153">
        <v>79</v>
      </c>
      <c r="X153" s="18"/>
      <c r="Y153" s="34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3"/>
      <c r="C154">
        <v>140</v>
      </c>
      <c r="D154">
        <v>117</v>
      </c>
      <c r="E154" s="35">
        <v>158</v>
      </c>
      <c r="F154">
        <v>126</v>
      </c>
      <c r="G154">
        <v>140</v>
      </c>
      <c r="H154">
        <v>195</v>
      </c>
      <c r="X154" s="18"/>
      <c r="Y154" s="34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3"/>
      <c r="C155">
        <v>169</v>
      </c>
      <c r="D155">
        <v>130</v>
      </c>
      <c r="E155" s="35">
        <v>231</v>
      </c>
      <c r="F155">
        <v>151</v>
      </c>
      <c r="G155">
        <v>142</v>
      </c>
      <c r="H155">
        <v>209</v>
      </c>
      <c r="X155" s="18"/>
      <c r="Y155" s="34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3"/>
      <c r="C156">
        <v>45</v>
      </c>
      <c r="D156">
        <v>54</v>
      </c>
      <c r="E156" s="35">
        <v>42</v>
      </c>
      <c r="F156">
        <v>85</v>
      </c>
      <c r="G156">
        <v>75</v>
      </c>
      <c r="H156">
        <v>85</v>
      </c>
      <c r="I156">
        <v>51</v>
      </c>
      <c r="X156" s="18"/>
      <c r="Y156" s="34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3"/>
      <c r="C157">
        <v>43</v>
      </c>
      <c r="D157">
        <v>51</v>
      </c>
      <c r="E157" s="35">
        <v>64</v>
      </c>
      <c r="F157">
        <v>135</v>
      </c>
      <c r="G157">
        <v>107</v>
      </c>
      <c r="H157">
        <v>48</v>
      </c>
      <c r="I157">
        <v>90</v>
      </c>
      <c r="X157" s="18"/>
      <c r="Y157" s="34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3"/>
      <c r="C158">
        <v>43</v>
      </c>
      <c r="D158">
        <v>58</v>
      </c>
      <c r="E158" s="35">
        <v>61</v>
      </c>
      <c r="F158">
        <v>53</v>
      </c>
      <c r="G158">
        <v>88</v>
      </c>
      <c r="H158">
        <v>63</v>
      </c>
      <c r="I158">
        <v>59</v>
      </c>
      <c r="X158" s="18"/>
      <c r="Y158" s="34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3"/>
      <c r="C159">
        <v>43</v>
      </c>
      <c r="D159">
        <v>42</v>
      </c>
      <c r="E159" s="35">
        <v>116</v>
      </c>
      <c r="F159">
        <v>48</v>
      </c>
      <c r="G159">
        <v>83</v>
      </c>
      <c r="H159">
        <v>57</v>
      </c>
      <c r="I159">
        <v>86</v>
      </c>
      <c r="X159" s="18"/>
      <c r="Y159" s="34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3"/>
      <c r="C160">
        <v>95</v>
      </c>
      <c r="D160">
        <v>132</v>
      </c>
      <c r="E160" s="35">
        <v>185</v>
      </c>
      <c r="F160">
        <v>114</v>
      </c>
      <c r="G160">
        <v>77</v>
      </c>
      <c r="H160">
        <v>95</v>
      </c>
      <c r="I160">
        <v>103</v>
      </c>
      <c r="X160" s="18"/>
      <c r="Y160" s="34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3"/>
      <c r="C161">
        <v>116</v>
      </c>
      <c r="D161">
        <v>153</v>
      </c>
      <c r="E161" s="35">
        <v>57</v>
      </c>
      <c r="F161">
        <v>120</v>
      </c>
      <c r="G161">
        <v>119</v>
      </c>
      <c r="H161">
        <v>93</v>
      </c>
      <c r="I161">
        <v>183</v>
      </c>
      <c r="X161" s="18"/>
      <c r="Y161" s="34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3"/>
      <c r="C162">
        <v>153</v>
      </c>
      <c r="D162">
        <v>175</v>
      </c>
      <c r="E162" s="35">
        <v>185</v>
      </c>
      <c r="F162">
        <v>143</v>
      </c>
      <c r="G162">
        <v>202</v>
      </c>
      <c r="H162">
        <v>114</v>
      </c>
      <c r="I162">
        <v>181</v>
      </c>
      <c r="X162" s="18"/>
      <c r="Y162" s="34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3"/>
      <c r="C163">
        <v>80</v>
      </c>
      <c r="D163">
        <v>58</v>
      </c>
      <c r="E163" s="35">
        <v>90</v>
      </c>
      <c r="F163">
        <v>99</v>
      </c>
      <c r="G163">
        <v>100</v>
      </c>
      <c r="H163">
        <v>64</v>
      </c>
      <c r="I163">
        <v>166</v>
      </c>
      <c r="X163" s="18"/>
      <c r="Y163" s="34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3"/>
      <c r="C164">
        <v>45</v>
      </c>
      <c r="D164">
        <v>42</v>
      </c>
      <c r="E164" s="35">
        <v>71</v>
      </c>
      <c r="F164">
        <v>97</v>
      </c>
      <c r="G164">
        <v>99</v>
      </c>
      <c r="H164">
        <v>52</v>
      </c>
      <c r="I164">
        <v>49</v>
      </c>
      <c r="X164" s="18"/>
      <c r="Y164" s="34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3"/>
      <c r="C165">
        <v>83</v>
      </c>
      <c r="D165">
        <v>51</v>
      </c>
      <c r="E165" s="35">
        <v>77</v>
      </c>
      <c r="F165">
        <v>154</v>
      </c>
      <c r="G165">
        <v>82</v>
      </c>
      <c r="H165">
        <v>55</v>
      </c>
      <c r="I165">
        <v>138</v>
      </c>
      <c r="X165" s="18"/>
      <c r="Y165" s="34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3"/>
      <c r="C166">
        <v>47</v>
      </c>
      <c r="D166">
        <v>51</v>
      </c>
      <c r="E166" s="35">
        <v>102</v>
      </c>
      <c r="F166">
        <v>65</v>
      </c>
      <c r="G166">
        <v>85</v>
      </c>
      <c r="H166">
        <v>56</v>
      </c>
      <c r="I166">
        <v>63</v>
      </c>
      <c r="X166" s="18"/>
      <c r="Y166" s="34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3"/>
      <c r="C167">
        <v>104</v>
      </c>
      <c r="D167">
        <v>137</v>
      </c>
      <c r="E167" s="35">
        <v>194</v>
      </c>
      <c r="F167">
        <v>108</v>
      </c>
      <c r="G167">
        <v>80</v>
      </c>
      <c r="H167">
        <v>75</v>
      </c>
      <c r="I167">
        <v>90</v>
      </c>
      <c r="X167" s="18"/>
      <c r="Y167" s="34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3"/>
      <c r="C168">
        <v>164</v>
      </c>
      <c r="D168">
        <v>140</v>
      </c>
      <c r="E168" s="35">
        <v>143</v>
      </c>
      <c r="F168">
        <v>122</v>
      </c>
      <c r="G168">
        <v>146</v>
      </c>
      <c r="H168">
        <v>199</v>
      </c>
      <c r="I168">
        <v>176</v>
      </c>
      <c r="X168" s="18"/>
      <c r="Y168" s="34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3"/>
      <c r="C169">
        <v>167</v>
      </c>
      <c r="D169">
        <v>168</v>
      </c>
      <c r="E169" s="35">
        <v>181</v>
      </c>
      <c r="F169">
        <v>152</v>
      </c>
      <c r="G169">
        <v>208</v>
      </c>
      <c r="H169">
        <v>149</v>
      </c>
      <c r="I169">
        <v>177</v>
      </c>
      <c r="X169" s="18"/>
      <c r="Y169" s="34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3"/>
      <c r="C170">
        <v>49</v>
      </c>
      <c r="D170">
        <v>62</v>
      </c>
      <c r="E170" s="35">
        <v>97</v>
      </c>
      <c r="F170">
        <v>112</v>
      </c>
      <c r="G170">
        <v>101</v>
      </c>
      <c r="H170">
        <v>55</v>
      </c>
      <c r="I170">
        <v>125</v>
      </c>
      <c r="X170" s="18"/>
      <c r="Y170" s="34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3"/>
      <c r="C171">
        <v>43</v>
      </c>
      <c r="D171">
        <v>55</v>
      </c>
      <c r="E171" s="35">
        <v>52</v>
      </c>
      <c r="F171">
        <v>88</v>
      </c>
      <c r="G171">
        <v>122</v>
      </c>
      <c r="H171">
        <v>48</v>
      </c>
      <c r="I171">
        <v>52</v>
      </c>
      <c r="X171" s="18"/>
      <c r="Y171" s="34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3"/>
      <c r="C172">
        <v>43</v>
      </c>
      <c r="D172">
        <v>48</v>
      </c>
      <c r="E172" s="35">
        <v>82</v>
      </c>
      <c r="F172">
        <v>86</v>
      </c>
      <c r="G172">
        <v>96</v>
      </c>
      <c r="H172">
        <v>48</v>
      </c>
      <c r="I172">
        <v>54</v>
      </c>
      <c r="X172" s="18"/>
      <c r="Y172" s="34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3"/>
      <c r="C173">
        <v>55</v>
      </c>
      <c r="D173">
        <v>62</v>
      </c>
      <c r="E173" s="35">
        <v>98</v>
      </c>
      <c r="F173">
        <v>84</v>
      </c>
      <c r="G173">
        <v>82</v>
      </c>
      <c r="H173">
        <v>48</v>
      </c>
      <c r="I173">
        <v>64</v>
      </c>
      <c r="X173" s="18"/>
      <c r="Y173" s="34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3"/>
      <c r="C174">
        <v>66</v>
      </c>
      <c r="D174">
        <v>86</v>
      </c>
      <c r="E174" s="35">
        <v>213</v>
      </c>
      <c r="F174">
        <v>85</v>
      </c>
      <c r="G174">
        <v>97</v>
      </c>
      <c r="H174">
        <v>107</v>
      </c>
      <c r="I174">
        <v>111</v>
      </c>
      <c r="X174" s="18"/>
      <c r="Y174" s="34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3"/>
      <c r="C175">
        <v>163</v>
      </c>
      <c r="D175">
        <v>137</v>
      </c>
      <c r="E175" s="35">
        <v>142</v>
      </c>
      <c r="F175">
        <v>121</v>
      </c>
      <c r="G175">
        <v>140</v>
      </c>
      <c r="H175">
        <v>209</v>
      </c>
      <c r="I175">
        <v>178</v>
      </c>
      <c r="X175" s="18"/>
      <c r="Y175" s="34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3"/>
      <c r="C176">
        <v>164</v>
      </c>
      <c r="D176">
        <v>162</v>
      </c>
      <c r="E176" s="35">
        <v>183</v>
      </c>
      <c r="F176">
        <v>145</v>
      </c>
      <c r="G176">
        <v>187</v>
      </c>
      <c r="H176">
        <v>151</v>
      </c>
      <c r="I176">
        <v>177</v>
      </c>
      <c r="X176" s="18"/>
      <c r="Y176" s="34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3"/>
      <c r="C177">
        <v>53</v>
      </c>
      <c r="D177">
        <v>54</v>
      </c>
      <c r="E177" s="35">
        <v>72</v>
      </c>
      <c r="F177">
        <v>95</v>
      </c>
      <c r="G177">
        <v>104</v>
      </c>
      <c r="H177">
        <v>61</v>
      </c>
      <c r="I177">
        <v>244</v>
      </c>
      <c r="X177" s="18"/>
      <c r="Y177" s="34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3"/>
      <c r="C178">
        <v>44</v>
      </c>
      <c r="D178">
        <v>49</v>
      </c>
      <c r="E178" s="35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4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3"/>
      <c r="C179">
        <v>52</v>
      </c>
      <c r="D179">
        <v>91</v>
      </c>
      <c r="E179" s="35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4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3"/>
      <c r="C180">
        <v>49</v>
      </c>
      <c r="D180">
        <v>71</v>
      </c>
      <c r="E180" s="35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4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3"/>
      <c r="C181">
        <v>98</v>
      </c>
      <c r="D181">
        <v>141</v>
      </c>
      <c r="E181" s="35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4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3"/>
      <c r="C182">
        <v>167</v>
      </c>
      <c r="D182">
        <v>174</v>
      </c>
      <c r="E182" s="35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4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3"/>
      <c r="C183">
        <v>207</v>
      </c>
      <c r="D183">
        <v>181</v>
      </c>
      <c r="E183" s="35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4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3"/>
      <c r="C184">
        <v>43</v>
      </c>
      <c r="D184">
        <v>50</v>
      </c>
      <c r="E184" s="35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4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3"/>
      <c r="C185">
        <v>43</v>
      </c>
      <c r="D185">
        <v>43</v>
      </c>
      <c r="E185" s="35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4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3"/>
      <c r="C186">
        <v>83</v>
      </c>
      <c r="D186">
        <v>53</v>
      </c>
      <c r="E186" s="35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4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3"/>
      <c r="C187">
        <v>96</v>
      </c>
      <c r="D187">
        <v>90</v>
      </c>
      <c r="E187" s="35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4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3"/>
      <c r="C188">
        <v>80</v>
      </c>
      <c r="D188">
        <v>120</v>
      </c>
      <c r="E188" s="35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4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3"/>
      <c r="C189">
        <v>114</v>
      </c>
      <c r="D189">
        <v>118</v>
      </c>
      <c r="E189" s="35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4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3"/>
      <c r="C190">
        <v>202</v>
      </c>
      <c r="D190">
        <v>203</v>
      </c>
      <c r="E190" s="35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4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3"/>
      <c r="C191">
        <v>43</v>
      </c>
      <c r="D191">
        <v>81</v>
      </c>
      <c r="E191" s="35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4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3"/>
      <c r="C192">
        <v>46</v>
      </c>
      <c r="D192">
        <v>59</v>
      </c>
      <c r="E192" s="35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4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3"/>
      <c r="C193">
        <v>114</v>
      </c>
      <c r="D193">
        <v>48</v>
      </c>
      <c r="E193" s="35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4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3"/>
      <c r="C194">
        <v>94</v>
      </c>
      <c r="D194">
        <v>65</v>
      </c>
      <c r="E194" s="35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4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3"/>
      <c r="C195">
        <v>62</v>
      </c>
      <c r="D195">
        <v>72</v>
      </c>
      <c r="E195" s="35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4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3"/>
      <c r="C196">
        <v>110</v>
      </c>
      <c r="D196">
        <v>172</v>
      </c>
      <c r="E196" s="35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4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3"/>
      <c r="C197">
        <v>171</v>
      </c>
      <c r="D197">
        <v>207</v>
      </c>
      <c r="E197" s="35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4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3"/>
      <c r="C198">
        <v>43</v>
      </c>
      <c r="D198">
        <v>60</v>
      </c>
      <c r="E198" s="35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4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3"/>
      <c r="C199">
        <v>47</v>
      </c>
      <c r="D199">
        <v>61</v>
      </c>
      <c r="E199" s="35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4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3"/>
      <c r="C200">
        <v>45</v>
      </c>
      <c r="D200">
        <v>56</v>
      </c>
      <c r="E200" s="35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4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3"/>
      <c r="C201">
        <v>71</v>
      </c>
      <c r="D201">
        <v>79</v>
      </c>
      <c r="E201" s="35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4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3"/>
      <c r="C202">
        <v>90</v>
      </c>
      <c r="D202">
        <v>122</v>
      </c>
      <c r="E202" s="35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4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3"/>
      <c r="C203">
        <v>161</v>
      </c>
      <c r="D203">
        <v>171</v>
      </c>
      <c r="E203" s="35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4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3"/>
      <c r="C204">
        <v>164</v>
      </c>
      <c r="D204">
        <v>160</v>
      </c>
      <c r="E204" s="35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4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3"/>
      <c r="C205">
        <v>44</v>
      </c>
      <c r="D205">
        <v>68</v>
      </c>
      <c r="E205" s="35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4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3"/>
      <c r="C206">
        <v>45</v>
      </c>
      <c r="D206">
        <v>51</v>
      </c>
      <c r="E206" s="35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4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3"/>
      <c r="C207">
        <v>53</v>
      </c>
      <c r="D207">
        <v>73</v>
      </c>
      <c r="E207" s="35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4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3"/>
      <c r="C208">
        <v>54</v>
      </c>
      <c r="D208">
        <v>88</v>
      </c>
      <c r="E208" s="35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4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3"/>
      <c r="C209">
        <v>79</v>
      </c>
      <c r="D209">
        <v>125</v>
      </c>
      <c r="E209" s="35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4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3"/>
      <c r="C210">
        <v>120</v>
      </c>
      <c r="D210">
        <v>171</v>
      </c>
      <c r="E210" s="35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4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3"/>
      <c r="C211">
        <v>182</v>
      </c>
      <c r="D211">
        <v>200</v>
      </c>
      <c r="E211" s="35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4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3"/>
      <c r="C212">
        <v>43</v>
      </c>
      <c r="D212">
        <v>83</v>
      </c>
      <c r="E212" s="35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4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3"/>
      <c r="C213">
        <v>43</v>
      </c>
      <c r="D213">
        <v>88</v>
      </c>
      <c r="E213" s="35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4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3"/>
      <c r="C214">
        <v>56</v>
      </c>
      <c r="D214">
        <v>88</v>
      </c>
      <c r="E214" s="35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4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3"/>
      <c r="C215">
        <v>56</v>
      </c>
      <c r="D215">
        <v>95</v>
      </c>
      <c r="E215" s="35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4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3"/>
      <c r="C216">
        <v>54</v>
      </c>
      <c r="D216">
        <v>100</v>
      </c>
      <c r="E216" s="35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4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3"/>
      <c r="C217">
        <v>101</v>
      </c>
      <c r="D217">
        <v>151</v>
      </c>
      <c r="E217" s="35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4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3"/>
      <c r="C218">
        <v>155</v>
      </c>
      <c r="D218">
        <v>198</v>
      </c>
      <c r="E218" s="35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4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3"/>
      <c r="C219">
        <v>43</v>
      </c>
      <c r="D219">
        <v>96</v>
      </c>
      <c r="E219" s="35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4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3"/>
      <c r="C220">
        <v>43</v>
      </c>
      <c r="D220">
        <v>75</v>
      </c>
      <c r="E220" s="35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4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3"/>
      <c r="C221">
        <v>52</v>
      </c>
      <c r="D221">
        <v>90</v>
      </c>
      <c r="E221" s="35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4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3"/>
      <c r="C222">
        <v>53</v>
      </c>
      <c r="D222">
        <v>92</v>
      </c>
      <c r="E222" s="35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4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3"/>
      <c r="C223">
        <v>55</v>
      </c>
      <c r="D223">
        <v>110</v>
      </c>
      <c r="E223" s="35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4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3"/>
      <c r="C224">
        <v>60</v>
      </c>
      <c r="D224">
        <v>142</v>
      </c>
      <c r="E224" s="35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4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3"/>
      <c r="C225">
        <v>80</v>
      </c>
      <c r="D225">
        <v>183</v>
      </c>
      <c r="E225" s="35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4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3"/>
      <c r="C226">
        <v>43</v>
      </c>
      <c r="D226">
        <v>123</v>
      </c>
      <c r="E226" s="35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4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3"/>
      <c r="C227">
        <v>43</v>
      </c>
      <c r="D227">
        <v>129</v>
      </c>
      <c r="E227" s="35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4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3"/>
      <c r="C228">
        <v>47</v>
      </c>
      <c r="D228">
        <v>104</v>
      </c>
      <c r="E228" s="35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4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3"/>
      <c r="C229">
        <v>53</v>
      </c>
      <c r="D229">
        <v>100</v>
      </c>
      <c r="E229" s="35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4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3"/>
      <c r="C230">
        <v>54</v>
      </c>
      <c r="D230">
        <v>118</v>
      </c>
      <c r="E230" s="35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4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3"/>
      <c r="C231">
        <v>69</v>
      </c>
      <c r="D231">
        <v>162</v>
      </c>
      <c r="E231" s="35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4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3"/>
      <c r="C232">
        <v>110</v>
      </c>
      <c r="D232">
        <v>180</v>
      </c>
      <c r="E232" s="35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4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3"/>
      <c r="C233">
        <v>43</v>
      </c>
      <c r="D233">
        <v>86</v>
      </c>
      <c r="E233" s="35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4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3"/>
      <c r="C234">
        <v>50</v>
      </c>
      <c r="D234">
        <v>69</v>
      </c>
      <c r="E234" s="35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4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3"/>
      <c r="C235">
        <v>46</v>
      </c>
      <c r="D235">
        <v>143</v>
      </c>
      <c r="E235" s="35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4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3"/>
      <c r="C236">
        <v>51</v>
      </c>
      <c r="D236">
        <v>100</v>
      </c>
      <c r="E236" s="35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4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3"/>
      <c r="C237">
        <v>56</v>
      </c>
      <c r="D237">
        <v>131</v>
      </c>
      <c r="E237" s="35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4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3"/>
      <c r="C238">
        <v>67</v>
      </c>
      <c r="D238">
        <v>161</v>
      </c>
      <c r="E238" s="35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4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3"/>
      <c r="C239">
        <v>86</v>
      </c>
      <c r="D239">
        <v>164</v>
      </c>
      <c r="E239" s="35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4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3"/>
      <c r="C240">
        <v>43</v>
      </c>
      <c r="D240">
        <v>111</v>
      </c>
      <c r="E240" s="35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4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3"/>
      <c r="C241">
        <v>50</v>
      </c>
      <c r="D241">
        <v>78</v>
      </c>
      <c r="E241" s="35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4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3"/>
      <c r="C242">
        <v>50</v>
      </c>
      <c r="D242">
        <v>94</v>
      </c>
      <c r="E242" s="35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4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3"/>
      <c r="C243">
        <v>56</v>
      </c>
      <c r="D243">
        <v>107</v>
      </c>
      <c r="E243" s="35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4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3"/>
      <c r="C244">
        <v>61</v>
      </c>
      <c r="D244">
        <v>128</v>
      </c>
      <c r="E244" s="35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4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3"/>
      <c r="C245">
        <v>47</v>
      </c>
      <c r="D245">
        <v>166</v>
      </c>
      <c r="E245" s="35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4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3"/>
      <c r="C246">
        <v>55</v>
      </c>
      <c r="D246">
        <v>241</v>
      </c>
      <c r="E246" s="35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4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3"/>
      <c r="C247">
        <v>43</v>
      </c>
      <c r="D247">
        <v>137</v>
      </c>
      <c r="E247" s="35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4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3"/>
      <c r="C248">
        <v>46</v>
      </c>
      <c r="D248">
        <v>111</v>
      </c>
      <c r="E248" s="35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4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3"/>
      <c r="C249">
        <v>46</v>
      </c>
      <c r="D249">
        <v>91</v>
      </c>
      <c r="E249" s="35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4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3"/>
      <c r="C250">
        <v>52</v>
      </c>
      <c r="D250">
        <v>98</v>
      </c>
      <c r="E250" s="35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4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3"/>
      <c r="C251">
        <v>64</v>
      </c>
      <c r="D251">
        <v>122</v>
      </c>
      <c r="E251" s="35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4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3"/>
      <c r="C252">
        <v>84</v>
      </c>
      <c r="D252">
        <v>127</v>
      </c>
      <c r="E252" s="35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4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3"/>
      <c r="C253">
        <v>167</v>
      </c>
      <c r="D253">
        <v>154</v>
      </c>
      <c r="E253" s="35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4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3"/>
      <c r="C254">
        <v>43</v>
      </c>
      <c r="D254">
        <v>113</v>
      </c>
      <c r="E254" s="35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4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3"/>
      <c r="C255">
        <v>43</v>
      </c>
      <c r="D255">
        <v>109</v>
      </c>
      <c r="E255" s="35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4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3"/>
      <c r="C256">
        <v>49</v>
      </c>
      <c r="D256">
        <v>92</v>
      </c>
      <c r="E256" s="35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4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3"/>
      <c r="C257">
        <v>43</v>
      </c>
      <c r="D257">
        <v>41</v>
      </c>
      <c r="E257" s="35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4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3"/>
      <c r="C258">
        <v>43</v>
      </c>
      <c r="D258">
        <v>41</v>
      </c>
      <c r="E258" s="35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4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3"/>
      <c r="C259">
        <v>47</v>
      </c>
      <c r="D259">
        <v>67</v>
      </c>
      <c r="E259" s="35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4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3"/>
      <c r="C260">
        <v>51</v>
      </c>
      <c r="D260">
        <v>84</v>
      </c>
      <c r="E260" s="35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4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3"/>
      <c r="C261">
        <v>43</v>
      </c>
      <c r="D261">
        <v>52</v>
      </c>
      <c r="E261" s="35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4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3"/>
      <c r="C262">
        <v>43</v>
      </c>
      <c r="D262">
        <v>41</v>
      </c>
      <c r="E262" s="35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4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3"/>
      <c r="C263">
        <v>43</v>
      </c>
      <c r="D263">
        <v>45</v>
      </c>
      <c r="E263" s="35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4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3"/>
      <c r="C264">
        <v>43</v>
      </c>
      <c r="D264">
        <v>43</v>
      </c>
      <c r="E264" s="35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4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3"/>
      <c r="C265">
        <v>43</v>
      </c>
      <c r="D265">
        <v>41</v>
      </c>
      <c r="E265" s="35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4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3"/>
      <c r="C266">
        <v>43</v>
      </c>
      <c r="D266">
        <v>41</v>
      </c>
      <c r="E266" s="35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4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3"/>
      <c r="C267">
        <v>69</v>
      </c>
      <c r="D267">
        <v>224</v>
      </c>
      <c r="E267" s="35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4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3"/>
      <c r="C268">
        <v>43</v>
      </c>
      <c r="D268">
        <v>46</v>
      </c>
      <c r="E268" s="35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4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3"/>
      <c r="C269">
        <v>43</v>
      </c>
      <c r="D269">
        <v>49</v>
      </c>
      <c r="E269" s="35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4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3"/>
      <c r="C270">
        <v>43</v>
      </c>
      <c r="D270">
        <v>52</v>
      </c>
      <c r="E270" s="35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4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3"/>
      <c r="C271">
        <v>43</v>
      </c>
      <c r="D271">
        <v>48</v>
      </c>
      <c r="E271" s="35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4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3"/>
      <c r="C272">
        <v>43</v>
      </c>
      <c r="D272">
        <v>41</v>
      </c>
      <c r="E272" s="35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4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3"/>
      <c r="C273">
        <v>140</v>
      </c>
      <c r="D273">
        <v>147</v>
      </c>
      <c r="E273" s="35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4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3"/>
      <c r="C274">
        <v>160</v>
      </c>
      <c r="D274">
        <v>207</v>
      </c>
      <c r="E274" s="35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4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3"/>
      <c r="C275">
        <v>43</v>
      </c>
      <c r="D275">
        <v>50</v>
      </c>
      <c r="E275" s="35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4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3"/>
      <c r="C276">
        <v>43</v>
      </c>
      <c r="D276">
        <v>50</v>
      </c>
      <c r="E276" s="35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4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3"/>
      <c r="C277">
        <v>43</v>
      </c>
      <c r="D277">
        <v>52</v>
      </c>
      <c r="E277" s="35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4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3"/>
      <c r="C278">
        <v>43</v>
      </c>
      <c r="D278">
        <v>45</v>
      </c>
      <c r="E278" s="35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4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3"/>
      <c r="C279">
        <v>43</v>
      </c>
      <c r="D279">
        <v>42</v>
      </c>
      <c r="E279" s="35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4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3"/>
      <c r="C280">
        <v>43</v>
      </c>
      <c r="D280">
        <v>43</v>
      </c>
      <c r="E280" s="35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4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3"/>
      <c r="C281">
        <v>156</v>
      </c>
      <c r="D281">
        <v>210</v>
      </c>
      <c r="E281" s="35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4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3"/>
      <c r="C282">
        <v>43</v>
      </c>
      <c r="D282">
        <v>51</v>
      </c>
      <c r="E282" s="35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4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3"/>
      <c r="C283">
        <v>43</v>
      </c>
      <c r="D283">
        <v>41</v>
      </c>
      <c r="E283" s="35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4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3"/>
      <c r="C284">
        <v>43</v>
      </c>
      <c r="D284">
        <v>41</v>
      </c>
      <c r="E284" s="35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4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3"/>
      <c r="C285">
        <v>47</v>
      </c>
      <c r="D285">
        <v>41</v>
      </c>
      <c r="E285" s="35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4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3"/>
      <c r="C286">
        <v>43</v>
      </c>
      <c r="D286">
        <v>47</v>
      </c>
      <c r="E286" s="35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4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3"/>
      <c r="C287">
        <v>80</v>
      </c>
      <c r="D287">
        <v>88</v>
      </c>
      <c r="E287" s="35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4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3"/>
      <c r="C288">
        <v>160</v>
      </c>
      <c r="D288">
        <v>207</v>
      </c>
      <c r="E288" s="35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4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3"/>
      <c r="C289">
        <v>43</v>
      </c>
      <c r="D289">
        <v>46</v>
      </c>
      <c r="E289" s="35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4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3"/>
      <c r="C290">
        <v>43</v>
      </c>
      <c r="D290">
        <v>41</v>
      </c>
      <c r="E290" s="35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4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3"/>
      <c r="C291">
        <v>43</v>
      </c>
      <c r="D291">
        <v>41</v>
      </c>
      <c r="E291" s="35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4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3"/>
      <c r="C292">
        <v>43</v>
      </c>
      <c r="D292">
        <v>41</v>
      </c>
      <c r="E292" s="35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4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3"/>
      <c r="C293">
        <v>43</v>
      </c>
      <c r="D293">
        <v>48</v>
      </c>
      <c r="E293" s="35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4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3"/>
      <c r="C294">
        <v>43</v>
      </c>
      <c r="D294">
        <v>41</v>
      </c>
      <c r="E294" s="35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4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3"/>
      <c r="C295">
        <v>181</v>
      </c>
      <c r="D295">
        <v>207</v>
      </c>
      <c r="E295" s="35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4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3"/>
      <c r="C296">
        <v>43</v>
      </c>
      <c r="D296">
        <v>48</v>
      </c>
      <c r="E296" s="35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4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3"/>
      <c r="C297">
        <v>43</v>
      </c>
      <c r="D297">
        <v>54</v>
      </c>
      <c r="E297" s="35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4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3"/>
      <c r="C298">
        <v>43</v>
      </c>
      <c r="D298">
        <v>41</v>
      </c>
      <c r="E298" s="35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4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3"/>
      <c r="C299">
        <v>43</v>
      </c>
      <c r="D299">
        <v>41</v>
      </c>
      <c r="E299" s="35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4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3"/>
      <c r="C300">
        <v>43</v>
      </c>
      <c r="D300">
        <v>100</v>
      </c>
      <c r="E300" s="35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4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3"/>
      <c r="C301">
        <v>44</v>
      </c>
      <c r="D301">
        <v>114</v>
      </c>
      <c r="E301" s="35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4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3"/>
      <c r="C302">
        <v>54</v>
      </c>
      <c r="D302">
        <v>233</v>
      </c>
      <c r="E302" s="35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4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3"/>
      <c r="C303">
        <v>43</v>
      </c>
      <c r="D303">
        <v>71</v>
      </c>
      <c r="E303" s="35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4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3"/>
      <c r="C304">
        <v>43</v>
      </c>
      <c r="D304">
        <v>91</v>
      </c>
      <c r="E304" s="35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4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3"/>
      <c r="C305">
        <v>43</v>
      </c>
      <c r="D305">
        <v>110</v>
      </c>
      <c r="E305" s="35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4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3"/>
      <c r="C306">
        <v>43</v>
      </c>
      <c r="D306">
        <v>74</v>
      </c>
      <c r="E306" s="35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4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3"/>
      <c r="C307">
        <v>44</v>
      </c>
      <c r="D307">
        <v>87</v>
      </c>
      <c r="E307" s="35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4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3"/>
      <c r="C308">
        <v>48</v>
      </c>
      <c r="D308">
        <v>118</v>
      </c>
      <c r="E308" s="35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4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3"/>
      <c r="C309">
        <v>67</v>
      </c>
      <c r="D309">
        <v>219</v>
      </c>
      <c r="E309" s="35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4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3"/>
      <c r="C310">
        <v>43</v>
      </c>
      <c r="D310">
        <v>61</v>
      </c>
      <c r="E310" s="35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4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3"/>
      <c r="C311">
        <v>43</v>
      </c>
      <c r="D311">
        <v>41</v>
      </c>
      <c r="E311" s="35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4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3"/>
      <c r="C312">
        <v>43</v>
      </c>
      <c r="D312">
        <v>41</v>
      </c>
      <c r="E312" s="35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4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3"/>
      <c r="C313">
        <v>44</v>
      </c>
      <c r="D313">
        <v>41</v>
      </c>
      <c r="E313" s="35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4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3"/>
      <c r="C314">
        <v>49</v>
      </c>
      <c r="D314">
        <v>47</v>
      </c>
      <c r="E314" s="35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4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3"/>
      <c r="C315">
        <v>121</v>
      </c>
      <c r="D315">
        <v>166</v>
      </c>
      <c r="E315" s="35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4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3"/>
      <c r="C316">
        <v>153</v>
      </c>
      <c r="D316">
        <v>208</v>
      </c>
      <c r="E316" s="35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4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3"/>
      <c r="C317">
        <v>43</v>
      </c>
      <c r="D317">
        <v>61</v>
      </c>
      <c r="E317" s="35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4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3"/>
      <c r="C318">
        <v>43</v>
      </c>
      <c r="D318">
        <v>41</v>
      </c>
      <c r="E318" s="35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4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3"/>
      <c r="C319">
        <v>43</v>
      </c>
      <c r="D319">
        <v>49</v>
      </c>
      <c r="E319" s="35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4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3"/>
      <c r="C320">
        <v>74</v>
      </c>
      <c r="D320">
        <v>49</v>
      </c>
      <c r="E320" s="35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4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3"/>
      <c r="C321">
        <v>43</v>
      </c>
      <c r="D321">
        <v>44</v>
      </c>
      <c r="E321" s="35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4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3"/>
      <c r="C322">
        <v>44</v>
      </c>
      <c r="D322">
        <v>53</v>
      </c>
      <c r="E322" s="35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4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3"/>
      <c r="C323">
        <v>185</v>
      </c>
      <c r="D323">
        <v>209</v>
      </c>
      <c r="E323" s="35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4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3"/>
      <c r="C324">
        <v>43</v>
      </c>
      <c r="D324">
        <v>41</v>
      </c>
      <c r="E324" s="35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4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3"/>
      <c r="C325">
        <v>44</v>
      </c>
      <c r="D325">
        <v>41</v>
      </c>
      <c r="E325" s="35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4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3"/>
      <c r="C326">
        <v>43</v>
      </c>
      <c r="D326">
        <v>41</v>
      </c>
      <c r="E326" s="35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4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3"/>
      <c r="C327">
        <v>43</v>
      </c>
      <c r="D327">
        <v>41</v>
      </c>
      <c r="E327" s="35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4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3"/>
      <c r="C328">
        <v>45</v>
      </c>
      <c r="D328">
        <v>41</v>
      </c>
      <c r="E328" s="35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4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3"/>
      <c r="C329">
        <v>115</v>
      </c>
      <c r="D329">
        <v>140</v>
      </c>
      <c r="E329" s="35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4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3"/>
      <c r="C330">
        <v>140</v>
      </c>
      <c r="D330">
        <v>156</v>
      </c>
      <c r="E330" s="35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4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3"/>
      <c r="C331">
        <v>43</v>
      </c>
      <c r="D331">
        <v>71</v>
      </c>
      <c r="E331" s="35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4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3"/>
      <c r="C332">
        <v>43</v>
      </c>
      <c r="D332">
        <v>53</v>
      </c>
      <c r="E332" s="35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4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3"/>
      <c r="C333">
        <v>47</v>
      </c>
      <c r="D333">
        <v>48</v>
      </c>
      <c r="E333" s="35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4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3"/>
      <c r="C334">
        <v>70</v>
      </c>
      <c r="D334">
        <v>51</v>
      </c>
      <c r="E334" s="35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4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3"/>
      <c r="C335">
        <v>47</v>
      </c>
      <c r="D335">
        <v>153</v>
      </c>
      <c r="E335" s="35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4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3"/>
      <c r="C336">
        <v>127</v>
      </c>
      <c r="D336">
        <v>169</v>
      </c>
      <c r="E336" s="35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4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3"/>
      <c r="C337">
        <v>181</v>
      </c>
      <c r="D337">
        <v>203</v>
      </c>
      <c r="E337" s="35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4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3"/>
      <c r="C338">
        <v>43</v>
      </c>
      <c r="D338">
        <v>51</v>
      </c>
      <c r="E338" s="35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4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3"/>
      <c r="C339">
        <v>43</v>
      </c>
      <c r="D339">
        <v>41</v>
      </c>
      <c r="E339" s="35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4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3"/>
      <c r="C340">
        <v>43</v>
      </c>
      <c r="D340">
        <v>41</v>
      </c>
      <c r="E340" s="35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4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3"/>
      <c r="C341">
        <v>43</v>
      </c>
      <c r="D341">
        <v>41</v>
      </c>
      <c r="E341" s="35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4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3"/>
      <c r="C342">
        <v>47</v>
      </c>
      <c r="D342">
        <v>42</v>
      </c>
      <c r="E342" s="35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4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3"/>
      <c r="C343">
        <v>125</v>
      </c>
      <c r="D343">
        <v>155</v>
      </c>
      <c r="E343" s="35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4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3"/>
      <c r="C344">
        <v>159</v>
      </c>
      <c r="D344">
        <v>178</v>
      </c>
      <c r="E344" s="35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4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3"/>
      <c r="C345">
        <v>43</v>
      </c>
      <c r="D345">
        <v>63</v>
      </c>
      <c r="E345" s="35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4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3"/>
      <c r="C346">
        <v>43</v>
      </c>
      <c r="D346">
        <v>41</v>
      </c>
      <c r="E346" s="35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4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3"/>
      <c r="C347">
        <v>43</v>
      </c>
      <c r="D347">
        <v>41</v>
      </c>
      <c r="E347" s="35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4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3"/>
      <c r="C348">
        <v>47</v>
      </c>
      <c r="D348">
        <v>52</v>
      </c>
      <c r="E348" s="35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4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3"/>
      <c r="C349">
        <v>90</v>
      </c>
      <c r="D349">
        <v>109</v>
      </c>
      <c r="E349" s="35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4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3"/>
      <c r="C350">
        <v>134</v>
      </c>
      <c r="D350">
        <v>153</v>
      </c>
      <c r="E350" s="35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4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3"/>
      <c r="C351">
        <v>172</v>
      </c>
      <c r="D351">
        <v>199</v>
      </c>
      <c r="E351" s="35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4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3"/>
      <c r="C352">
        <v>43</v>
      </c>
      <c r="D352">
        <v>46</v>
      </c>
      <c r="E352" s="35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4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3"/>
      <c r="C353">
        <v>43</v>
      </c>
      <c r="D353">
        <v>42</v>
      </c>
      <c r="E353" s="35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4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3"/>
      <c r="C354">
        <v>43</v>
      </c>
      <c r="D354">
        <v>46</v>
      </c>
      <c r="E354" s="35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4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3"/>
      <c r="C355">
        <v>43</v>
      </c>
      <c r="D355">
        <v>41</v>
      </c>
      <c r="E355" s="35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4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3"/>
      <c r="C356">
        <v>50</v>
      </c>
      <c r="D356">
        <v>49</v>
      </c>
      <c r="E356" s="35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4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3"/>
      <c r="C357">
        <v>167</v>
      </c>
      <c r="D357">
        <v>173</v>
      </c>
      <c r="E357" s="35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4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3"/>
      <c r="C358">
        <v>214</v>
      </c>
      <c r="D358">
        <v>218</v>
      </c>
      <c r="E358" s="35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4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3"/>
      <c r="C359">
        <v>43</v>
      </c>
      <c r="D359">
        <v>50</v>
      </c>
      <c r="E359" s="35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4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3"/>
      <c r="C360">
        <v>45</v>
      </c>
      <c r="D360">
        <v>50</v>
      </c>
      <c r="E360" s="35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4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3"/>
      <c r="C361">
        <v>48</v>
      </c>
      <c r="D361">
        <v>46</v>
      </c>
      <c r="E361" s="35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4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3"/>
      <c r="C362">
        <v>43</v>
      </c>
      <c r="D362">
        <v>41</v>
      </c>
      <c r="E362" s="35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4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3"/>
      <c r="C363">
        <v>105</v>
      </c>
      <c r="D363">
        <v>111</v>
      </c>
      <c r="E363" s="35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4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3"/>
      <c r="C364">
        <v>117</v>
      </c>
      <c r="D364">
        <v>146</v>
      </c>
      <c r="E364" s="35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4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3"/>
      <c r="C365">
        <v>206</v>
      </c>
      <c r="D365">
        <v>199</v>
      </c>
      <c r="E365" s="35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4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3"/>
      <c r="C366">
        <v>43</v>
      </c>
      <c r="D366">
        <v>53</v>
      </c>
      <c r="E366" s="35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4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3"/>
      <c r="C367">
        <v>43</v>
      </c>
      <c r="D367">
        <v>48</v>
      </c>
      <c r="E367" s="35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4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3"/>
      <c r="C368">
        <v>51</v>
      </c>
      <c r="D368">
        <v>41</v>
      </c>
      <c r="E368" s="35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4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3"/>
      <c r="C369">
        <v>47</v>
      </c>
      <c r="D369">
        <v>41</v>
      </c>
      <c r="E369" s="35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4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3"/>
      <c r="C370">
        <v>53</v>
      </c>
      <c r="D370">
        <v>89</v>
      </c>
      <c r="E370" s="35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4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3"/>
      <c r="C371">
        <v>140</v>
      </c>
      <c r="D371">
        <v>161</v>
      </c>
      <c r="E371" s="35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4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3"/>
      <c r="C372">
        <v>162</v>
      </c>
      <c r="D372">
        <v>196</v>
      </c>
      <c r="E372" s="35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4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3"/>
      <c r="C373">
        <v>43</v>
      </c>
      <c r="D373">
        <v>41</v>
      </c>
      <c r="E373" s="35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4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3"/>
      <c r="C374">
        <v>54</v>
      </c>
      <c r="D374">
        <v>44</v>
      </c>
      <c r="E374" s="35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4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3"/>
      <c r="C375">
        <v>95</v>
      </c>
      <c r="D375">
        <v>94</v>
      </c>
      <c r="E375" s="35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4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3"/>
      <c r="C376">
        <v>51</v>
      </c>
      <c r="D376">
        <v>41</v>
      </c>
      <c r="E376" s="35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4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3"/>
      <c r="C377">
        <v>98</v>
      </c>
      <c r="D377">
        <v>117</v>
      </c>
      <c r="E377" s="35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4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3"/>
      <c r="C378">
        <v>149</v>
      </c>
      <c r="D378">
        <v>172</v>
      </c>
      <c r="E378" s="35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4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3"/>
      <c r="C379">
        <v>157</v>
      </c>
      <c r="D379">
        <v>189</v>
      </c>
      <c r="E379" s="35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4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3"/>
      <c r="C380">
        <v>43</v>
      </c>
      <c r="D380">
        <v>45</v>
      </c>
      <c r="E380" s="35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4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3"/>
      <c r="C381">
        <v>54</v>
      </c>
      <c r="D381">
        <v>66</v>
      </c>
      <c r="E381" s="35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4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3"/>
      <c r="C382">
        <v>59</v>
      </c>
      <c r="D382">
        <v>41</v>
      </c>
      <c r="E382" s="35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4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3"/>
      <c r="C383">
        <v>54</v>
      </c>
      <c r="D383">
        <v>76</v>
      </c>
      <c r="E383" s="35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4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3"/>
      <c r="C384">
        <v>81</v>
      </c>
      <c r="D384">
        <v>111</v>
      </c>
      <c r="E384" s="35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4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3"/>
      <c r="C385">
        <v>144</v>
      </c>
      <c r="D385">
        <v>154</v>
      </c>
      <c r="E385" s="35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4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3"/>
      <c r="C386">
        <v>161</v>
      </c>
      <c r="D386">
        <v>178</v>
      </c>
      <c r="E386" s="35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4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3"/>
      <c r="C387">
        <v>117</v>
      </c>
      <c r="D387">
        <v>122</v>
      </c>
      <c r="E387" s="35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4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3"/>
      <c r="C388">
        <v>56</v>
      </c>
      <c r="D388">
        <v>43</v>
      </c>
      <c r="E388" s="35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4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3"/>
      <c r="C389">
        <v>46</v>
      </c>
      <c r="D389">
        <v>50</v>
      </c>
      <c r="E389" s="35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4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3"/>
      <c r="C390">
        <v>43</v>
      </c>
      <c r="D390">
        <v>41</v>
      </c>
      <c r="E390" s="35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4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3"/>
      <c r="C391">
        <v>89</v>
      </c>
      <c r="D391">
        <v>92</v>
      </c>
      <c r="E391" s="35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4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3"/>
      <c r="C392">
        <v>109</v>
      </c>
      <c r="D392">
        <v>143</v>
      </c>
      <c r="E392" s="35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4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3"/>
      <c r="C393">
        <v>149</v>
      </c>
      <c r="D393">
        <v>181</v>
      </c>
      <c r="E393" s="35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4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3"/>
      <c r="C394">
        <v>43</v>
      </c>
      <c r="D394">
        <v>41</v>
      </c>
      <c r="E394" s="35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4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3"/>
      <c r="C395">
        <v>43</v>
      </c>
      <c r="D395">
        <v>41</v>
      </c>
      <c r="E395" s="35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4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3"/>
      <c r="C396">
        <v>76</v>
      </c>
      <c r="D396">
        <v>67</v>
      </c>
      <c r="E396" s="35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4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3"/>
      <c r="C397">
        <v>50</v>
      </c>
      <c r="D397">
        <v>43</v>
      </c>
      <c r="E397" s="35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4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3"/>
      <c r="C398">
        <v>52</v>
      </c>
      <c r="D398">
        <v>66</v>
      </c>
      <c r="E398" s="35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4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3"/>
      <c r="C399">
        <v>147</v>
      </c>
      <c r="D399">
        <v>155</v>
      </c>
      <c r="E399" s="35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4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3"/>
      <c r="C400">
        <v>206</v>
      </c>
      <c r="D400">
        <v>202</v>
      </c>
      <c r="E400" s="35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4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3"/>
      <c r="C401">
        <v>43</v>
      </c>
      <c r="D401">
        <v>41</v>
      </c>
      <c r="E401" s="35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4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3"/>
      <c r="C402">
        <v>43</v>
      </c>
      <c r="D402">
        <v>44</v>
      </c>
      <c r="E402" s="35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4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3"/>
      <c r="C403">
        <v>48</v>
      </c>
      <c r="D403">
        <v>50</v>
      </c>
      <c r="E403" s="35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4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3"/>
      <c r="C404">
        <v>43</v>
      </c>
      <c r="D404">
        <v>46</v>
      </c>
      <c r="E404" s="35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4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3"/>
      <c r="C405">
        <v>44</v>
      </c>
      <c r="D405">
        <v>58</v>
      </c>
      <c r="E405" s="35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4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3"/>
      <c r="C406">
        <v>141</v>
      </c>
      <c r="D406">
        <v>164</v>
      </c>
      <c r="E406" s="35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4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3"/>
      <c r="C407">
        <v>191</v>
      </c>
      <c r="D407">
        <v>177</v>
      </c>
      <c r="E407" s="35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4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3"/>
      <c r="C408">
        <v>43</v>
      </c>
      <c r="D408">
        <v>41</v>
      </c>
      <c r="E408" s="35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4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3"/>
      <c r="C409">
        <v>52</v>
      </c>
      <c r="D409">
        <v>47</v>
      </c>
      <c r="E409" s="35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4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3"/>
      <c r="C410">
        <v>115</v>
      </c>
      <c r="D410">
        <v>69</v>
      </c>
      <c r="E410" s="35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4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3"/>
      <c r="C411">
        <v>82</v>
      </c>
      <c r="D411">
        <v>75</v>
      </c>
      <c r="E411" s="35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4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3"/>
      <c r="C412">
        <v>67</v>
      </c>
      <c r="D412">
        <v>104</v>
      </c>
      <c r="E412" s="35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4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3"/>
      <c r="C413">
        <v>139</v>
      </c>
      <c r="D413">
        <v>144</v>
      </c>
      <c r="E413" s="35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4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3"/>
      <c r="C414">
        <v>180</v>
      </c>
      <c r="D414">
        <v>138</v>
      </c>
      <c r="E414" s="35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4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3"/>
      <c r="C415">
        <v>56</v>
      </c>
      <c r="D415">
        <v>42</v>
      </c>
      <c r="E415" s="35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4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3"/>
      <c r="C416">
        <v>47</v>
      </c>
      <c r="D416">
        <v>60</v>
      </c>
      <c r="E416" s="35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4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3"/>
      <c r="C417">
        <v>43</v>
      </c>
      <c r="D417">
        <v>52</v>
      </c>
      <c r="E417" s="35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4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3"/>
      <c r="C418">
        <v>48</v>
      </c>
      <c r="D418">
        <v>55</v>
      </c>
      <c r="E418" s="35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4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3"/>
      <c r="C419">
        <v>43</v>
      </c>
      <c r="D419">
        <v>84</v>
      </c>
      <c r="E419" s="35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4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3"/>
      <c r="C420">
        <v>151</v>
      </c>
      <c r="D420">
        <v>140</v>
      </c>
      <c r="E420" s="35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4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3"/>
      <c r="C421">
        <v>176</v>
      </c>
      <c r="D421">
        <v>149</v>
      </c>
      <c r="E421" s="35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4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3"/>
      <c r="C422">
        <v>77</v>
      </c>
      <c r="D422">
        <v>58</v>
      </c>
      <c r="E422" s="35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4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3"/>
      <c r="C423">
        <v>60</v>
      </c>
      <c r="D423">
        <v>50</v>
      </c>
      <c r="E423" s="35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4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3"/>
      <c r="C424">
        <v>94</v>
      </c>
      <c r="D424">
        <v>100</v>
      </c>
      <c r="E424" s="35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4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3"/>
      <c r="C425">
        <v>46</v>
      </c>
      <c r="D425">
        <v>60</v>
      </c>
      <c r="E425" s="35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4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3"/>
      <c r="C426">
        <v>43</v>
      </c>
      <c r="D426">
        <v>75</v>
      </c>
      <c r="E426" s="35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4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3"/>
      <c r="C427">
        <v>137</v>
      </c>
      <c r="D427">
        <v>144</v>
      </c>
      <c r="E427" s="35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4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3"/>
      <c r="C428">
        <v>128</v>
      </c>
      <c r="D428">
        <v>161</v>
      </c>
      <c r="E428" s="35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4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3"/>
      <c r="C429">
        <v>50</v>
      </c>
      <c r="D429">
        <v>56</v>
      </c>
      <c r="E429" s="35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4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3"/>
      <c r="C430">
        <v>52</v>
      </c>
      <c r="D430">
        <v>51</v>
      </c>
      <c r="E430" s="35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4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3"/>
      <c r="C431">
        <v>65</v>
      </c>
      <c r="D431">
        <v>69</v>
      </c>
      <c r="E431" s="35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4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3"/>
      <c r="C432">
        <v>73</v>
      </c>
      <c r="D432">
        <v>73</v>
      </c>
      <c r="E432" s="35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4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3"/>
      <c r="C433">
        <v>43</v>
      </c>
      <c r="D433">
        <v>74</v>
      </c>
      <c r="E433" s="35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4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3"/>
      <c r="C434">
        <v>119</v>
      </c>
      <c r="D434">
        <v>133</v>
      </c>
      <c r="E434" s="35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4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3"/>
      <c r="C435">
        <v>169</v>
      </c>
      <c r="D435">
        <v>131</v>
      </c>
      <c r="E435" s="35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4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3"/>
      <c r="C436">
        <v>68</v>
      </c>
      <c r="D436">
        <v>57</v>
      </c>
      <c r="E436" s="35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4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3"/>
      <c r="C437">
        <v>50</v>
      </c>
      <c r="D437">
        <v>51</v>
      </c>
      <c r="E437" s="35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4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3"/>
      <c r="C438">
        <v>43</v>
      </c>
      <c r="D438">
        <v>46</v>
      </c>
      <c r="E438" s="35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4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3"/>
      <c r="C439">
        <v>43</v>
      </c>
      <c r="D439">
        <v>44</v>
      </c>
      <c r="E439" s="35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4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3"/>
      <c r="C440">
        <v>43</v>
      </c>
      <c r="D440">
        <v>73</v>
      </c>
      <c r="E440" s="35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4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3"/>
      <c r="C441">
        <v>101</v>
      </c>
      <c r="D441">
        <v>114</v>
      </c>
      <c r="E441" s="35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4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3"/>
      <c r="C442">
        <v>136</v>
      </c>
      <c r="D442">
        <v>145</v>
      </c>
      <c r="E442" s="35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4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3"/>
      <c r="C443">
        <v>64</v>
      </c>
      <c r="D443">
        <v>47</v>
      </c>
      <c r="E443" s="35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4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3"/>
      <c r="C444">
        <v>51</v>
      </c>
      <c r="D444">
        <v>56</v>
      </c>
      <c r="E444" s="35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4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3"/>
      <c r="C445">
        <v>71</v>
      </c>
      <c r="D445">
        <v>62</v>
      </c>
      <c r="E445" s="35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4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3"/>
      <c r="C446">
        <v>69</v>
      </c>
      <c r="D446">
        <v>90</v>
      </c>
      <c r="E446" s="35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4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3"/>
      <c r="C447">
        <v>55</v>
      </c>
      <c r="D447">
        <v>60</v>
      </c>
      <c r="E447" s="35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4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3"/>
      <c r="C448">
        <v>65</v>
      </c>
      <c r="D448">
        <v>88</v>
      </c>
      <c r="E448" s="35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4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3"/>
      <c r="C449">
        <v>159</v>
      </c>
      <c r="D449">
        <v>118</v>
      </c>
      <c r="E449" s="35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4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3"/>
      <c r="C450">
        <v>66</v>
      </c>
      <c r="D450">
        <v>47</v>
      </c>
      <c r="E450" s="35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4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3"/>
      <c r="C451">
        <v>53</v>
      </c>
      <c r="D451">
        <v>41</v>
      </c>
      <c r="E451" s="35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4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3"/>
      <c r="C452">
        <v>43</v>
      </c>
      <c r="D452">
        <v>44</v>
      </c>
      <c r="E452" s="35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4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3"/>
      <c r="C453">
        <v>89</v>
      </c>
      <c r="D453">
        <v>100</v>
      </c>
      <c r="E453" s="35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4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3"/>
      <c r="C454">
        <v>80</v>
      </c>
      <c r="D454">
        <v>114</v>
      </c>
      <c r="E454" s="35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4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3"/>
      <c r="C455">
        <v>128</v>
      </c>
      <c r="D455">
        <v>157</v>
      </c>
      <c r="E455" s="35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4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3"/>
      <c r="C456">
        <v>134</v>
      </c>
      <c r="D456">
        <v>111</v>
      </c>
      <c r="E456" s="35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4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3"/>
      <c r="C457">
        <v>53</v>
      </c>
      <c r="D457">
        <v>67</v>
      </c>
      <c r="E457" s="35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4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3"/>
      <c r="C458">
        <v>50</v>
      </c>
      <c r="D458">
        <v>55</v>
      </c>
      <c r="E458" s="35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4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3"/>
      <c r="C459">
        <v>43</v>
      </c>
      <c r="D459">
        <v>48</v>
      </c>
      <c r="E459" s="35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4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3"/>
      <c r="C460">
        <v>67</v>
      </c>
      <c r="D460">
        <v>48</v>
      </c>
      <c r="E460" s="35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4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3"/>
      <c r="C461">
        <v>89</v>
      </c>
      <c r="D461">
        <v>95</v>
      </c>
      <c r="E461" s="35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4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3"/>
      <c r="C462">
        <v>118</v>
      </c>
      <c r="D462">
        <v>131</v>
      </c>
      <c r="E462" s="35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4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3"/>
      <c r="C463">
        <v>169</v>
      </c>
      <c r="D463">
        <v>129</v>
      </c>
      <c r="E463" s="35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4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3"/>
      <c r="C464">
        <v>63</v>
      </c>
      <c r="D464">
        <v>44</v>
      </c>
      <c r="E464" s="35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4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3"/>
      <c r="C465">
        <v>55</v>
      </c>
      <c r="D465">
        <v>45</v>
      </c>
      <c r="E465" s="35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4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3"/>
      <c r="C466">
        <v>43</v>
      </c>
      <c r="D466">
        <v>44</v>
      </c>
      <c r="E466" s="35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4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3"/>
      <c r="C467">
        <v>66</v>
      </c>
      <c r="D467">
        <v>85</v>
      </c>
      <c r="E467" s="35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4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3"/>
      <c r="C468">
        <v>95</v>
      </c>
      <c r="D468">
        <v>122</v>
      </c>
      <c r="E468" s="35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4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3"/>
      <c r="C469">
        <v>150</v>
      </c>
      <c r="D469">
        <v>146</v>
      </c>
      <c r="E469" s="35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4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3"/>
      <c r="C470">
        <v>182</v>
      </c>
      <c r="D470">
        <v>136</v>
      </c>
      <c r="E470" s="35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4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3"/>
      <c r="C471">
        <v>59</v>
      </c>
      <c r="D471">
        <v>46</v>
      </c>
      <c r="E471" s="35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4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3"/>
      <c r="C472">
        <v>54</v>
      </c>
      <c r="D472">
        <v>49</v>
      </c>
      <c r="E472" s="35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4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3"/>
      <c r="C473">
        <v>43</v>
      </c>
      <c r="D473">
        <v>48</v>
      </c>
      <c r="E473" s="35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4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3"/>
      <c r="C474">
        <v>43</v>
      </c>
      <c r="D474">
        <v>44</v>
      </c>
      <c r="E474" s="35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4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3"/>
      <c r="C475">
        <v>45</v>
      </c>
      <c r="D475">
        <v>89</v>
      </c>
      <c r="E475" s="35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4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3"/>
      <c r="C476">
        <v>125</v>
      </c>
      <c r="D476">
        <v>128</v>
      </c>
      <c r="E476" s="35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4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3"/>
      <c r="C477">
        <v>140</v>
      </c>
      <c r="D477">
        <v>149</v>
      </c>
      <c r="E477" s="35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4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3"/>
      <c r="C478">
        <v>56</v>
      </c>
      <c r="D478">
        <v>56</v>
      </c>
      <c r="E478" s="35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4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3"/>
      <c r="C479">
        <v>58</v>
      </c>
      <c r="D479">
        <v>50</v>
      </c>
      <c r="E479" s="35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4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3"/>
      <c r="C480">
        <v>44</v>
      </c>
      <c r="D480">
        <v>49</v>
      </c>
      <c r="E480" s="35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4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3"/>
      <c r="C481">
        <v>43</v>
      </c>
      <c r="D481">
        <v>44</v>
      </c>
      <c r="E481" s="35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4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3"/>
      <c r="C482">
        <v>50</v>
      </c>
      <c r="D482">
        <v>98</v>
      </c>
      <c r="E482" s="35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4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3"/>
      <c r="C483">
        <v>115</v>
      </c>
      <c r="D483">
        <v>134</v>
      </c>
      <c r="E483" s="35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4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3"/>
      <c r="C484">
        <v>83</v>
      </c>
      <c r="D484">
        <v>113</v>
      </c>
      <c r="E484" s="35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4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3"/>
      <c r="C485">
        <v>43</v>
      </c>
      <c r="D485">
        <v>71</v>
      </c>
      <c r="E485" s="35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4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3"/>
      <c r="C486">
        <v>43</v>
      </c>
      <c r="D486">
        <v>62</v>
      </c>
      <c r="E486" s="35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4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3"/>
      <c r="C487">
        <v>43</v>
      </c>
      <c r="D487">
        <v>45</v>
      </c>
      <c r="E487" s="35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4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3"/>
      <c r="C488">
        <v>100</v>
      </c>
      <c r="D488">
        <v>81</v>
      </c>
      <c r="E488" s="35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4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3"/>
      <c r="C489">
        <v>77</v>
      </c>
      <c r="D489">
        <v>116</v>
      </c>
      <c r="E489" s="35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4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3"/>
      <c r="C490">
        <v>114</v>
      </c>
      <c r="D490">
        <v>149</v>
      </c>
      <c r="E490" s="35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4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3"/>
      <c r="C491">
        <v>159</v>
      </c>
      <c r="D491">
        <v>128</v>
      </c>
      <c r="E491" s="35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4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3"/>
      <c r="C492">
        <v>48</v>
      </c>
      <c r="D492">
        <v>62</v>
      </c>
      <c r="E492" s="35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4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3"/>
      <c r="C493">
        <v>43</v>
      </c>
      <c r="D493">
        <v>41</v>
      </c>
      <c r="E493" s="35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4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3"/>
      <c r="C494">
        <v>43</v>
      </c>
      <c r="D494">
        <v>44</v>
      </c>
      <c r="E494" s="35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4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3"/>
      <c r="C495">
        <v>43</v>
      </c>
      <c r="D495">
        <v>41</v>
      </c>
      <c r="E495" s="35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4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3"/>
      <c r="C496">
        <v>120</v>
      </c>
      <c r="D496">
        <v>120</v>
      </c>
      <c r="E496" s="35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4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3"/>
      <c r="C497">
        <v>168</v>
      </c>
      <c r="D497">
        <v>145</v>
      </c>
      <c r="E497" s="35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4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3"/>
      <c r="C498">
        <v>142</v>
      </c>
      <c r="D498">
        <v>115</v>
      </c>
      <c r="E498" s="35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4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2">
        <f>COUNT(C24:C498)</f>
        <v>475</v>
      </c>
      <c r="D501" s="32">
        <f t="shared" ref="D501:X501" si="25">COUNT(D24:D498)</f>
        <v>453</v>
      </c>
      <c r="E501" s="32">
        <f t="shared" si="25"/>
        <v>431</v>
      </c>
      <c r="F501" s="32">
        <f t="shared" si="25"/>
        <v>409</v>
      </c>
      <c r="G501" s="32">
        <f t="shared" si="25"/>
        <v>387</v>
      </c>
      <c r="H501" s="32">
        <f t="shared" si="25"/>
        <v>365</v>
      </c>
      <c r="I501" s="32">
        <f t="shared" si="25"/>
        <v>343</v>
      </c>
      <c r="J501" s="32">
        <f t="shared" si="25"/>
        <v>321</v>
      </c>
      <c r="K501" s="32">
        <f t="shared" si="25"/>
        <v>299</v>
      </c>
      <c r="L501" s="32">
        <f t="shared" si="25"/>
        <v>277</v>
      </c>
      <c r="M501" s="32">
        <f t="shared" si="25"/>
        <v>255</v>
      </c>
      <c r="N501" s="32">
        <f t="shared" si="25"/>
        <v>233</v>
      </c>
      <c r="O501" s="32">
        <f t="shared" si="25"/>
        <v>211</v>
      </c>
      <c r="P501" s="32">
        <f t="shared" si="25"/>
        <v>189</v>
      </c>
      <c r="Q501" s="32">
        <f t="shared" si="25"/>
        <v>167</v>
      </c>
      <c r="R501" s="32">
        <f t="shared" si="25"/>
        <v>145</v>
      </c>
      <c r="S501" s="32">
        <f t="shared" si="25"/>
        <v>123</v>
      </c>
      <c r="T501" s="32">
        <f t="shared" si="25"/>
        <v>101</v>
      </c>
      <c r="U501" s="32">
        <f t="shared" si="25"/>
        <v>79</v>
      </c>
      <c r="V501" s="32">
        <f t="shared" si="25"/>
        <v>57</v>
      </c>
      <c r="W501" s="32">
        <f t="shared" si="25"/>
        <v>35</v>
      </c>
      <c r="X501" s="32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6"/>
    </row>
    <row r="514" spans="5:7" x14ac:dyDescent="0.25">
      <c r="G514" s="36"/>
    </row>
    <row r="515" spans="5:7" x14ac:dyDescent="0.25">
      <c r="G515" s="36"/>
    </row>
    <row r="516" spans="5:7" x14ac:dyDescent="0.25">
      <c r="G516" s="36"/>
    </row>
    <row r="517" spans="5:7" x14ac:dyDescent="0.25">
      <c r="G517" s="36"/>
    </row>
    <row r="518" spans="5:7" x14ac:dyDescent="0.25">
      <c r="G518" s="36"/>
    </row>
    <row r="519" spans="5:7" x14ac:dyDescent="0.25">
      <c r="G519" s="36"/>
    </row>
    <row r="520" spans="5:7" x14ac:dyDescent="0.25">
      <c r="G520" s="36"/>
    </row>
    <row r="521" spans="5:7" x14ac:dyDescent="0.25">
      <c r="G521" s="36"/>
    </row>
    <row r="522" spans="5:7" x14ac:dyDescent="0.25">
      <c r="G522" s="36"/>
    </row>
    <row r="523" spans="5:7" x14ac:dyDescent="0.25">
      <c r="G523" s="36"/>
    </row>
    <row r="524" spans="5:7" x14ac:dyDescent="0.25">
      <c r="G524" s="36"/>
    </row>
    <row r="525" spans="5:7" x14ac:dyDescent="0.25">
      <c r="E525" s="35"/>
      <c r="G525" s="36"/>
    </row>
    <row r="526" spans="5:7" x14ac:dyDescent="0.25">
      <c r="E526" s="35"/>
      <c r="G526" s="36"/>
    </row>
    <row r="527" spans="5:7" x14ac:dyDescent="0.25">
      <c r="E527" s="35"/>
      <c r="G527" s="36"/>
    </row>
    <row r="528" spans="5:7" x14ac:dyDescent="0.25">
      <c r="E528" s="35"/>
      <c r="G528" s="36"/>
    </row>
    <row r="529" spans="5:7" x14ac:dyDescent="0.25">
      <c r="E529" s="35"/>
      <c r="G529" s="36"/>
    </row>
    <row r="530" spans="5:7" x14ac:dyDescent="0.25">
      <c r="E530" s="35"/>
      <c r="G530" s="36"/>
    </row>
    <row r="531" spans="5:7" x14ac:dyDescent="0.25">
      <c r="E531" s="35"/>
      <c r="G531" s="36"/>
    </row>
    <row r="532" spans="5:7" x14ac:dyDescent="0.25">
      <c r="E532" s="35"/>
      <c r="G532" s="36"/>
    </row>
    <row r="533" spans="5:7" x14ac:dyDescent="0.25">
      <c r="E533" s="35"/>
    </row>
    <row r="534" spans="5:7" x14ac:dyDescent="0.25">
      <c r="E534" s="35"/>
    </row>
    <row r="535" spans="5:7" x14ac:dyDescent="0.25">
      <c r="E535" s="35"/>
    </row>
    <row r="536" spans="5:7" x14ac:dyDescent="0.25">
      <c r="E536" s="35"/>
    </row>
    <row r="537" spans="5:7" x14ac:dyDescent="0.25">
      <c r="E537" s="35"/>
    </row>
    <row r="538" spans="5:7" x14ac:dyDescent="0.25">
      <c r="E538" s="35"/>
    </row>
    <row r="539" spans="5:7" x14ac:dyDescent="0.25">
      <c r="E539" s="35"/>
    </row>
    <row r="540" spans="5:7" x14ac:dyDescent="0.25">
      <c r="E540" s="35"/>
    </row>
    <row r="541" spans="5:7" x14ac:dyDescent="0.25">
      <c r="E541" s="35"/>
    </row>
    <row r="542" spans="5:7" x14ac:dyDescent="0.25">
      <c r="E542" s="35"/>
    </row>
    <row r="543" spans="5:7" x14ac:dyDescent="0.25">
      <c r="E543" s="35"/>
    </row>
    <row r="544" spans="5:7" x14ac:dyDescent="0.25">
      <c r="E544" s="35"/>
    </row>
    <row r="545" spans="5:5" x14ac:dyDescent="0.25">
      <c r="E545" s="35"/>
    </row>
    <row r="546" spans="5:5" x14ac:dyDescent="0.25">
      <c r="E546" s="35"/>
    </row>
    <row r="547" spans="5:5" x14ac:dyDescent="0.25">
      <c r="E547" s="35"/>
    </row>
    <row r="548" spans="5:5" x14ac:dyDescent="0.25">
      <c r="E548" s="35"/>
    </row>
    <row r="549" spans="5:5" x14ac:dyDescent="0.25">
      <c r="E549" s="35"/>
    </row>
    <row r="550" spans="5:5" x14ac:dyDescent="0.25">
      <c r="E550" s="35"/>
    </row>
    <row r="551" spans="5:5" x14ac:dyDescent="0.25">
      <c r="E551" s="35"/>
    </row>
    <row r="552" spans="5:5" x14ac:dyDescent="0.25">
      <c r="E552" s="35"/>
    </row>
    <row r="553" spans="5:5" x14ac:dyDescent="0.25">
      <c r="E553" s="35"/>
    </row>
    <row r="554" spans="5:5" x14ac:dyDescent="0.25">
      <c r="E554" s="35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8" priority="1">
      <formula>ABS(C24-$A24) &lt;= 10</formula>
    </cfRule>
    <cfRule type="expression" dxfId="17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2026-03-20T04:58:37Z</dcterms:modified>
</cp:coreProperties>
</file>