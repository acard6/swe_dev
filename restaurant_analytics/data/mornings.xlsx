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rdi\Documents\git-repo\swe_dev\restaurant_analytics\data\"/>
    </mc:Choice>
  </mc:AlternateContent>
  <xr:revisionPtr revIDLastSave="0" documentId="13_ncr:1_{4834C399-6143-4688-83AC-4395B7F424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avg" sheetId="2" r:id="rId2"/>
    <sheet name="weighted" sheetId="3" r:id="rId3"/>
  </sheets>
  <definedNames>
    <definedName name="day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4" i="2" l="1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O252" i="3"/>
  <c r="Q252" i="3" s="1"/>
  <c r="P252" i="3"/>
  <c r="O253" i="3"/>
  <c r="Q253" i="3" s="1"/>
  <c r="P253" i="3"/>
  <c r="O254" i="3"/>
  <c r="Q254" i="3" s="1"/>
  <c r="P254" i="3"/>
  <c r="O255" i="3"/>
  <c r="Q255" i="3" s="1"/>
  <c r="P255" i="3"/>
  <c r="O256" i="3"/>
  <c r="Q256" i="3" s="1"/>
  <c r="P256" i="3"/>
  <c r="O257" i="3"/>
  <c r="Q257" i="3" s="1"/>
  <c r="P257" i="3"/>
  <c r="O258" i="3"/>
  <c r="Q258" i="3" s="1"/>
  <c r="P258" i="3"/>
  <c r="O259" i="3"/>
  <c r="Q259" i="3" s="1"/>
  <c r="P259" i="3"/>
  <c r="O260" i="3"/>
  <c r="Q260" i="3" s="1"/>
  <c r="P260" i="3"/>
  <c r="O261" i="3"/>
  <c r="P261" i="3"/>
  <c r="O262" i="3"/>
  <c r="P262" i="3"/>
  <c r="O263" i="3"/>
  <c r="P263" i="3"/>
  <c r="O264" i="3"/>
  <c r="P264" i="3"/>
  <c r="O265" i="3"/>
  <c r="P265" i="3"/>
  <c r="O266" i="3"/>
  <c r="P266" i="3"/>
  <c r="O267" i="3"/>
  <c r="P267" i="3"/>
  <c r="O268" i="3"/>
  <c r="P268" i="3"/>
  <c r="O269" i="3"/>
  <c r="P269" i="3"/>
  <c r="O270" i="3"/>
  <c r="P270" i="3"/>
  <c r="O271" i="3"/>
  <c r="P271" i="3"/>
  <c r="O272" i="3"/>
  <c r="P272" i="3"/>
  <c r="O273" i="3"/>
  <c r="P273" i="3"/>
  <c r="O274" i="3"/>
  <c r="P274" i="3"/>
  <c r="O275" i="3"/>
  <c r="P275" i="3"/>
  <c r="O276" i="3"/>
  <c r="P276" i="3"/>
  <c r="O277" i="3"/>
  <c r="P277" i="3"/>
  <c r="O278" i="3"/>
  <c r="P278" i="3"/>
  <c r="O279" i="3"/>
  <c r="P279" i="3"/>
  <c r="O280" i="3"/>
  <c r="P280" i="3"/>
  <c r="O281" i="3"/>
  <c r="P281" i="3"/>
  <c r="O282" i="3"/>
  <c r="P282" i="3"/>
  <c r="O283" i="3"/>
  <c r="P283" i="3"/>
  <c r="O284" i="3"/>
  <c r="P284" i="3"/>
  <c r="O285" i="3"/>
  <c r="P285" i="3"/>
  <c r="O286" i="3"/>
  <c r="P286" i="3"/>
  <c r="O287" i="3"/>
  <c r="P287" i="3"/>
  <c r="O288" i="3"/>
  <c r="P288" i="3"/>
  <c r="O289" i="3"/>
  <c r="P289" i="3"/>
  <c r="O290" i="3"/>
  <c r="P290" i="3"/>
  <c r="O291" i="3"/>
  <c r="P291" i="3"/>
  <c r="O292" i="3"/>
  <c r="P292" i="3"/>
  <c r="O252" i="2"/>
  <c r="Q252" i="2" s="1"/>
  <c r="P252" i="2"/>
  <c r="O253" i="2"/>
  <c r="Q253" i="2" s="1"/>
  <c r="P253" i="2"/>
  <c r="O254" i="2"/>
  <c r="Q254" i="2" s="1"/>
  <c r="P254" i="2"/>
  <c r="O255" i="2"/>
  <c r="Q255" i="2" s="1"/>
  <c r="P255" i="2"/>
  <c r="O256" i="2"/>
  <c r="Q256" i="2" s="1"/>
  <c r="P256" i="2"/>
  <c r="O257" i="2"/>
  <c r="Q257" i="2" s="1"/>
  <c r="P257" i="2"/>
  <c r="O258" i="2"/>
  <c r="Q258" i="2" s="1"/>
  <c r="P258" i="2"/>
  <c r="O259" i="2"/>
  <c r="Q259" i="2" s="1"/>
  <c r="P259" i="2"/>
  <c r="O260" i="2"/>
  <c r="Q260" i="2" s="1"/>
  <c r="P260" i="2"/>
  <c r="O261" i="2"/>
  <c r="P261" i="2"/>
  <c r="O262" i="2"/>
  <c r="P262" i="2"/>
  <c r="O263" i="2"/>
  <c r="P263" i="2"/>
  <c r="O264" i="2"/>
  <c r="P264" i="2"/>
  <c r="O265" i="2"/>
  <c r="P265" i="2"/>
  <c r="O266" i="2"/>
  <c r="P266" i="2"/>
  <c r="O267" i="2"/>
  <c r="P267" i="2"/>
  <c r="O268" i="2"/>
  <c r="P268" i="2"/>
  <c r="O269" i="2"/>
  <c r="P269" i="2"/>
  <c r="O270" i="2"/>
  <c r="P270" i="2"/>
  <c r="O271" i="2"/>
  <c r="P271" i="2"/>
  <c r="O272" i="2"/>
  <c r="P272" i="2"/>
  <c r="O273" i="2"/>
  <c r="P273" i="2"/>
  <c r="O274" i="2"/>
  <c r="P274" i="2"/>
  <c r="O275" i="2"/>
  <c r="P275" i="2"/>
  <c r="O276" i="2"/>
  <c r="P276" i="2"/>
  <c r="O277" i="2"/>
  <c r="P277" i="2"/>
  <c r="O278" i="2"/>
  <c r="P278" i="2"/>
  <c r="O279" i="2"/>
  <c r="P279" i="2"/>
  <c r="O280" i="2"/>
  <c r="P280" i="2"/>
  <c r="O281" i="2"/>
  <c r="P281" i="2"/>
  <c r="O282" i="2"/>
  <c r="P282" i="2"/>
  <c r="O283" i="2"/>
  <c r="P283" i="2"/>
  <c r="O284" i="2"/>
  <c r="P284" i="2"/>
  <c r="O285" i="2"/>
  <c r="P285" i="2"/>
  <c r="O286" i="2"/>
  <c r="P286" i="2"/>
  <c r="O287" i="2"/>
  <c r="P287" i="2"/>
  <c r="O288" i="2"/>
  <c r="P288" i="2"/>
  <c r="O289" i="2"/>
  <c r="P289" i="2"/>
  <c r="O290" i="2"/>
  <c r="P290" i="2"/>
  <c r="O291" i="2"/>
  <c r="P291" i="2"/>
  <c r="O292" i="2"/>
  <c r="P292" i="2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O140" i="2"/>
  <c r="P140" i="2"/>
  <c r="O141" i="2"/>
  <c r="P141" i="2"/>
  <c r="O142" i="2"/>
  <c r="Q142" i="2" s="1"/>
  <c r="P142" i="2"/>
  <c r="O143" i="2"/>
  <c r="P143" i="2"/>
  <c r="O144" i="2"/>
  <c r="Q144" i="2" s="1"/>
  <c r="P144" i="2"/>
  <c r="O145" i="2"/>
  <c r="Q145" i="2" s="1"/>
  <c r="P145" i="2"/>
  <c r="O146" i="2"/>
  <c r="Q146" i="2" s="1"/>
  <c r="P146" i="2"/>
  <c r="O147" i="2"/>
  <c r="Q147" i="2" s="1"/>
  <c r="P147" i="2"/>
  <c r="O148" i="2"/>
  <c r="P148" i="2"/>
  <c r="O149" i="2"/>
  <c r="P149" i="2"/>
  <c r="O150" i="2"/>
  <c r="Q150" i="2" s="1"/>
  <c r="P150" i="2"/>
  <c r="O151" i="2"/>
  <c r="P151" i="2"/>
  <c r="O152" i="2"/>
  <c r="Q152" i="2" s="1"/>
  <c r="P152" i="2"/>
  <c r="O153" i="2"/>
  <c r="Q153" i="2" s="1"/>
  <c r="P153" i="2"/>
  <c r="O154" i="2"/>
  <c r="Q154" i="2" s="1"/>
  <c r="P154" i="2"/>
  <c r="O155" i="2"/>
  <c r="Q155" i="2" s="1"/>
  <c r="P155" i="2"/>
  <c r="O156" i="2"/>
  <c r="P156" i="2"/>
  <c r="O157" i="2"/>
  <c r="P157" i="2"/>
  <c r="O158" i="2"/>
  <c r="P158" i="2"/>
  <c r="O159" i="2"/>
  <c r="P159" i="2"/>
  <c r="O160" i="2"/>
  <c r="P160" i="2"/>
  <c r="O161" i="2"/>
  <c r="Q161" i="2" s="1"/>
  <c r="P161" i="2"/>
  <c r="O162" i="2"/>
  <c r="Q162" i="2" s="1"/>
  <c r="P162" i="2"/>
  <c r="O163" i="2"/>
  <c r="Q163" i="2" s="1"/>
  <c r="P163" i="2"/>
  <c r="O164" i="2"/>
  <c r="P164" i="2"/>
  <c r="O165" i="2"/>
  <c r="P165" i="2"/>
  <c r="O166" i="2"/>
  <c r="P166" i="2"/>
  <c r="O167" i="2"/>
  <c r="P167" i="2"/>
  <c r="O168" i="2"/>
  <c r="Q168" i="2" s="1"/>
  <c r="P168" i="2"/>
  <c r="O169" i="2"/>
  <c r="Q169" i="2" s="1"/>
  <c r="P169" i="2"/>
  <c r="O170" i="2"/>
  <c r="Q170" i="2" s="1"/>
  <c r="P170" i="2"/>
  <c r="O171" i="2"/>
  <c r="Q171" i="2" s="1"/>
  <c r="P171" i="2"/>
  <c r="O172" i="2"/>
  <c r="P172" i="2"/>
  <c r="O173" i="2"/>
  <c r="P173" i="2"/>
  <c r="O174" i="2"/>
  <c r="Q174" i="2" s="1"/>
  <c r="P174" i="2"/>
  <c r="O175" i="2"/>
  <c r="P175" i="2"/>
  <c r="O176" i="2"/>
  <c r="P176" i="2"/>
  <c r="O177" i="2"/>
  <c r="Q177" i="2" s="1"/>
  <c r="P177" i="2"/>
  <c r="O178" i="2"/>
  <c r="Q178" i="2" s="1"/>
  <c r="P178" i="2"/>
  <c r="O179" i="2"/>
  <c r="Q179" i="2" s="1"/>
  <c r="P179" i="2"/>
  <c r="O180" i="2"/>
  <c r="P180" i="2"/>
  <c r="O181" i="2"/>
  <c r="P181" i="2"/>
  <c r="O182" i="2"/>
  <c r="Q182" i="2" s="1"/>
  <c r="P182" i="2"/>
  <c r="O183" i="2"/>
  <c r="P183" i="2"/>
  <c r="O184" i="2"/>
  <c r="P184" i="2"/>
  <c r="O185" i="2"/>
  <c r="Q185" i="2" s="1"/>
  <c r="P185" i="2"/>
  <c r="O186" i="2"/>
  <c r="Q186" i="2" s="1"/>
  <c r="P186" i="2"/>
  <c r="O187" i="2"/>
  <c r="Q187" i="2" s="1"/>
  <c r="P187" i="2"/>
  <c r="O188" i="2"/>
  <c r="P188" i="2"/>
  <c r="O189" i="2"/>
  <c r="P189" i="2"/>
  <c r="O190" i="2"/>
  <c r="P190" i="2"/>
  <c r="O191" i="2"/>
  <c r="P191" i="2"/>
  <c r="O192" i="2"/>
  <c r="Q192" i="2" s="1"/>
  <c r="P192" i="2"/>
  <c r="O193" i="2"/>
  <c r="Q193" i="2" s="1"/>
  <c r="P193" i="2"/>
  <c r="O194" i="2"/>
  <c r="Q194" i="2" s="1"/>
  <c r="P194" i="2"/>
  <c r="O195" i="2"/>
  <c r="Q195" i="2" s="1"/>
  <c r="P195" i="2"/>
  <c r="O196" i="2"/>
  <c r="P196" i="2"/>
  <c r="O197" i="2"/>
  <c r="P197" i="2"/>
  <c r="O198" i="2"/>
  <c r="P198" i="2"/>
  <c r="O199" i="2"/>
  <c r="P199" i="2"/>
  <c r="O200" i="2"/>
  <c r="P200" i="2"/>
  <c r="O201" i="2"/>
  <c r="P201" i="2"/>
  <c r="O202" i="2"/>
  <c r="P202" i="2"/>
  <c r="O203" i="2"/>
  <c r="P203" i="2"/>
  <c r="O204" i="2"/>
  <c r="P204" i="2"/>
  <c r="O205" i="2"/>
  <c r="P205" i="2"/>
  <c r="O206" i="2"/>
  <c r="P206" i="2"/>
  <c r="O207" i="2"/>
  <c r="P207" i="2"/>
  <c r="O208" i="2"/>
  <c r="P208" i="2"/>
  <c r="O209" i="2"/>
  <c r="P209" i="2"/>
  <c r="O210" i="2"/>
  <c r="P210" i="2"/>
  <c r="O211" i="2"/>
  <c r="P211" i="2"/>
  <c r="O212" i="2"/>
  <c r="P212" i="2"/>
  <c r="O213" i="2"/>
  <c r="P213" i="2"/>
  <c r="O214" i="2"/>
  <c r="P214" i="2"/>
  <c r="O215" i="2"/>
  <c r="P215" i="2"/>
  <c r="O216" i="2"/>
  <c r="P216" i="2"/>
  <c r="O217" i="2"/>
  <c r="P217" i="2"/>
  <c r="O218" i="2"/>
  <c r="P218" i="2"/>
  <c r="O219" i="2"/>
  <c r="P219" i="2"/>
  <c r="O220" i="2"/>
  <c r="P220" i="2"/>
  <c r="O221" i="2"/>
  <c r="P221" i="2"/>
  <c r="O222" i="2"/>
  <c r="P222" i="2"/>
  <c r="O223" i="2"/>
  <c r="P223" i="2"/>
  <c r="O224" i="2"/>
  <c r="P224" i="2"/>
  <c r="O225" i="2"/>
  <c r="P225" i="2"/>
  <c r="O226" i="2"/>
  <c r="P226" i="2"/>
  <c r="O227" i="2"/>
  <c r="P227" i="2"/>
  <c r="O228" i="2"/>
  <c r="P228" i="2"/>
  <c r="O229" i="2"/>
  <c r="P229" i="2"/>
  <c r="O230" i="2"/>
  <c r="P230" i="2"/>
  <c r="O231" i="2"/>
  <c r="P231" i="2"/>
  <c r="O232" i="2"/>
  <c r="P232" i="2"/>
  <c r="O233" i="2"/>
  <c r="P233" i="2"/>
  <c r="O234" i="2"/>
  <c r="P234" i="2"/>
  <c r="O235" i="2"/>
  <c r="P235" i="2"/>
  <c r="O236" i="2"/>
  <c r="P236" i="2"/>
  <c r="O237" i="2"/>
  <c r="P237" i="2"/>
  <c r="O238" i="2"/>
  <c r="P238" i="2"/>
  <c r="O239" i="2"/>
  <c r="P239" i="2"/>
  <c r="O240" i="2"/>
  <c r="P240" i="2"/>
  <c r="O241" i="2"/>
  <c r="P241" i="2"/>
  <c r="O242" i="2"/>
  <c r="P242" i="2"/>
  <c r="O243" i="2"/>
  <c r="P243" i="2"/>
  <c r="O244" i="2"/>
  <c r="P244" i="2"/>
  <c r="O245" i="2"/>
  <c r="P245" i="2"/>
  <c r="O246" i="2"/>
  <c r="P246" i="2"/>
  <c r="O247" i="2"/>
  <c r="P247" i="2"/>
  <c r="O248" i="2"/>
  <c r="P248" i="2"/>
  <c r="O249" i="2"/>
  <c r="P249" i="2"/>
  <c r="O250" i="2"/>
  <c r="P250" i="2"/>
  <c r="O251" i="2"/>
  <c r="P251" i="2"/>
  <c r="P139" i="2"/>
  <c r="O139" i="2"/>
  <c r="Q151" i="2"/>
  <c r="Q160" i="2"/>
  <c r="Q175" i="2"/>
  <c r="Q176" i="2"/>
  <c r="Q183" i="2"/>
  <c r="Q184" i="2"/>
  <c r="Q167" i="2"/>
  <c r="O140" i="3"/>
  <c r="P140" i="3"/>
  <c r="O141" i="3"/>
  <c r="P141" i="3"/>
  <c r="O142" i="3"/>
  <c r="P142" i="3"/>
  <c r="O143" i="3"/>
  <c r="Q143" i="3" s="1"/>
  <c r="P143" i="3"/>
  <c r="O144" i="3"/>
  <c r="Q144" i="3" s="1"/>
  <c r="P144" i="3"/>
  <c r="O145" i="3"/>
  <c r="Q145" i="3" s="1"/>
  <c r="P145" i="3"/>
  <c r="O146" i="3"/>
  <c r="Q146" i="3" s="1"/>
  <c r="P146" i="3"/>
  <c r="O147" i="3"/>
  <c r="Q147" i="3" s="1"/>
  <c r="P147" i="3"/>
  <c r="O148" i="3"/>
  <c r="P148" i="3"/>
  <c r="O149" i="3"/>
  <c r="P149" i="3"/>
  <c r="O150" i="3"/>
  <c r="P150" i="3"/>
  <c r="O151" i="3"/>
  <c r="P151" i="3"/>
  <c r="O152" i="3"/>
  <c r="P152" i="3"/>
  <c r="O153" i="3"/>
  <c r="P153" i="3"/>
  <c r="O154" i="3"/>
  <c r="P154" i="3"/>
  <c r="O155" i="3"/>
  <c r="P155" i="3"/>
  <c r="O156" i="3"/>
  <c r="P156" i="3"/>
  <c r="O157" i="3"/>
  <c r="P157" i="3"/>
  <c r="O158" i="3"/>
  <c r="P158" i="3"/>
  <c r="O159" i="3"/>
  <c r="Q159" i="3" s="1"/>
  <c r="P159" i="3"/>
  <c r="O160" i="3"/>
  <c r="Q160" i="3" s="1"/>
  <c r="P160" i="3"/>
  <c r="O161" i="3"/>
  <c r="Q161" i="3" s="1"/>
  <c r="P161" i="3"/>
  <c r="O162" i="3"/>
  <c r="Q162" i="3" s="1"/>
  <c r="P162" i="3"/>
  <c r="O163" i="3"/>
  <c r="Q163" i="3" s="1"/>
  <c r="P163" i="3"/>
  <c r="O164" i="3"/>
  <c r="P164" i="3"/>
  <c r="O165" i="3"/>
  <c r="P165" i="3"/>
  <c r="O166" i="3"/>
  <c r="P166" i="3"/>
  <c r="O167" i="3"/>
  <c r="P167" i="3"/>
  <c r="O168" i="3"/>
  <c r="P168" i="3"/>
  <c r="O169" i="3"/>
  <c r="P169" i="3"/>
  <c r="O170" i="3"/>
  <c r="P170" i="3"/>
  <c r="O171" i="3"/>
  <c r="P171" i="3"/>
  <c r="O172" i="3"/>
  <c r="P172" i="3"/>
  <c r="O173" i="3"/>
  <c r="P173" i="3"/>
  <c r="O174" i="3"/>
  <c r="P174" i="3"/>
  <c r="O175" i="3"/>
  <c r="Q175" i="3" s="1"/>
  <c r="P175" i="3"/>
  <c r="O176" i="3"/>
  <c r="Q176" i="3" s="1"/>
  <c r="P176" i="3"/>
  <c r="O177" i="3"/>
  <c r="Q177" i="3" s="1"/>
  <c r="P177" i="3"/>
  <c r="O178" i="3"/>
  <c r="Q178" i="3" s="1"/>
  <c r="P178" i="3"/>
  <c r="O179" i="3"/>
  <c r="Q179" i="3" s="1"/>
  <c r="P179" i="3"/>
  <c r="O180" i="3"/>
  <c r="P180" i="3"/>
  <c r="O181" i="3"/>
  <c r="P181" i="3"/>
  <c r="O182" i="3"/>
  <c r="P182" i="3"/>
  <c r="O183" i="3"/>
  <c r="P183" i="3"/>
  <c r="O184" i="3"/>
  <c r="P184" i="3"/>
  <c r="O185" i="3"/>
  <c r="P185" i="3"/>
  <c r="O186" i="3"/>
  <c r="P186" i="3"/>
  <c r="O187" i="3"/>
  <c r="P187" i="3"/>
  <c r="O188" i="3"/>
  <c r="P188" i="3"/>
  <c r="O189" i="3"/>
  <c r="P189" i="3"/>
  <c r="O190" i="3"/>
  <c r="Q190" i="3" s="1"/>
  <c r="P190" i="3"/>
  <c r="O191" i="3"/>
  <c r="Q191" i="3" s="1"/>
  <c r="P191" i="3"/>
  <c r="O192" i="3"/>
  <c r="Q192" i="3" s="1"/>
  <c r="P192" i="3"/>
  <c r="O193" i="3"/>
  <c r="Q193" i="3" s="1"/>
  <c r="P193" i="3"/>
  <c r="O194" i="3"/>
  <c r="Q194" i="3" s="1"/>
  <c r="P194" i="3"/>
  <c r="O195" i="3"/>
  <c r="Q195" i="3" s="1"/>
  <c r="P195" i="3"/>
  <c r="O196" i="3"/>
  <c r="Q196" i="3" s="1"/>
  <c r="P196" i="3"/>
  <c r="O197" i="3"/>
  <c r="P197" i="3"/>
  <c r="O198" i="3"/>
  <c r="P198" i="3"/>
  <c r="O199" i="3"/>
  <c r="P199" i="3"/>
  <c r="O200" i="3"/>
  <c r="P200" i="3"/>
  <c r="O201" i="3"/>
  <c r="P201" i="3"/>
  <c r="O202" i="3"/>
  <c r="P202" i="3"/>
  <c r="O203" i="3"/>
  <c r="P203" i="3"/>
  <c r="O204" i="3"/>
  <c r="P204" i="3"/>
  <c r="O205" i="3"/>
  <c r="P205" i="3"/>
  <c r="O206" i="3"/>
  <c r="P206" i="3"/>
  <c r="O207" i="3"/>
  <c r="P207" i="3"/>
  <c r="O208" i="3"/>
  <c r="P208" i="3"/>
  <c r="O209" i="3"/>
  <c r="P209" i="3"/>
  <c r="O210" i="3"/>
  <c r="P210" i="3"/>
  <c r="O211" i="3"/>
  <c r="P211" i="3"/>
  <c r="O212" i="3"/>
  <c r="P212" i="3"/>
  <c r="O213" i="3"/>
  <c r="P213" i="3"/>
  <c r="O214" i="3"/>
  <c r="P214" i="3"/>
  <c r="O215" i="3"/>
  <c r="P215" i="3"/>
  <c r="O216" i="3"/>
  <c r="P216" i="3"/>
  <c r="O217" i="3"/>
  <c r="P217" i="3"/>
  <c r="O218" i="3"/>
  <c r="P218" i="3"/>
  <c r="O219" i="3"/>
  <c r="P219" i="3"/>
  <c r="O220" i="3"/>
  <c r="P220" i="3"/>
  <c r="O221" i="3"/>
  <c r="P221" i="3"/>
  <c r="O222" i="3"/>
  <c r="P222" i="3"/>
  <c r="O223" i="3"/>
  <c r="P223" i="3"/>
  <c r="O224" i="3"/>
  <c r="P224" i="3"/>
  <c r="O225" i="3"/>
  <c r="P225" i="3"/>
  <c r="O226" i="3"/>
  <c r="P226" i="3"/>
  <c r="O227" i="3"/>
  <c r="P227" i="3"/>
  <c r="O228" i="3"/>
  <c r="P228" i="3"/>
  <c r="O229" i="3"/>
  <c r="P229" i="3"/>
  <c r="O230" i="3"/>
  <c r="P230" i="3"/>
  <c r="O231" i="3"/>
  <c r="P231" i="3"/>
  <c r="O232" i="3"/>
  <c r="P232" i="3"/>
  <c r="O233" i="3"/>
  <c r="Q233" i="3" s="1"/>
  <c r="P233" i="3"/>
  <c r="O234" i="3"/>
  <c r="P234" i="3"/>
  <c r="O235" i="3"/>
  <c r="P235" i="3"/>
  <c r="O236" i="3"/>
  <c r="P236" i="3"/>
  <c r="O237" i="3"/>
  <c r="P237" i="3"/>
  <c r="O238" i="3"/>
  <c r="P238" i="3"/>
  <c r="O239" i="3"/>
  <c r="P239" i="3"/>
  <c r="O240" i="3"/>
  <c r="P240" i="3"/>
  <c r="O241" i="3"/>
  <c r="P241" i="3"/>
  <c r="O242" i="3"/>
  <c r="P242" i="3"/>
  <c r="O243" i="3"/>
  <c r="P243" i="3"/>
  <c r="O244" i="3"/>
  <c r="P244" i="3"/>
  <c r="O245" i="3"/>
  <c r="P245" i="3"/>
  <c r="O246" i="3"/>
  <c r="P246" i="3"/>
  <c r="O247" i="3"/>
  <c r="P247" i="3"/>
  <c r="O248" i="3"/>
  <c r="P248" i="3"/>
  <c r="O249" i="3"/>
  <c r="P249" i="3"/>
  <c r="O250" i="3"/>
  <c r="P250" i="3"/>
  <c r="O251" i="3"/>
  <c r="P251" i="3"/>
  <c r="P139" i="3"/>
  <c r="O139" i="3"/>
  <c r="Q138" i="2"/>
  <c r="Q139" i="2"/>
  <c r="Q140" i="2"/>
  <c r="Q141" i="2"/>
  <c r="Q143" i="2"/>
  <c r="Q148" i="2"/>
  <c r="Q149" i="2"/>
  <c r="Q156" i="2"/>
  <c r="Q157" i="2"/>
  <c r="Q158" i="2"/>
  <c r="Q159" i="2"/>
  <c r="Q164" i="2"/>
  <c r="Q165" i="2"/>
  <c r="Q166" i="2"/>
  <c r="Q172" i="2"/>
  <c r="Q173" i="2"/>
  <c r="Q180" i="2"/>
  <c r="Q181" i="2"/>
  <c r="Q188" i="2"/>
  <c r="Q189" i="2"/>
  <c r="Q190" i="2"/>
  <c r="Q191" i="2"/>
  <c r="Q196" i="2"/>
  <c r="Q138" i="3"/>
  <c r="Q139" i="3"/>
  <c r="Q140" i="3"/>
  <c r="Q141" i="3"/>
  <c r="Q142" i="3"/>
  <c r="Q148" i="3"/>
  <c r="Q149" i="3"/>
  <c r="Q150" i="3"/>
  <c r="Q151" i="3"/>
  <c r="Q152" i="3"/>
  <c r="Q153" i="3"/>
  <c r="Q154" i="3"/>
  <c r="Q155" i="3"/>
  <c r="Q156" i="3"/>
  <c r="Q157" i="3"/>
  <c r="Q158" i="3"/>
  <c r="Q164" i="3"/>
  <c r="Q165" i="3"/>
  <c r="Q166" i="3"/>
  <c r="Q167" i="3"/>
  <c r="Q168" i="3"/>
  <c r="Q169" i="3"/>
  <c r="Q170" i="3"/>
  <c r="Q171" i="3"/>
  <c r="Q172" i="3"/>
  <c r="Q173" i="3"/>
  <c r="Q174" i="3"/>
  <c r="Q180" i="3"/>
  <c r="Q181" i="3"/>
  <c r="Q182" i="3"/>
  <c r="Q183" i="3"/>
  <c r="Q184" i="3"/>
  <c r="Q185" i="3"/>
  <c r="Q186" i="3"/>
  <c r="Q187" i="3"/>
  <c r="Q188" i="3"/>
  <c r="Q189" i="3"/>
  <c r="P294" i="2"/>
  <c r="P293" i="2"/>
  <c r="O294" i="2"/>
  <c r="O293" i="2"/>
  <c r="P137" i="2" l="1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Q124" i="2"/>
  <c r="Q125" i="2"/>
  <c r="Q135" i="2"/>
  <c r="O124" i="2"/>
  <c r="O125" i="2"/>
  <c r="O126" i="2"/>
  <c r="Q126" i="2" s="1"/>
  <c r="O127" i="2"/>
  <c r="Q127" i="2" s="1"/>
  <c r="O128" i="2"/>
  <c r="Q128" i="2" s="1"/>
  <c r="O129" i="2"/>
  <c r="Q129" i="2" s="1"/>
  <c r="O130" i="2"/>
  <c r="Q130" i="2" s="1"/>
  <c r="O131" i="2"/>
  <c r="Q131" i="2" s="1"/>
  <c r="O132" i="2"/>
  <c r="Q132" i="2" s="1"/>
  <c r="O133" i="2"/>
  <c r="Q133" i="2" s="1"/>
  <c r="O134" i="2"/>
  <c r="Q134" i="2" s="1"/>
  <c r="O135" i="2"/>
  <c r="O136" i="2"/>
  <c r="Q136" i="2" s="1"/>
  <c r="O137" i="2"/>
  <c r="Q137" i="2" s="1"/>
  <c r="O137" i="3" l="1"/>
  <c r="Q137" i="3" s="1"/>
  <c r="Q95" i="3"/>
  <c r="Q96" i="3"/>
  <c r="Q97" i="3"/>
  <c r="Q107" i="3"/>
  <c r="Q108" i="3"/>
  <c r="Q109" i="3"/>
  <c r="Q113" i="3"/>
  <c r="O83" i="3"/>
  <c r="O84" i="3"/>
  <c r="Q84" i="3" s="1"/>
  <c r="O85" i="3"/>
  <c r="Q85" i="3" s="1"/>
  <c r="O86" i="3"/>
  <c r="O87" i="3"/>
  <c r="Q87" i="3" s="1"/>
  <c r="O88" i="3"/>
  <c r="Q88" i="3" s="1"/>
  <c r="O89" i="3"/>
  <c r="Q89" i="3" s="1"/>
  <c r="O90" i="3"/>
  <c r="Q90" i="3" s="1"/>
  <c r="O91" i="3"/>
  <c r="Q91" i="3" s="1"/>
  <c r="O92" i="3"/>
  <c r="Q92" i="3" s="1"/>
  <c r="O93" i="3"/>
  <c r="Q93" i="3" s="1"/>
  <c r="O94" i="3"/>
  <c r="Q94" i="3" s="1"/>
  <c r="O95" i="3"/>
  <c r="O96" i="3"/>
  <c r="O97" i="3"/>
  <c r="O98" i="3"/>
  <c r="Q98" i="3" s="1"/>
  <c r="O99" i="3"/>
  <c r="Q99" i="3" s="1"/>
  <c r="O100" i="3"/>
  <c r="Q100" i="3" s="1"/>
  <c r="O101" i="3"/>
  <c r="Q101" i="3" s="1"/>
  <c r="O102" i="3"/>
  <c r="Q102" i="3" s="1"/>
  <c r="O103" i="3"/>
  <c r="Q103" i="3" s="1"/>
  <c r="O104" i="3"/>
  <c r="Q104" i="3" s="1"/>
  <c r="O105" i="3"/>
  <c r="Q105" i="3" s="1"/>
  <c r="O106" i="3"/>
  <c r="O107" i="3"/>
  <c r="O108" i="3"/>
  <c r="O109" i="3"/>
  <c r="O110" i="3"/>
  <c r="Q110" i="3" s="1"/>
  <c r="O111" i="3"/>
  <c r="Q111" i="3" s="1"/>
  <c r="O112" i="3"/>
  <c r="Q112" i="3" s="1"/>
  <c r="O113" i="3"/>
  <c r="O114" i="3"/>
  <c r="Q114" i="3" s="1"/>
  <c r="O115" i="3"/>
  <c r="O116" i="3"/>
  <c r="Q116" i="3" s="1"/>
  <c r="O117" i="3"/>
  <c r="Q117" i="3" s="1"/>
  <c r="O118" i="3"/>
  <c r="O119" i="3"/>
  <c r="O120" i="3"/>
  <c r="O121" i="3"/>
  <c r="O122" i="3"/>
  <c r="O123" i="3"/>
  <c r="O124" i="3"/>
  <c r="Q124" i="3" s="1"/>
  <c r="O125" i="3"/>
  <c r="Q125" i="3" s="1"/>
  <c r="O126" i="3"/>
  <c r="Q126" i="3" s="1"/>
  <c r="O127" i="3"/>
  <c r="Q127" i="3" s="1"/>
  <c r="O128" i="3"/>
  <c r="Q128" i="3" s="1"/>
  <c r="O129" i="3"/>
  <c r="Q129" i="3" s="1"/>
  <c r="O130" i="3"/>
  <c r="Q130" i="3" s="1"/>
  <c r="O131" i="3"/>
  <c r="Q131" i="3" s="1"/>
  <c r="O132" i="3"/>
  <c r="Q132" i="3" s="1"/>
  <c r="O133" i="3"/>
  <c r="Q133" i="3" s="1"/>
  <c r="O134" i="3"/>
  <c r="Q134" i="3" s="1"/>
  <c r="O135" i="3"/>
  <c r="Q135" i="3" s="1"/>
  <c r="O136" i="3"/>
  <c r="Q136" i="3" s="1"/>
  <c r="O83" i="2"/>
  <c r="Q83" i="2" s="1"/>
  <c r="O84" i="2"/>
  <c r="O85" i="2"/>
  <c r="O86" i="2"/>
  <c r="Q86" i="2" s="1"/>
  <c r="O87" i="2"/>
  <c r="Q87" i="2" s="1"/>
  <c r="O88" i="2"/>
  <c r="Q88" i="2" s="1"/>
  <c r="O89" i="2"/>
  <c r="Q89" i="2" s="1"/>
  <c r="O90" i="2"/>
  <c r="Q90" i="2" s="1"/>
  <c r="O91" i="2"/>
  <c r="Q91" i="2" s="1"/>
  <c r="O92" i="2"/>
  <c r="Q92" i="2" s="1"/>
  <c r="O93" i="2"/>
  <c r="Q93" i="2" s="1"/>
  <c r="O94" i="2"/>
  <c r="Q94" i="2" s="1"/>
  <c r="O95" i="2"/>
  <c r="Q95" i="2" s="1"/>
  <c r="O96" i="2"/>
  <c r="Q96" i="2" s="1"/>
  <c r="O97" i="2"/>
  <c r="Q97" i="2" s="1"/>
  <c r="O98" i="2"/>
  <c r="Q98" i="2" s="1"/>
  <c r="O99" i="2"/>
  <c r="Q99" i="2" s="1"/>
  <c r="O100" i="2"/>
  <c r="Q100" i="2" s="1"/>
  <c r="O101" i="2"/>
  <c r="Q101" i="2" s="1"/>
  <c r="O102" i="2"/>
  <c r="Q102" i="2" s="1"/>
  <c r="O103" i="2"/>
  <c r="Q103" i="2" s="1"/>
  <c r="O104" i="2"/>
  <c r="O105" i="2"/>
  <c r="O106" i="2"/>
  <c r="Q106" i="2" s="1"/>
  <c r="O107" i="2"/>
  <c r="Q107" i="2" s="1"/>
  <c r="O108" i="2"/>
  <c r="Q108" i="2" s="1"/>
  <c r="O109" i="2"/>
  <c r="Q109" i="2" s="1"/>
  <c r="O110" i="2"/>
  <c r="Q110" i="2" s="1"/>
  <c r="O111" i="2"/>
  <c r="Q111" i="2" s="1"/>
  <c r="O112" i="2"/>
  <c r="Q112" i="2" s="1"/>
  <c r="O113" i="2"/>
  <c r="O114" i="2"/>
  <c r="Q114" i="2" s="1"/>
  <c r="O115" i="2"/>
  <c r="Q115" i="2" s="1"/>
  <c r="O116" i="2"/>
  <c r="Q116" i="2" s="1"/>
  <c r="O117" i="2"/>
  <c r="Q117" i="2" s="1"/>
  <c r="O118" i="2"/>
  <c r="O119" i="2"/>
  <c r="Q119" i="2" s="1"/>
  <c r="O120" i="2"/>
  <c r="O121" i="2"/>
  <c r="Q121" i="2" s="1"/>
  <c r="O122" i="2"/>
  <c r="O123" i="2"/>
  <c r="Q106" i="3" l="1"/>
  <c r="Q86" i="3"/>
  <c r="Q123" i="3"/>
  <c r="Q122" i="3"/>
  <c r="Q115" i="3"/>
  <c r="Q83" i="3"/>
  <c r="Q122" i="2"/>
  <c r="Q113" i="2"/>
  <c r="Q104" i="2"/>
  <c r="Q123" i="2"/>
  <c r="Q105" i="2"/>
  <c r="Q85" i="2"/>
  <c r="Q84" i="2"/>
  <c r="Q120" i="3"/>
  <c r="Q121" i="3"/>
  <c r="Q119" i="3"/>
  <c r="Q118" i="3"/>
  <c r="Q120" i="2"/>
  <c r="Q118" i="2"/>
  <c r="O82" i="3" l="1"/>
  <c r="Q82" i="3" s="1"/>
  <c r="O81" i="3"/>
  <c r="Q81" i="3" s="1"/>
  <c r="O80" i="3"/>
  <c r="Q80" i="3" s="1"/>
  <c r="O79" i="3"/>
  <c r="Q79" i="3" s="1"/>
  <c r="O78" i="3"/>
  <c r="Q78" i="3" s="1"/>
  <c r="O77" i="3"/>
  <c r="Q77" i="3" s="1"/>
  <c r="O76" i="3"/>
  <c r="Q76" i="3" s="1"/>
  <c r="O75" i="3"/>
  <c r="Q75" i="3" s="1"/>
  <c r="O74" i="3"/>
  <c r="Q74" i="3" s="1"/>
  <c r="O73" i="3"/>
  <c r="Q73" i="3" s="1"/>
  <c r="O72" i="3"/>
  <c r="Q72" i="3" s="1"/>
  <c r="O71" i="3"/>
  <c r="Q71" i="3" s="1"/>
  <c r="O70" i="3"/>
  <c r="Q70" i="3" s="1"/>
  <c r="O69" i="3"/>
  <c r="Q69" i="3" s="1"/>
  <c r="O68" i="3"/>
  <c r="Q68" i="3" s="1"/>
  <c r="O67" i="3"/>
  <c r="Q67" i="3" s="1"/>
  <c r="O66" i="3"/>
  <c r="Q66" i="3" s="1"/>
  <c r="O65" i="3"/>
  <c r="Q65" i="3" s="1"/>
  <c r="O64" i="3"/>
  <c r="Q64" i="3" s="1"/>
  <c r="O63" i="3"/>
  <c r="O62" i="3"/>
  <c r="Q62" i="3" s="1"/>
  <c r="O61" i="3"/>
  <c r="Q61" i="3" s="1"/>
  <c r="O60" i="3"/>
  <c r="Q60" i="3" s="1"/>
  <c r="O59" i="3"/>
  <c r="Q59" i="3" s="1"/>
  <c r="O58" i="3"/>
  <c r="Q58" i="3" s="1"/>
  <c r="O57" i="3"/>
  <c r="Q57" i="3" s="1"/>
  <c r="O56" i="3"/>
  <c r="Q56" i="3" s="1"/>
  <c r="O55" i="3"/>
  <c r="O54" i="3"/>
  <c r="Q54" i="3" s="1"/>
  <c r="O53" i="3"/>
  <c r="Q53" i="3" s="1"/>
  <c r="O52" i="3"/>
  <c r="O51" i="3"/>
  <c r="Q51" i="3" s="1"/>
  <c r="O50" i="3"/>
  <c r="Q50" i="3" s="1"/>
  <c r="O49" i="3"/>
  <c r="Q49" i="3" s="1"/>
  <c r="O48" i="3"/>
  <c r="O47" i="3"/>
  <c r="Q47" i="3" s="1"/>
  <c r="O46" i="3"/>
  <c r="Q46" i="3" s="1"/>
  <c r="O45" i="3"/>
  <c r="O44" i="3"/>
  <c r="Q44" i="3" s="1"/>
  <c r="O43" i="3"/>
  <c r="O42" i="3"/>
  <c r="Q42" i="3" s="1"/>
  <c r="O41" i="3"/>
  <c r="Q41" i="3" s="1"/>
  <c r="O40" i="3"/>
  <c r="Q40" i="3" s="1"/>
  <c r="O39" i="3"/>
  <c r="Q39" i="3" s="1"/>
  <c r="O38" i="3"/>
  <c r="O37" i="3"/>
  <c r="O36" i="3"/>
  <c r="Q36" i="3" s="1"/>
  <c r="O35" i="3"/>
  <c r="Q35" i="3" s="1"/>
  <c r="O34" i="3"/>
  <c r="Q34" i="3" s="1"/>
  <c r="O33" i="3"/>
  <c r="O32" i="3"/>
  <c r="Q32" i="3" s="1"/>
  <c r="O31" i="3"/>
  <c r="O30" i="3"/>
  <c r="Q30" i="3" s="1"/>
  <c r="O29" i="3"/>
  <c r="O28" i="3"/>
  <c r="Q28" i="3" s="1"/>
  <c r="O27" i="3"/>
  <c r="Q27" i="3" s="1"/>
  <c r="O26" i="3"/>
  <c r="O25" i="3"/>
  <c r="Q25" i="3" s="1"/>
  <c r="O24" i="3"/>
  <c r="Q24" i="3" s="1"/>
  <c r="O23" i="3"/>
  <c r="Q23" i="3" s="1"/>
  <c r="O22" i="3"/>
  <c r="O21" i="3"/>
  <c r="Q21" i="3" s="1"/>
  <c r="O20" i="3"/>
  <c r="O19" i="3"/>
  <c r="O18" i="3"/>
  <c r="Q18" i="3" s="1"/>
  <c r="O17" i="3"/>
  <c r="O16" i="3"/>
  <c r="Q16" i="3" s="1"/>
  <c r="O15" i="3"/>
  <c r="Q15" i="3" s="1"/>
  <c r="O14" i="3"/>
  <c r="O13" i="3"/>
  <c r="O12" i="3"/>
  <c r="Q12" i="3" s="1"/>
  <c r="O11" i="3"/>
  <c r="O10" i="3"/>
  <c r="Q10" i="3" s="1"/>
  <c r="O9" i="3"/>
  <c r="Q9" i="3" s="1"/>
  <c r="O8" i="3"/>
  <c r="O7" i="3"/>
  <c r="Q7" i="3" s="1"/>
  <c r="O6" i="3"/>
  <c r="Q6" i="3" s="1"/>
  <c r="O5" i="3"/>
  <c r="Q5" i="3" s="1"/>
  <c r="O4" i="3"/>
  <c r="O3" i="3"/>
  <c r="Q3" i="3" s="1"/>
  <c r="O2" i="3"/>
  <c r="Q2" i="3" s="1"/>
  <c r="Q31" i="3" l="1"/>
  <c r="Q52" i="3"/>
  <c r="Q63" i="3"/>
  <c r="Q8" i="3"/>
  <c r="Q29" i="3"/>
  <c r="Q19" i="3"/>
  <c r="Q45" i="3"/>
  <c r="Q55" i="3"/>
  <c r="Q20" i="3"/>
  <c r="Q4" i="3"/>
  <c r="Q13" i="3"/>
  <c r="Q14" i="3"/>
  <c r="Q11" i="3"/>
  <c r="Q22" i="3"/>
  <c r="Q38" i="3"/>
  <c r="Q17" i="3"/>
  <c r="Q33" i="3"/>
  <c r="Q48" i="3"/>
  <c r="Q26" i="3"/>
  <c r="Q37" i="3"/>
  <c r="Q43" i="3"/>
  <c r="O45" i="2"/>
  <c r="Q45" i="2" s="1"/>
  <c r="O46" i="2"/>
  <c r="Q46" i="2" s="1"/>
  <c r="O47" i="2"/>
  <c r="Q47" i="2" s="1"/>
  <c r="O48" i="2"/>
  <c r="Q48" i="2" s="1"/>
  <c r="O49" i="2"/>
  <c r="Q49" i="2" s="1"/>
  <c r="O50" i="2"/>
  <c r="Q50" i="2" s="1"/>
  <c r="O51" i="2"/>
  <c r="Q51" i="2" s="1"/>
  <c r="O52" i="2"/>
  <c r="Q52" i="2" s="1"/>
  <c r="O53" i="2"/>
  <c r="Q53" i="2" s="1"/>
  <c r="O54" i="2"/>
  <c r="Q54" i="2" s="1"/>
  <c r="O55" i="2"/>
  <c r="Q55" i="2" s="1"/>
  <c r="O56" i="2"/>
  <c r="Q56" i="2" s="1"/>
  <c r="O57" i="2"/>
  <c r="Q57" i="2" s="1"/>
  <c r="O58" i="2"/>
  <c r="Q58" i="2" s="1"/>
  <c r="O59" i="2"/>
  <c r="Q59" i="2" s="1"/>
  <c r="O60" i="2"/>
  <c r="Q60" i="2" s="1"/>
  <c r="O61" i="2"/>
  <c r="Q61" i="2" s="1"/>
  <c r="O62" i="2"/>
  <c r="Q62" i="2" s="1"/>
  <c r="O63" i="2"/>
  <c r="Q63" i="2" s="1"/>
  <c r="O64" i="2"/>
  <c r="Q64" i="2" s="1"/>
  <c r="O65" i="2"/>
  <c r="Q65" i="2" s="1"/>
  <c r="O66" i="2"/>
  <c r="Q66" i="2" s="1"/>
  <c r="O67" i="2"/>
  <c r="Q67" i="2" s="1"/>
  <c r="O68" i="2"/>
  <c r="Q68" i="2" s="1"/>
  <c r="O69" i="2"/>
  <c r="Q69" i="2" s="1"/>
  <c r="O70" i="2"/>
  <c r="Q70" i="2" s="1"/>
  <c r="O71" i="2"/>
  <c r="Q71" i="2" s="1"/>
  <c r="O72" i="2"/>
  <c r="Q72" i="2" s="1"/>
  <c r="O73" i="2"/>
  <c r="Q73" i="2" s="1"/>
  <c r="O74" i="2"/>
  <c r="Q74" i="2" s="1"/>
  <c r="O75" i="2"/>
  <c r="Q75" i="2" s="1"/>
  <c r="O76" i="2"/>
  <c r="Q76" i="2" s="1"/>
  <c r="O77" i="2"/>
  <c r="Q77" i="2" s="1"/>
  <c r="O78" i="2"/>
  <c r="Q78" i="2" s="1"/>
  <c r="O79" i="2"/>
  <c r="Q79" i="2" s="1"/>
  <c r="O80" i="2"/>
  <c r="Q80" i="2" s="1"/>
  <c r="O81" i="2"/>
  <c r="Q81" i="2" s="1"/>
  <c r="O82" i="2"/>
  <c r="Q82" i="2" s="1"/>
  <c r="Q35" i="2"/>
  <c r="Q25" i="2"/>
  <c r="Q26" i="2"/>
  <c r="Q27" i="2"/>
  <c r="Q2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Q24" i="2" s="1"/>
  <c r="O25" i="2"/>
  <c r="O27" i="2"/>
  <c r="O28" i="2"/>
  <c r="O29" i="2"/>
  <c r="Q29" i="2" s="1"/>
  <c r="O30" i="2"/>
  <c r="Q30" i="2" s="1"/>
  <c r="O31" i="2"/>
  <c r="Q31" i="2" s="1"/>
  <c r="O32" i="2"/>
  <c r="Q32" i="2" s="1"/>
  <c r="O33" i="2"/>
  <c r="Q33" i="2" s="1"/>
  <c r="O34" i="2"/>
  <c r="Q34" i="2" s="1"/>
  <c r="O35" i="2"/>
  <c r="O36" i="2"/>
  <c r="Q36" i="2" s="1"/>
  <c r="O37" i="2"/>
  <c r="Q37" i="2" s="1"/>
  <c r="O38" i="2"/>
  <c r="Q38" i="2" s="1"/>
  <c r="O39" i="2"/>
  <c r="Q39" i="2" s="1"/>
  <c r="O40" i="2"/>
  <c r="Q40" i="2" s="1"/>
  <c r="O41" i="2"/>
  <c r="Q41" i="2" s="1"/>
  <c r="O42" i="2"/>
  <c r="Q42" i="2" s="1"/>
  <c r="O43" i="2"/>
  <c r="Q43" i="2" s="1"/>
  <c r="O44" i="2"/>
  <c r="Q44" i="2" s="1"/>
  <c r="O26" i="2"/>
  <c r="Q23" i="2" l="1"/>
  <c r="Q12" i="2"/>
  <c r="Q11" i="2"/>
  <c r="Q20" i="2"/>
  <c r="Q19" i="2"/>
  <c r="Q18" i="2"/>
  <c r="Q21" i="2"/>
  <c r="Q22" i="2"/>
  <c r="Q10" i="2"/>
  <c r="Q8" i="2"/>
  <c r="Q9" i="2"/>
  <c r="Q17" i="2"/>
  <c r="Q16" i="2"/>
  <c r="Q15" i="2"/>
  <c r="Q14" i="2"/>
  <c r="Q13" i="2"/>
  <c r="Q2" i="2"/>
  <c r="Q7" i="2"/>
  <c r="Q6" i="2"/>
  <c r="Q5" i="2"/>
  <c r="Q4" i="2"/>
  <c r="Q3" i="2"/>
</calcChain>
</file>

<file path=xl/sharedStrings.xml><?xml version="1.0" encoding="utf-8"?>
<sst xmlns="http://schemas.openxmlformats.org/spreadsheetml/2006/main" count="122" uniqueCount="60">
  <si>
    <t>day</t>
  </si>
  <si>
    <t>idx</t>
  </si>
  <si>
    <t>date</t>
  </si>
  <si>
    <t>count</t>
  </si>
  <si>
    <t>tavg</t>
  </si>
  <si>
    <t>prcp</t>
  </si>
  <si>
    <t>snow</t>
  </si>
  <si>
    <t>wspd</t>
  </si>
  <si>
    <t>holiday</t>
  </si>
  <si>
    <t>std dev</t>
  </si>
  <si>
    <t>lent friday</t>
  </si>
  <si>
    <t>good friday</t>
  </si>
  <si>
    <t>easter</t>
  </si>
  <si>
    <t>cinco de mayo</t>
  </si>
  <si>
    <t>mothers day</t>
  </si>
  <si>
    <t>memorial day</t>
  </si>
  <si>
    <t>fathers day</t>
  </si>
  <si>
    <t>juneteenth</t>
  </si>
  <si>
    <t>independence day</t>
  </si>
  <si>
    <t>labor day</t>
  </si>
  <si>
    <t>yom kimpur</t>
  </si>
  <si>
    <t>columbus day</t>
  </si>
  <si>
    <t>diwali, halloween</t>
  </si>
  <si>
    <t>election day</t>
  </si>
  <si>
    <t>veterans day</t>
  </si>
  <si>
    <t>thanksgiving</t>
  </si>
  <si>
    <t>black friday</t>
  </si>
  <si>
    <t>christmas eve</t>
  </si>
  <si>
    <t>christmas day</t>
  </si>
  <si>
    <t>hanukkah</t>
  </si>
  <si>
    <t>new years eve</t>
  </si>
  <si>
    <t>new years day</t>
  </si>
  <si>
    <t>mlk day</t>
  </si>
  <si>
    <t>super bowl</t>
  </si>
  <si>
    <t>valentines day</t>
  </si>
  <si>
    <t>presidents day</t>
  </si>
  <si>
    <t>ramadan</t>
  </si>
  <si>
    <t>ash wednesday</t>
  </si>
  <si>
    <t>st patricks day</t>
  </si>
  <si>
    <t>avg</t>
  </si>
  <si>
    <t>std</t>
  </si>
  <si>
    <t>acc</t>
  </si>
  <si>
    <t>loss</t>
  </si>
  <si>
    <t>actual</t>
  </si>
  <si>
    <t>diwali</t>
  </si>
  <si>
    <t>halloween</t>
  </si>
  <si>
    <t>exp</t>
  </si>
  <si>
    <t>exp&amp;slid</t>
  </si>
  <si>
    <t>slide</t>
  </si>
  <si>
    <t>slid&amp;norm</t>
  </si>
  <si>
    <t>norm</t>
  </si>
  <si>
    <t>norm&amp;exp</t>
  </si>
  <si>
    <t>daylight saving end</t>
  </si>
  <si>
    <t>daylight saving start</t>
  </si>
  <si>
    <t>all</t>
  </si>
  <si>
    <t>prior</t>
  </si>
  <si>
    <t>no prior</t>
  </si>
  <si>
    <t>time(s)</t>
  </si>
  <si>
    <t>trn %</t>
  </si>
  <si>
    <t>lent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</si>
</sst>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CCCCCC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horizontal="right"/>
    </xf>
    <xf numFmtId="14" fontId="1" fillId="0" borderId="4" xfId="0" applyNumberFormat="1" applyFont="1" applyBorder="1" applyAlignment="1">
      <alignment horizontal="left"/>
    </xf>
    <xf numFmtId="4" fontId="1" fillId="0" borderId="4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/>
    </xf>
    <xf numFmtId="1" fontId="1" fillId="0" borderId="4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4" xfId="0" applyBorder="1"/>
    <xf numFmtId="14" fontId="1" fillId="0" borderId="9" xfId="0" applyNumberFormat="1" applyFont="1" applyBorder="1" applyAlignment="1">
      <alignment horizontal="left"/>
    </xf>
    <xf numFmtId="0" fontId="0" fillId="0" borderId="15" xfId="0" applyBorder="1"/>
    <xf numFmtId="0" fontId="0" fillId="2" borderId="0" xfId="0" applyFill="1"/>
    <xf numFmtId="14" fontId="1" fillId="2" borderId="9" xfId="0" applyNumberFormat="1" applyFont="1" applyFill="1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9" xfId="0" applyBorder="1"/>
    <xf numFmtId="2" fontId="0" fillId="0" borderId="0" xfId="0" applyNumberFormat="1"/>
    <xf numFmtId="0" fontId="1" fillId="0" borderId="4" xfId="0" applyFont="1" applyBorder="1"/>
    <xf numFmtId="0" fontId="1" fillId="0" borderId="3" xfId="0" applyFont="1" applyBorder="1"/>
    <xf numFmtId="0" fontId="0" fillId="3" borderId="0" xfId="0" applyFill="1"/>
    <xf numFmtId="10" fontId="0" fillId="0" borderId="0" xfId="0" applyNumberFormat="1"/>
    <xf numFmtId="0" fontId="0" fillId="3" borderId="21" xfId="0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759"/>
  <sheetViews>
    <sheetView tabSelected="1" zoomScaleNormal="100" workbookViewId="0">
      <pane ySplit="1" topLeftCell="A739" activePane="bottomLeft" state="frozen"/>
      <selection pane="bottomLeft" activeCell="K727" sqref="K727:P758"/>
    </sheetView>
  </sheetViews>
  <sheetFormatPr defaultRowHeight="15" x14ac:dyDescent="0.25"/>
  <cols>
    <col min="1" max="2" width="13.5703125" style="14" bestFit="1" customWidth="1"/>
    <col min="3" max="3" width="12" style="15" bestFit="1" customWidth="1"/>
    <col min="4" max="4" width="13.5703125" style="14" bestFit="1" customWidth="1"/>
    <col min="5" max="8" width="13.5703125" style="9" bestFit="1" customWidth="1"/>
    <col min="9" max="9" width="16.42578125" bestFit="1" customWidth="1"/>
    <col min="10" max="10" width="13.5703125" style="9" bestFit="1" customWidth="1"/>
    <col min="11" max="11" width="13.5703125" style="10" bestFit="1" customWidth="1"/>
  </cols>
  <sheetData>
    <row r="1" spans="1:11" ht="18.75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7" t="s">
        <v>8</v>
      </c>
      <c r="J1" s="4" t="s">
        <v>9</v>
      </c>
      <c r="K1" s="5"/>
    </row>
    <row r="2" spans="1:11" ht="18.75" customHeight="1" x14ac:dyDescent="0.25">
      <c r="A2" s="6">
        <v>6</v>
      </c>
      <c r="B2" s="6">
        <v>1</v>
      </c>
      <c r="C2" s="7">
        <v>45373</v>
      </c>
      <c r="D2" s="6">
        <v>0</v>
      </c>
      <c r="E2" s="8">
        <v>34.9</v>
      </c>
      <c r="F2" s="8">
        <v>0.13</v>
      </c>
      <c r="G2" s="8">
        <v>0</v>
      </c>
      <c r="H2" s="8">
        <v>10.5</v>
      </c>
      <c r="I2" s="36" t="s">
        <v>10</v>
      </c>
    </row>
    <row r="3" spans="1:11" ht="18.75" customHeight="1" x14ac:dyDescent="0.25">
      <c r="A3" s="6">
        <v>7</v>
      </c>
      <c r="B3" s="6">
        <v>2</v>
      </c>
      <c r="C3" s="7">
        <v>45374</v>
      </c>
      <c r="D3" s="6">
        <v>0</v>
      </c>
      <c r="E3" s="8">
        <v>34</v>
      </c>
      <c r="F3" s="8">
        <v>0</v>
      </c>
      <c r="G3" s="8">
        <v>0</v>
      </c>
      <c r="H3" s="8">
        <v>11.9</v>
      </c>
    </row>
    <row r="4" spans="1:11" ht="18.75" customHeight="1" x14ac:dyDescent="0.25">
      <c r="A4" s="6">
        <v>1</v>
      </c>
      <c r="B4" s="6">
        <v>3</v>
      </c>
      <c r="C4" s="7">
        <v>45375</v>
      </c>
      <c r="D4" s="6">
        <v>4</v>
      </c>
      <c r="E4" s="8">
        <v>37.4</v>
      </c>
      <c r="F4" s="8">
        <v>0</v>
      </c>
      <c r="G4" s="8">
        <v>0</v>
      </c>
      <c r="H4" s="8">
        <v>14.3</v>
      </c>
    </row>
    <row r="5" spans="1:11" ht="18.75" customHeight="1" x14ac:dyDescent="0.25">
      <c r="A5" s="6">
        <v>2</v>
      </c>
      <c r="B5" s="6">
        <v>4</v>
      </c>
      <c r="C5" s="7">
        <v>45376</v>
      </c>
      <c r="D5" s="6">
        <v>0</v>
      </c>
      <c r="E5" s="8">
        <v>50.9</v>
      </c>
      <c r="F5" s="8">
        <v>0.46899999999999997</v>
      </c>
      <c r="G5" s="8">
        <v>0</v>
      </c>
      <c r="H5" s="8">
        <v>11.9</v>
      </c>
    </row>
    <row r="6" spans="1:11" ht="18.75" customHeight="1" x14ac:dyDescent="0.25">
      <c r="A6" s="6">
        <v>3</v>
      </c>
      <c r="B6" s="6">
        <v>5</v>
      </c>
      <c r="C6" s="7">
        <v>45377</v>
      </c>
      <c r="D6" s="6">
        <v>0</v>
      </c>
      <c r="E6" s="8">
        <v>50.7</v>
      </c>
      <c r="F6" s="8">
        <v>0.14199999999999999</v>
      </c>
      <c r="G6" s="8">
        <v>0</v>
      </c>
      <c r="H6" s="8">
        <v>19.3</v>
      </c>
    </row>
    <row r="7" spans="1:11" ht="18.75" customHeight="1" x14ac:dyDescent="0.25">
      <c r="A7" s="6">
        <v>4</v>
      </c>
      <c r="B7" s="6">
        <v>6</v>
      </c>
      <c r="C7" s="7">
        <v>45378</v>
      </c>
      <c r="D7" s="6">
        <v>0</v>
      </c>
      <c r="E7" s="8">
        <v>34.299999999999997</v>
      </c>
      <c r="F7" s="8">
        <v>0</v>
      </c>
      <c r="G7" s="8">
        <v>0</v>
      </c>
      <c r="H7" s="8">
        <v>12.7</v>
      </c>
    </row>
    <row r="8" spans="1:11" ht="18.75" customHeight="1" x14ac:dyDescent="0.25">
      <c r="A8" s="6">
        <v>5</v>
      </c>
      <c r="B8" s="6">
        <v>7</v>
      </c>
      <c r="C8" s="7">
        <v>45379</v>
      </c>
      <c r="D8" s="6">
        <v>0</v>
      </c>
      <c r="E8" s="8">
        <v>38.5</v>
      </c>
      <c r="F8" s="8">
        <v>0</v>
      </c>
      <c r="G8" s="8">
        <v>0</v>
      </c>
      <c r="H8" s="8">
        <v>7.1</v>
      </c>
    </row>
    <row r="9" spans="1:11" ht="18.75" customHeight="1" x14ac:dyDescent="0.25">
      <c r="A9" s="6">
        <v>6</v>
      </c>
      <c r="B9" s="6">
        <v>8</v>
      </c>
      <c r="C9" s="7">
        <v>45380</v>
      </c>
      <c r="D9" s="6">
        <v>0</v>
      </c>
      <c r="E9" s="8">
        <v>42.3</v>
      </c>
      <c r="F9" s="8">
        <v>3.1E-2</v>
      </c>
      <c r="G9" s="8">
        <v>0</v>
      </c>
      <c r="H9" s="8">
        <v>7.6</v>
      </c>
      <c r="I9" s="36" t="s">
        <v>11</v>
      </c>
    </row>
    <row r="10" spans="1:11" ht="18.75" customHeight="1" x14ac:dyDescent="0.25">
      <c r="A10" s="6">
        <v>7</v>
      </c>
      <c r="B10" s="6">
        <v>9</v>
      </c>
      <c r="C10" s="7">
        <v>45381</v>
      </c>
      <c r="D10" s="6">
        <v>0</v>
      </c>
      <c r="E10" s="8">
        <v>48.2</v>
      </c>
      <c r="F10" s="8">
        <v>0.40200000000000002</v>
      </c>
      <c r="G10" s="8">
        <v>0</v>
      </c>
      <c r="H10" s="8">
        <v>8.6999999999999993</v>
      </c>
    </row>
    <row r="11" spans="1:11" ht="18.75" customHeight="1" x14ac:dyDescent="0.25">
      <c r="A11" s="6">
        <v>1</v>
      </c>
      <c r="B11" s="6">
        <v>10</v>
      </c>
      <c r="C11" s="7">
        <v>45382</v>
      </c>
      <c r="D11" s="6">
        <v>0</v>
      </c>
      <c r="E11" s="8">
        <v>42.6</v>
      </c>
      <c r="F11" s="8">
        <v>0.26</v>
      </c>
      <c r="G11" s="8">
        <v>0</v>
      </c>
      <c r="H11" s="8">
        <v>10.5</v>
      </c>
      <c r="I11" s="36" t="s">
        <v>12</v>
      </c>
      <c r="J11" s="6"/>
      <c r="K11" s="6"/>
    </row>
    <row r="12" spans="1:11" ht="18.75" customHeight="1" x14ac:dyDescent="0.25">
      <c r="A12" s="6">
        <v>2</v>
      </c>
      <c r="B12" s="6">
        <v>11</v>
      </c>
      <c r="C12" s="7">
        <v>45383</v>
      </c>
      <c r="D12" s="6">
        <v>0</v>
      </c>
      <c r="E12" s="8">
        <v>43.5</v>
      </c>
      <c r="F12" s="8">
        <v>0.441</v>
      </c>
      <c r="G12" s="8">
        <v>0</v>
      </c>
      <c r="H12" s="8">
        <v>14.3</v>
      </c>
    </row>
    <row r="13" spans="1:11" ht="18.75" customHeight="1" x14ac:dyDescent="0.25">
      <c r="A13" s="6">
        <v>3</v>
      </c>
      <c r="B13" s="6">
        <v>12</v>
      </c>
      <c r="C13" s="7">
        <v>45384</v>
      </c>
      <c r="D13" s="6">
        <v>0</v>
      </c>
      <c r="E13" s="8">
        <v>43.2</v>
      </c>
      <c r="F13" s="8">
        <v>0.40200000000000002</v>
      </c>
      <c r="G13" s="8">
        <v>0</v>
      </c>
      <c r="H13" s="8">
        <v>14.1</v>
      </c>
    </row>
    <row r="14" spans="1:11" ht="18.75" customHeight="1" x14ac:dyDescent="0.25">
      <c r="A14" s="6">
        <v>4</v>
      </c>
      <c r="B14" s="6">
        <v>13</v>
      </c>
      <c r="C14" s="7">
        <v>45385</v>
      </c>
      <c r="D14" s="6">
        <v>0</v>
      </c>
      <c r="E14" s="8">
        <v>36.1</v>
      </c>
      <c r="F14" s="8">
        <v>0.29899999999999999</v>
      </c>
      <c r="G14" s="8">
        <v>0</v>
      </c>
      <c r="H14" s="8">
        <v>14.1</v>
      </c>
    </row>
    <row r="15" spans="1:11" ht="18.75" customHeight="1" x14ac:dyDescent="0.25">
      <c r="A15" s="6">
        <v>5</v>
      </c>
      <c r="B15" s="6">
        <v>14</v>
      </c>
      <c r="C15" s="7">
        <v>45386</v>
      </c>
      <c r="D15" s="6">
        <v>0</v>
      </c>
      <c r="E15" s="8">
        <v>38.1</v>
      </c>
      <c r="F15" s="8">
        <v>7.0999999999999994E-2</v>
      </c>
      <c r="G15" s="8">
        <v>0</v>
      </c>
      <c r="H15" s="8">
        <v>13.7</v>
      </c>
    </row>
    <row r="16" spans="1:11" ht="18.75" customHeight="1" x14ac:dyDescent="0.25">
      <c r="A16" s="6">
        <v>6</v>
      </c>
      <c r="B16" s="6">
        <v>15</v>
      </c>
      <c r="C16" s="7">
        <v>45387</v>
      </c>
      <c r="D16" s="6">
        <v>0</v>
      </c>
      <c r="E16" s="8">
        <v>41.7</v>
      </c>
      <c r="F16" s="8">
        <v>0</v>
      </c>
      <c r="G16" s="8">
        <v>0</v>
      </c>
      <c r="H16" s="8">
        <v>10.5</v>
      </c>
    </row>
    <row r="17" spans="1:8" ht="18.75" customHeight="1" x14ac:dyDescent="0.25">
      <c r="A17" s="6">
        <v>7</v>
      </c>
      <c r="B17" s="6">
        <v>16</v>
      </c>
      <c r="C17" s="7">
        <v>45388</v>
      </c>
      <c r="D17" s="6">
        <v>0</v>
      </c>
      <c r="E17" s="8">
        <v>42.4</v>
      </c>
      <c r="F17" s="8">
        <v>0</v>
      </c>
      <c r="G17" s="8">
        <v>0</v>
      </c>
      <c r="H17" s="8">
        <v>7.6</v>
      </c>
    </row>
    <row r="18" spans="1:8" ht="18.75" customHeight="1" x14ac:dyDescent="0.25">
      <c r="A18" s="6">
        <v>1</v>
      </c>
      <c r="B18" s="6">
        <v>17</v>
      </c>
      <c r="C18" s="7">
        <v>45389</v>
      </c>
      <c r="D18" s="6">
        <v>3</v>
      </c>
      <c r="E18" s="8">
        <v>44.1</v>
      </c>
      <c r="F18" s="8">
        <v>0.37</v>
      </c>
      <c r="G18" s="8">
        <v>0</v>
      </c>
      <c r="H18" s="8">
        <v>10.5</v>
      </c>
    </row>
    <row r="19" spans="1:8" ht="18.75" customHeight="1" x14ac:dyDescent="0.25">
      <c r="A19" s="6">
        <v>2</v>
      </c>
      <c r="B19" s="6">
        <v>18</v>
      </c>
      <c r="C19" s="7">
        <v>45390</v>
      </c>
      <c r="D19" s="6">
        <v>0</v>
      </c>
      <c r="E19" s="8">
        <v>55</v>
      </c>
      <c r="F19" s="8">
        <v>0</v>
      </c>
      <c r="G19" s="8">
        <v>0</v>
      </c>
      <c r="H19" s="8">
        <v>11.2</v>
      </c>
    </row>
    <row r="20" spans="1:8" ht="18.75" customHeight="1" x14ac:dyDescent="0.25">
      <c r="A20" s="6">
        <v>3</v>
      </c>
      <c r="B20" s="6">
        <v>19</v>
      </c>
      <c r="C20" s="7">
        <v>45391</v>
      </c>
      <c r="D20" s="6">
        <v>0</v>
      </c>
      <c r="E20" s="8">
        <v>59.7</v>
      </c>
      <c r="F20" s="8">
        <v>0</v>
      </c>
      <c r="G20" s="8">
        <v>0</v>
      </c>
      <c r="H20" s="8">
        <v>8.5</v>
      </c>
    </row>
    <row r="21" spans="1:8" ht="18.75" customHeight="1" x14ac:dyDescent="0.25">
      <c r="A21" s="6">
        <v>4</v>
      </c>
      <c r="B21" s="6">
        <v>20</v>
      </c>
      <c r="C21" s="7">
        <v>45392</v>
      </c>
      <c r="D21" s="6">
        <v>0</v>
      </c>
      <c r="E21" s="8">
        <v>56.1</v>
      </c>
      <c r="F21" s="8">
        <v>0</v>
      </c>
      <c r="G21" s="8">
        <v>0</v>
      </c>
      <c r="H21" s="8">
        <v>4.9000000000000004</v>
      </c>
    </row>
    <row r="22" spans="1:8" ht="18.75" customHeight="1" x14ac:dyDescent="0.25">
      <c r="A22" s="6">
        <v>5</v>
      </c>
      <c r="B22" s="6">
        <v>21</v>
      </c>
      <c r="C22" s="7">
        <v>45393</v>
      </c>
      <c r="D22" s="6">
        <v>0</v>
      </c>
      <c r="E22" s="8">
        <v>55.6</v>
      </c>
      <c r="F22" s="8">
        <v>1.2E-2</v>
      </c>
      <c r="G22" s="8">
        <v>0</v>
      </c>
      <c r="H22" s="8">
        <v>9.8000000000000007</v>
      </c>
    </row>
    <row r="23" spans="1:8" ht="18.75" customHeight="1" x14ac:dyDescent="0.25">
      <c r="A23" s="6">
        <v>6</v>
      </c>
      <c r="B23" s="6">
        <v>22</v>
      </c>
      <c r="C23" s="7">
        <v>45394</v>
      </c>
      <c r="D23" s="6">
        <v>0</v>
      </c>
      <c r="E23" s="8">
        <v>54.1</v>
      </c>
      <c r="F23" s="8">
        <v>5.8999999999999997E-2</v>
      </c>
      <c r="G23" s="8">
        <v>0</v>
      </c>
      <c r="H23" s="8">
        <v>13.4</v>
      </c>
    </row>
    <row r="24" spans="1:8" ht="18.75" customHeight="1" x14ac:dyDescent="0.25">
      <c r="A24" s="6">
        <v>7</v>
      </c>
      <c r="B24" s="6">
        <v>23</v>
      </c>
      <c r="C24" s="7">
        <v>45395</v>
      </c>
      <c r="D24" s="6">
        <v>0</v>
      </c>
      <c r="E24" s="8">
        <v>55.4</v>
      </c>
      <c r="F24" s="8">
        <v>0</v>
      </c>
      <c r="G24" s="8">
        <v>0</v>
      </c>
      <c r="H24" s="8">
        <v>9.6</v>
      </c>
    </row>
    <row r="25" spans="1:8" ht="18.75" customHeight="1" x14ac:dyDescent="0.25">
      <c r="A25" s="6">
        <v>1</v>
      </c>
      <c r="B25" s="6">
        <v>24</v>
      </c>
      <c r="C25" s="7">
        <v>45396</v>
      </c>
      <c r="D25" s="6">
        <v>4</v>
      </c>
      <c r="E25" s="8">
        <v>69.400000000000006</v>
      </c>
      <c r="F25" s="8">
        <v>0</v>
      </c>
      <c r="G25" s="8">
        <v>0</v>
      </c>
      <c r="H25" s="8">
        <v>11.4</v>
      </c>
    </row>
    <row r="26" spans="1:8" ht="18.75" customHeight="1" x14ac:dyDescent="0.25">
      <c r="A26" s="6">
        <v>2</v>
      </c>
      <c r="B26" s="6">
        <v>25</v>
      </c>
      <c r="C26" s="7">
        <v>45397</v>
      </c>
      <c r="D26" s="6">
        <v>0</v>
      </c>
      <c r="E26" s="8">
        <v>62.8</v>
      </c>
      <c r="F26" s="8">
        <v>0</v>
      </c>
      <c r="G26" s="8">
        <v>0</v>
      </c>
      <c r="H26" s="8">
        <v>7.8</v>
      </c>
    </row>
    <row r="27" spans="1:8" ht="18.75" customHeight="1" x14ac:dyDescent="0.25">
      <c r="A27" s="6">
        <v>3</v>
      </c>
      <c r="B27" s="6">
        <v>26</v>
      </c>
      <c r="C27" s="7">
        <v>45398</v>
      </c>
      <c r="D27" s="6">
        <v>0</v>
      </c>
      <c r="E27" s="8">
        <v>62.8</v>
      </c>
      <c r="F27" s="8">
        <v>9.8000000000000004E-2</v>
      </c>
      <c r="G27" s="8">
        <v>0</v>
      </c>
      <c r="H27" s="8">
        <v>13.9</v>
      </c>
    </row>
    <row r="28" spans="1:8" ht="18.75" customHeight="1" x14ac:dyDescent="0.25">
      <c r="A28" s="6">
        <v>4</v>
      </c>
      <c r="B28" s="6">
        <v>27</v>
      </c>
      <c r="C28" s="7">
        <v>45399</v>
      </c>
      <c r="D28" s="6">
        <v>6</v>
      </c>
      <c r="E28" s="8">
        <v>65.5</v>
      </c>
      <c r="F28" s="8">
        <v>0.189</v>
      </c>
      <c r="G28" s="8">
        <v>0</v>
      </c>
      <c r="H28" s="8">
        <v>17.2</v>
      </c>
    </row>
    <row r="29" spans="1:8" ht="18.75" customHeight="1" x14ac:dyDescent="0.25">
      <c r="A29" s="6">
        <v>5</v>
      </c>
      <c r="B29" s="6">
        <v>28</v>
      </c>
      <c r="C29" s="7">
        <v>45400</v>
      </c>
      <c r="D29" s="6">
        <v>0</v>
      </c>
      <c r="E29" s="8">
        <v>53.6</v>
      </c>
      <c r="F29" s="8">
        <v>9.8000000000000004E-2</v>
      </c>
      <c r="G29" s="8">
        <v>0</v>
      </c>
      <c r="H29" s="8">
        <v>7.4</v>
      </c>
    </row>
    <row r="30" spans="1:8" ht="18.75" customHeight="1" x14ac:dyDescent="0.25">
      <c r="A30" s="6">
        <v>6</v>
      </c>
      <c r="B30" s="6">
        <v>29</v>
      </c>
      <c r="C30" s="7">
        <v>45401</v>
      </c>
      <c r="D30" s="6">
        <v>0</v>
      </c>
      <c r="E30" s="8">
        <v>49.3</v>
      </c>
      <c r="F30" s="8">
        <v>0</v>
      </c>
      <c r="G30" s="8">
        <v>0</v>
      </c>
      <c r="H30" s="8">
        <v>16.3</v>
      </c>
    </row>
    <row r="31" spans="1:8" ht="18.75" customHeight="1" x14ac:dyDescent="0.25">
      <c r="A31" s="6">
        <v>7</v>
      </c>
      <c r="B31" s="6">
        <v>30</v>
      </c>
      <c r="C31" s="7">
        <v>45402</v>
      </c>
      <c r="D31" s="6">
        <v>0</v>
      </c>
      <c r="E31" s="8">
        <v>42.6</v>
      </c>
      <c r="F31" s="8">
        <v>0</v>
      </c>
      <c r="G31" s="8">
        <v>0</v>
      </c>
      <c r="H31" s="8">
        <v>11.9</v>
      </c>
    </row>
    <row r="32" spans="1:8" ht="18.75" customHeight="1" x14ac:dyDescent="0.25">
      <c r="A32" s="6">
        <v>1</v>
      </c>
      <c r="B32" s="6">
        <v>31</v>
      </c>
      <c r="C32" s="7">
        <v>45403</v>
      </c>
      <c r="D32" s="6">
        <v>0</v>
      </c>
      <c r="E32" s="8">
        <v>43.7</v>
      </c>
      <c r="F32" s="8">
        <v>0</v>
      </c>
      <c r="G32" s="8">
        <v>0</v>
      </c>
      <c r="H32" s="8">
        <v>8.3000000000000007</v>
      </c>
    </row>
    <row r="33" spans="1:9" ht="18.75" customHeight="1" x14ac:dyDescent="0.25">
      <c r="A33" s="6">
        <v>2</v>
      </c>
      <c r="B33" s="6">
        <v>32</v>
      </c>
      <c r="C33" s="7">
        <v>45404</v>
      </c>
      <c r="D33" s="6">
        <v>0</v>
      </c>
      <c r="E33" s="8">
        <v>53.4</v>
      </c>
      <c r="F33" s="8">
        <v>0</v>
      </c>
      <c r="G33" s="8">
        <v>0</v>
      </c>
      <c r="H33" s="8">
        <v>13.7</v>
      </c>
    </row>
    <row r="34" spans="1:9" ht="18.75" customHeight="1" x14ac:dyDescent="0.25">
      <c r="A34" s="6">
        <v>3</v>
      </c>
      <c r="B34" s="6">
        <v>33</v>
      </c>
      <c r="C34" s="7">
        <v>45405</v>
      </c>
      <c r="D34" s="6">
        <v>0</v>
      </c>
      <c r="E34" s="8">
        <v>59.2</v>
      </c>
      <c r="F34" s="8">
        <v>0</v>
      </c>
      <c r="G34" s="8">
        <v>0</v>
      </c>
      <c r="H34" s="8">
        <v>15.9</v>
      </c>
    </row>
    <row r="35" spans="1:9" ht="18.75" customHeight="1" x14ac:dyDescent="0.25">
      <c r="A35" s="6">
        <v>4</v>
      </c>
      <c r="B35" s="6">
        <v>34</v>
      </c>
      <c r="C35" s="7">
        <v>45406</v>
      </c>
      <c r="D35" s="6">
        <v>0</v>
      </c>
      <c r="E35" s="8">
        <v>45.1</v>
      </c>
      <c r="F35" s="8">
        <v>0</v>
      </c>
      <c r="G35" s="8">
        <v>0</v>
      </c>
      <c r="H35" s="8">
        <v>13.4</v>
      </c>
    </row>
    <row r="36" spans="1:9" ht="18.75" customHeight="1" x14ac:dyDescent="0.25">
      <c r="A36" s="6">
        <v>5</v>
      </c>
      <c r="B36" s="6">
        <v>35</v>
      </c>
      <c r="C36" s="7">
        <v>45407</v>
      </c>
      <c r="D36" s="6">
        <v>0</v>
      </c>
      <c r="E36" s="8">
        <v>43.7</v>
      </c>
      <c r="F36" s="8">
        <v>0</v>
      </c>
      <c r="G36" s="8">
        <v>0</v>
      </c>
      <c r="H36" s="8">
        <v>6</v>
      </c>
    </row>
    <row r="37" spans="1:9" ht="18.75" customHeight="1" x14ac:dyDescent="0.25">
      <c r="A37" s="6">
        <v>6</v>
      </c>
      <c r="B37" s="6">
        <v>36</v>
      </c>
      <c r="C37" s="7">
        <v>45408</v>
      </c>
      <c r="D37" s="6">
        <v>0</v>
      </c>
      <c r="E37" s="8">
        <v>49.3</v>
      </c>
      <c r="F37" s="8">
        <v>0.38200000000000001</v>
      </c>
      <c r="G37" s="8">
        <v>0</v>
      </c>
      <c r="H37" s="8">
        <v>13.4</v>
      </c>
    </row>
    <row r="38" spans="1:9" ht="18.75" customHeight="1" x14ac:dyDescent="0.25">
      <c r="A38" s="6">
        <v>7</v>
      </c>
      <c r="B38" s="6">
        <v>37</v>
      </c>
      <c r="C38" s="7">
        <v>45409</v>
      </c>
      <c r="D38" s="6">
        <v>0</v>
      </c>
      <c r="E38" s="8">
        <v>65.7</v>
      </c>
      <c r="F38" s="8">
        <v>3.1E-2</v>
      </c>
      <c r="G38" s="8">
        <v>0</v>
      </c>
      <c r="H38" s="8">
        <v>15.7</v>
      </c>
    </row>
    <row r="39" spans="1:9" ht="18.75" customHeight="1" x14ac:dyDescent="0.25">
      <c r="A39" s="6">
        <v>1</v>
      </c>
      <c r="B39" s="6">
        <v>38</v>
      </c>
      <c r="C39" s="7">
        <v>45410</v>
      </c>
      <c r="D39" s="6">
        <v>0</v>
      </c>
      <c r="E39" s="8">
        <v>67.3</v>
      </c>
      <c r="F39" s="8">
        <v>0.35799999999999998</v>
      </c>
      <c r="G39" s="8">
        <v>0</v>
      </c>
      <c r="H39" s="8">
        <v>9.8000000000000007</v>
      </c>
    </row>
    <row r="40" spans="1:9" ht="18.75" customHeight="1" x14ac:dyDescent="0.25">
      <c r="A40" s="6">
        <v>2</v>
      </c>
      <c r="B40" s="6">
        <v>39</v>
      </c>
      <c r="C40" s="7">
        <v>45411</v>
      </c>
      <c r="D40" s="6">
        <v>0</v>
      </c>
      <c r="E40" s="8">
        <v>66.400000000000006</v>
      </c>
      <c r="F40" s="8">
        <v>0.66100000000000003</v>
      </c>
      <c r="G40" s="8">
        <v>0</v>
      </c>
      <c r="H40" s="8">
        <v>10.5</v>
      </c>
    </row>
    <row r="41" spans="1:9" ht="18.75" customHeight="1" x14ac:dyDescent="0.25">
      <c r="A41" s="6">
        <v>3</v>
      </c>
      <c r="B41" s="6">
        <v>40</v>
      </c>
      <c r="C41" s="7">
        <v>45412</v>
      </c>
      <c r="D41" s="6">
        <v>0</v>
      </c>
      <c r="E41" s="8">
        <v>60.4</v>
      </c>
      <c r="F41" s="8">
        <v>0</v>
      </c>
      <c r="G41" s="8">
        <v>0</v>
      </c>
      <c r="H41" s="8">
        <v>7.6</v>
      </c>
    </row>
    <row r="42" spans="1:9" ht="18.75" customHeight="1" x14ac:dyDescent="0.25">
      <c r="A42" s="6">
        <v>4</v>
      </c>
      <c r="B42" s="6">
        <v>41</v>
      </c>
      <c r="C42" s="7">
        <v>45413</v>
      </c>
      <c r="D42" s="6">
        <v>0</v>
      </c>
      <c r="E42" s="8">
        <v>69.400000000000006</v>
      </c>
      <c r="F42" s="8">
        <v>1.2E-2</v>
      </c>
      <c r="G42" s="8">
        <v>0</v>
      </c>
      <c r="H42" s="8">
        <v>10.5</v>
      </c>
    </row>
    <row r="43" spans="1:9" ht="18.75" customHeight="1" x14ac:dyDescent="0.25">
      <c r="A43" s="6">
        <v>5</v>
      </c>
      <c r="B43" s="6">
        <v>42</v>
      </c>
      <c r="C43" s="7">
        <v>45414</v>
      </c>
      <c r="D43" s="6">
        <v>0</v>
      </c>
      <c r="E43" s="8">
        <v>65.7</v>
      </c>
      <c r="F43" s="8">
        <v>0.63</v>
      </c>
      <c r="G43" s="8">
        <v>0</v>
      </c>
      <c r="H43" s="8">
        <v>8.9</v>
      </c>
    </row>
    <row r="44" spans="1:9" ht="18.75" customHeight="1" x14ac:dyDescent="0.25">
      <c r="A44" s="6">
        <v>6</v>
      </c>
      <c r="B44" s="6">
        <v>43</v>
      </c>
      <c r="C44" s="7">
        <v>45415</v>
      </c>
      <c r="D44" s="6">
        <v>3</v>
      </c>
      <c r="E44" s="8">
        <v>64.599999999999994</v>
      </c>
      <c r="F44" s="8">
        <v>0.161</v>
      </c>
      <c r="G44" s="8">
        <v>0</v>
      </c>
      <c r="H44" s="8">
        <v>7.8</v>
      </c>
    </row>
    <row r="45" spans="1:9" ht="18.75" customHeight="1" x14ac:dyDescent="0.25">
      <c r="A45" s="6">
        <v>7</v>
      </c>
      <c r="B45" s="6">
        <v>44</v>
      </c>
      <c r="C45" s="7">
        <v>45416</v>
      </c>
      <c r="D45" s="6">
        <v>0</v>
      </c>
      <c r="E45" s="8">
        <v>63.1</v>
      </c>
      <c r="F45" s="8">
        <v>0.22</v>
      </c>
      <c r="G45" s="8">
        <v>0</v>
      </c>
      <c r="H45" s="8">
        <v>8.5</v>
      </c>
    </row>
    <row r="46" spans="1:9" ht="18.75" customHeight="1" x14ac:dyDescent="0.25">
      <c r="A46" s="6">
        <v>1</v>
      </c>
      <c r="B46" s="6">
        <v>45</v>
      </c>
      <c r="C46" s="7">
        <v>45417</v>
      </c>
      <c r="D46" s="6">
        <v>52</v>
      </c>
      <c r="E46" s="8">
        <v>58.8</v>
      </c>
      <c r="F46" s="8">
        <v>0</v>
      </c>
      <c r="G46" s="8">
        <v>0</v>
      </c>
      <c r="H46" s="8">
        <v>8.1</v>
      </c>
      <c r="I46" s="36" t="s">
        <v>13</v>
      </c>
    </row>
    <row r="47" spans="1:9" ht="18.75" customHeight="1" x14ac:dyDescent="0.25">
      <c r="A47" s="6">
        <v>2</v>
      </c>
      <c r="B47" s="6">
        <v>46</v>
      </c>
      <c r="C47" s="7">
        <v>45418</v>
      </c>
      <c r="D47" s="6">
        <v>18</v>
      </c>
      <c r="E47" s="8">
        <v>58.1</v>
      </c>
      <c r="F47" s="8">
        <v>0</v>
      </c>
      <c r="G47" s="8">
        <v>0</v>
      </c>
      <c r="H47" s="8">
        <v>8.6999999999999993</v>
      </c>
    </row>
    <row r="48" spans="1:9" ht="18.75" customHeight="1" x14ac:dyDescent="0.25">
      <c r="A48" s="6">
        <v>3</v>
      </c>
      <c r="B48" s="6">
        <v>47</v>
      </c>
      <c r="C48" s="7">
        <v>45419</v>
      </c>
      <c r="D48" s="6">
        <v>0</v>
      </c>
      <c r="E48" s="8">
        <v>65.3</v>
      </c>
      <c r="F48" s="8">
        <v>0.78</v>
      </c>
      <c r="G48" s="8">
        <v>0</v>
      </c>
      <c r="H48" s="8">
        <v>10.1</v>
      </c>
    </row>
    <row r="49" spans="1:9" ht="18.75" customHeight="1" x14ac:dyDescent="0.25">
      <c r="A49" s="6">
        <v>4</v>
      </c>
      <c r="B49" s="6">
        <v>48</v>
      </c>
      <c r="C49" s="7">
        <v>45420</v>
      </c>
      <c r="D49" s="6">
        <v>0</v>
      </c>
      <c r="E49" s="8">
        <v>66.7</v>
      </c>
      <c r="F49" s="8">
        <v>0</v>
      </c>
      <c r="G49" s="8">
        <v>0</v>
      </c>
      <c r="H49" s="8">
        <v>7.1</v>
      </c>
    </row>
    <row r="50" spans="1:9" ht="18.75" customHeight="1" x14ac:dyDescent="0.25">
      <c r="A50" s="6">
        <v>5</v>
      </c>
      <c r="B50" s="6">
        <v>49</v>
      </c>
      <c r="C50" s="7">
        <v>45421</v>
      </c>
      <c r="D50" s="6">
        <v>0</v>
      </c>
      <c r="E50" s="8">
        <v>58.8</v>
      </c>
      <c r="F50" s="8">
        <v>0.51200000000000001</v>
      </c>
      <c r="G50" s="8">
        <v>0</v>
      </c>
      <c r="H50" s="8">
        <v>11.4</v>
      </c>
    </row>
    <row r="51" spans="1:9" ht="18.75" customHeight="1" x14ac:dyDescent="0.25">
      <c r="A51" s="6">
        <v>6</v>
      </c>
      <c r="B51" s="6">
        <v>50</v>
      </c>
      <c r="C51" s="7">
        <v>45422</v>
      </c>
      <c r="D51" s="6">
        <v>0</v>
      </c>
      <c r="E51" s="8">
        <v>55</v>
      </c>
      <c r="F51" s="8">
        <v>0.11</v>
      </c>
      <c r="G51" s="8">
        <v>0</v>
      </c>
      <c r="H51" s="8">
        <v>8.5</v>
      </c>
    </row>
    <row r="52" spans="1:9" ht="18.75" customHeight="1" x14ac:dyDescent="0.25">
      <c r="A52" s="6">
        <v>7</v>
      </c>
      <c r="B52" s="6">
        <v>51</v>
      </c>
      <c r="C52" s="7">
        <v>45423</v>
      </c>
      <c r="D52" s="6">
        <v>0</v>
      </c>
      <c r="E52" s="8">
        <v>59.7</v>
      </c>
      <c r="F52" s="8">
        <v>0</v>
      </c>
      <c r="G52" s="8">
        <v>0</v>
      </c>
      <c r="H52" s="8">
        <v>9.6</v>
      </c>
    </row>
    <row r="53" spans="1:9" ht="18.75" customHeight="1" x14ac:dyDescent="0.25">
      <c r="A53" s="6">
        <v>1</v>
      </c>
      <c r="B53" s="6">
        <v>52</v>
      </c>
      <c r="C53" s="7">
        <v>45424</v>
      </c>
      <c r="D53" s="6">
        <v>137</v>
      </c>
      <c r="E53" s="8">
        <v>63.7</v>
      </c>
      <c r="F53" s="8">
        <v>0</v>
      </c>
      <c r="G53" s="8">
        <v>0</v>
      </c>
      <c r="H53" s="8">
        <v>9.4</v>
      </c>
      <c r="I53" s="36" t="s">
        <v>14</v>
      </c>
    </row>
    <row r="54" spans="1:9" ht="18.75" customHeight="1" x14ac:dyDescent="0.25">
      <c r="A54" s="6">
        <v>2</v>
      </c>
      <c r="B54" s="6">
        <v>53</v>
      </c>
      <c r="C54" s="7">
        <v>45425</v>
      </c>
      <c r="D54" s="6">
        <v>5</v>
      </c>
      <c r="E54" s="8">
        <v>72.3</v>
      </c>
      <c r="F54" s="8">
        <v>0.11799999999999999</v>
      </c>
      <c r="G54" s="8">
        <v>0</v>
      </c>
      <c r="H54" s="8">
        <v>8.5</v>
      </c>
    </row>
    <row r="55" spans="1:9" ht="18.75" customHeight="1" x14ac:dyDescent="0.25">
      <c r="A55" s="6">
        <v>3</v>
      </c>
      <c r="B55" s="6">
        <v>54</v>
      </c>
      <c r="C55" s="7">
        <v>45426</v>
      </c>
      <c r="D55" s="6">
        <v>3</v>
      </c>
      <c r="E55" s="8">
        <v>58.1</v>
      </c>
      <c r="F55" s="8">
        <v>3.1E-2</v>
      </c>
      <c r="G55" s="8">
        <v>0</v>
      </c>
      <c r="H55" s="8">
        <v>14.3</v>
      </c>
    </row>
    <row r="56" spans="1:9" ht="18.75" customHeight="1" x14ac:dyDescent="0.25">
      <c r="A56" s="6">
        <v>4</v>
      </c>
      <c r="B56" s="6">
        <v>55</v>
      </c>
      <c r="C56" s="7">
        <v>45427</v>
      </c>
      <c r="D56" s="6">
        <v>5</v>
      </c>
      <c r="E56" s="8">
        <v>57.9</v>
      </c>
      <c r="F56" s="8">
        <v>0</v>
      </c>
      <c r="G56" s="8">
        <v>0</v>
      </c>
      <c r="H56" s="8">
        <v>11.9</v>
      </c>
    </row>
    <row r="57" spans="1:9" ht="18.75" customHeight="1" x14ac:dyDescent="0.25">
      <c r="A57" s="6">
        <v>5</v>
      </c>
      <c r="B57" s="6">
        <v>56</v>
      </c>
      <c r="C57" s="7">
        <v>45428</v>
      </c>
      <c r="D57" s="6">
        <v>11</v>
      </c>
      <c r="E57" s="8">
        <v>61.9</v>
      </c>
      <c r="F57" s="8">
        <v>0.48</v>
      </c>
      <c r="G57" s="8">
        <v>0</v>
      </c>
      <c r="H57" s="8">
        <v>7.1</v>
      </c>
    </row>
    <row r="58" spans="1:9" ht="18.75" customHeight="1" x14ac:dyDescent="0.25">
      <c r="A58" s="6">
        <v>6</v>
      </c>
      <c r="B58" s="6">
        <v>57</v>
      </c>
      <c r="C58" s="7">
        <v>45429</v>
      </c>
      <c r="D58" s="6">
        <v>24</v>
      </c>
      <c r="E58" s="8">
        <v>68.5</v>
      </c>
      <c r="F58" s="8">
        <v>0</v>
      </c>
      <c r="G58" s="8">
        <v>0</v>
      </c>
      <c r="H58" s="8">
        <v>5.3</v>
      </c>
    </row>
    <row r="59" spans="1:9" ht="18.75" customHeight="1" x14ac:dyDescent="0.25">
      <c r="A59" s="6">
        <v>7</v>
      </c>
      <c r="B59" s="6">
        <v>58</v>
      </c>
      <c r="C59" s="7">
        <v>45430</v>
      </c>
      <c r="D59" s="6">
        <v>36</v>
      </c>
      <c r="E59" s="8">
        <v>71.2</v>
      </c>
      <c r="F59" s="8">
        <v>0</v>
      </c>
      <c r="G59" s="8">
        <v>0</v>
      </c>
      <c r="H59" s="8">
        <v>6</v>
      </c>
    </row>
    <row r="60" spans="1:9" ht="18.75" customHeight="1" x14ac:dyDescent="0.25">
      <c r="A60" s="6">
        <v>1</v>
      </c>
      <c r="B60" s="6">
        <v>59</v>
      </c>
      <c r="C60" s="7">
        <v>45431</v>
      </c>
      <c r="D60" s="6">
        <v>12</v>
      </c>
      <c r="E60" s="8">
        <v>74.5</v>
      </c>
      <c r="F60" s="8">
        <v>0</v>
      </c>
      <c r="G60" s="8">
        <v>0</v>
      </c>
      <c r="H60" s="8">
        <v>9.1999999999999993</v>
      </c>
    </row>
    <row r="61" spans="1:9" ht="18.75" customHeight="1" x14ac:dyDescent="0.25">
      <c r="A61" s="6">
        <v>2</v>
      </c>
      <c r="B61" s="6">
        <v>60</v>
      </c>
      <c r="C61" s="7">
        <v>45432</v>
      </c>
      <c r="D61" s="6">
        <v>5</v>
      </c>
      <c r="E61" s="8">
        <v>71.099999999999994</v>
      </c>
      <c r="F61" s="8">
        <v>0</v>
      </c>
      <c r="G61" s="8">
        <v>0</v>
      </c>
      <c r="H61" s="8">
        <v>10.5</v>
      </c>
    </row>
    <row r="62" spans="1:9" ht="18.75" customHeight="1" x14ac:dyDescent="0.25">
      <c r="A62" s="6">
        <v>3</v>
      </c>
      <c r="B62" s="6">
        <v>61</v>
      </c>
      <c r="C62" s="7">
        <v>45433</v>
      </c>
      <c r="D62" s="6">
        <v>19</v>
      </c>
      <c r="E62" s="8">
        <v>74.7</v>
      </c>
      <c r="F62" s="8">
        <v>0</v>
      </c>
      <c r="G62" s="8">
        <v>0</v>
      </c>
      <c r="H62" s="8">
        <v>15.2</v>
      </c>
    </row>
    <row r="63" spans="1:9" ht="18.75" customHeight="1" x14ac:dyDescent="0.25">
      <c r="A63" s="6">
        <v>4</v>
      </c>
      <c r="B63" s="6">
        <v>62</v>
      </c>
      <c r="C63" s="7">
        <v>45434</v>
      </c>
      <c r="D63" s="6">
        <v>27</v>
      </c>
      <c r="E63" s="8">
        <v>73.599999999999994</v>
      </c>
      <c r="F63" s="8">
        <v>0</v>
      </c>
      <c r="G63" s="8">
        <v>0</v>
      </c>
      <c r="H63" s="8">
        <v>14.8</v>
      </c>
    </row>
    <row r="64" spans="1:9" ht="18.75" customHeight="1" x14ac:dyDescent="0.25">
      <c r="A64" s="6">
        <v>5</v>
      </c>
      <c r="B64" s="6">
        <v>63</v>
      </c>
      <c r="C64" s="7">
        <v>45435</v>
      </c>
      <c r="D64" s="6">
        <v>20</v>
      </c>
      <c r="E64" s="8">
        <v>69.099999999999994</v>
      </c>
      <c r="F64" s="8">
        <v>0</v>
      </c>
      <c r="G64" s="8">
        <v>0</v>
      </c>
      <c r="H64" s="8">
        <v>5.8</v>
      </c>
    </row>
    <row r="65" spans="1:9" ht="18.75" customHeight="1" x14ac:dyDescent="0.25">
      <c r="A65" s="6">
        <v>6</v>
      </c>
      <c r="B65" s="6">
        <v>64</v>
      </c>
      <c r="C65" s="7">
        <v>45436</v>
      </c>
      <c r="D65" s="6">
        <v>25</v>
      </c>
      <c r="E65" s="8">
        <v>69.400000000000006</v>
      </c>
      <c r="F65" s="8">
        <v>5.8999999999999997E-2</v>
      </c>
      <c r="G65" s="8">
        <v>0</v>
      </c>
      <c r="H65" s="8">
        <v>10.1</v>
      </c>
    </row>
    <row r="66" spans="1:9" ht="18.75" customHeight="1" x14ac:dyDescent="0.25">
      <c r="A66" s="6">
        <v>7</v>
      </c>
      <c r="B66" s="6">
        <v>65</v>
      </c>
      <c r="C66" s="7">
        <v>45437</v>
      </c>
      <c r="D66" s="6">
        <v>26</v>
      </c>
      <c r="E66" s="8">
        <v>67.599999999999994</v>
      </c>
      <c r="F66" s="8">
        <v>0</v>
      </c>
      <c r="G66" s="8">
        <v>0</v>
      </c>
      <c r="H66" s="8">
        <v>8.3000000000000007</v>
      </c>
    </row>
    <row r="67" spans="1:9" ht="18.75" customHeight="1" x14ac:dyDescent="0.25">
      <c r="A67" s="6">
        <v>1</v>
      </c>
      <c r="B67" s="6">
        <v>66</v>
      </c>
      <c r="C67" s="7">
        <v>45438</v>
      </c>
      <c r="D67" s="6">
        <v>20</v>
      </c>
      <c r="E67" s="8">
        <v>63.3</v>
      </c>
      <c r="F67" s="8">
        <v>0.74</v>
      </c>
      <c r="G67" s="8">
        <v>0</v>
      </c>
      <c r="H67" s="8">
        <v>8.9</v>
      </c>
    </row>
    <row r="68" spans="1:9" ht="18.75" customHeight="1" x14ac:dyDescent="0.25">
      <c r="A68" s="6">
        <v>2</v>
      </c>
      <c r="B68" s="6">
        <v>67</v>
      </c>
      <c r="C68" s="7">
        <v>45439</v>
      </c>
      <c r="D68" s="6">
        <v>0</v>
      </c>
      <c r="E68" s="8">
        <v>63.9</v>
      </c>
      <c r="F68" s="8">
        <v>0</v>
      </c>
      <c r="G68" s="8">
        <v>0</v>
      </c>
      <c r="H68" s="8">
        <v>11.2</v>
      </c>
      <c r="I68" s="36" t="s">
        <v>15</v>
      </c>
    </row>
    <row r="69" spans="1:9" ht="18.75" customHeight="1" x14ac:dyDescent="0.25">
      <c r="A69" s="6">
        <v>3</v>
      </c>
      <c r="B69" s="6">
        <v>68</v>
      </c>
      <c r="C69" s="7">
        <v>45440</v>
      </c>
      <c r="D69" s="6">
        <v>8</v>
      </c>
      <c r="E69" s="8">
        <v>63</v>
      </c>
      <c r="F69" s="8">
        <v>0.20899999999999999</v>
      </c>
      <c r="G69" s="8">
        <v>0</v>
      </c>
      <c r="H69" s="8">
        <v>7.8</v>
      </c>
    </row>
    <row r="70" spans="1:9" ht="18.75" customHeight="1" x14ac:dyDescent="0.25">
      <c r="A70" s="6">
        <v>4</v>
      </c>
      <c r="B70" s="6">
        <v>69</v>
      </c>
      <c r="C70" s="7">
        <v>45441</v>
      </c>
      <c r="D70" s="6">
        <v>17</v>
      </c>
      <c r="E70" s="8">
        <v>60.1</v>
      </c>
      <c r="F70" s="8">
        <v>0</v>
      </c>
      <c r="G70" s="8">
        <v>0</v>
      </c>
      <c r="H70" s="8">
        <v>10.9</v>
      </c>
    </row>
    <row r="71" spans="1:9" ht="18.75" customHeight="1" x14ac:dyDescent="0.25">
      <c r="A71" s="6">
        <v>5</v>
      </c>
      <c r="B71" s="6">
        <v>70</v>
      </c>
      <c r="C71" s="7">
        <v>45442</v>
      </c>
      <c r="D71" s="6">
        <v>13</v>
      </c>
      <c r="E71" s="8">
        <v>58.5</v>
      </c>
      <c r="F71" s="8">
        <v>0</v>
      </c>
      <c r="G71" s="8">
        <v>0</v>
      </c>
      <c r="H71" s="8">
        <v>7.1</v>
      </c>
    </row>
    <row r="72" spans="1:9" ht="18.75" customHeight="1" x14ac:dyDescent="0.25">
      <c r="A72" s="6">
        <v>6</v>
      </c>
      <c r="B72" s="6">
        <v>71</v>
      </c>
      <c r="C72" s="7">
        <v>45443</v>
      </c>
      <c r="D72" s="6">
        <v>6</v>
      </c>
      <c r="E72" s="8">
        <v>63.9</v>
      </c>
      <c r="F72" s="8">
        <v>0</v>
      </c>
      <c r="G72" s="8">
        <v>0</v>
      </c>
      <c r="H72" s="8">
        <v>7.1</v>
      </c>
    </row>
    <row r="73" spans="1:9" ht="18.75" customHeight="1" x14ac:dyDescent="0.25">
      <c r="A73" s="6">
        <v>7</v>
      </c>
      <c r="B73" s="6">
        <v>72</v>
      </c>
      <c r="C73" s="7">
        <v>45444</v>
      </c>
      <c r="D73" s="6">
        <v>16</v>
      </c>
      <c r="E73" s="8">
        <v>66.2</v>
      </c>
      <c r="F73" s="8">
        <v>0.94899999999999995</v>
      </c>
      <c r="G73" s="8">
        <v>0</v>
      </c>
      <c r="H73" s="8">
        <v>7</v>
      </c>
    </row>
    <row r="74" spans="1:9" ht="18.75" customHeight="1" x14ac:dyDescent="0.25">
      <c r="A74" s="6">
        <v>1</v>
      </c>
      <c r="B74" s="6">
        <v>73</v>
      </c>
      <c r="C74" s="7">
        <v>45445</v>
      </c>
      <c r="D74" s="6">
        <v>26</v>
      </c>
      <c r="E74" s="8">
        <v>64.900000000000006</v>
      </c>
      <c r="F74" s="8">
        <v>0</v>
      </c>
      <c r="G74" s="8">
        <v>0</v>
      </c>
      <c r="H74" s="8">
        <v>6.7</v>
      </c>
    </row>
    <row r="75" spans="1:9" ht="18.75" customHeight="1" x14ac:dyDescent="0.25">
      <c r="A75" s="6">
        <v>2</v>
      </c>
      <c r="B75" s="6">
        <v>74</v>
      </c>
      <c r="C75" s="7">
        <v>45446</v>
      </c>
      <c r="D75" s="6">
        <v>8</v>
      </c>
      <c r="E75" s="8">
        <v>70.5</v>
      </c>
      <c r="F75" s="8">
        <v>0</v>
      </c>
      <c r="G75" s="8">
        <v>0</v>
      </c>
      <c r="H75" s="8">
        <v>9.1999999999999993</v>
      </c>
    </row>
    <row r="76" spans="1:9" ht="18.75" customHeight="1" x14ac:dyDescent="0.25">
      <c r="A76" s="6">
        <v>3</v>
      </c>
      <c r="B76" s="6">
        <v>75</v>
      </c>
      <c r="C76" s="7">
        <v>45447</v>
      </c>
      <c r="D76" s="6">
        <v>9</v>
      </c>
      <c r="E76" s="8">
        <v>78.599999999999994</v>
      </c>
      <c r="F76" s="8">
        <v>0.13</v>
      </c>
      <c r="G76" s="8">
        <v>0</v>
      </c>
      <c r="H76" s="8">
        <v>8.1</v>
      </c>
    </row>
    <row r="77" spans="1:9" ht="18.75" customHeight="1" x14ac:dyDescent="0.25">
      <c r="A77" s="6">
        <v>4</v>
      </c>
      <c r="B77" s="6">
        <v>76</v>
      </c>
      <c r="C77" s="7">
        <v>45448</v>
      </c>
      <c r="D77" s="6">
        <v>3</v>
      </c>
      <c r="E77" s="8">
        <v>73.599999999999994</v>
      </c>
      <c r="F77" s="8">
        <v>0.29899999999999999</v>
      </c>
      <c r="G77" s="8">
        <v>0</v>
      </c>
      <c r="H77" s="8">
        <v>9.8000000000000007</v>
      </c>
    </row>
    <row r="78" spans="1:9" ht="18.75" customHeight="1" x14ac:dyDescent="0.25">
      <c r="A78" s="6">
        <v>5</v>
      </c>
      <c r="B78" s="6">
        <v>77</v>
      </c>
      <c r="C78" s="7">
        <v>45449</v>
      </c>
      <c r="D78" s="6">
        <v>13</v>
      </c>
      <c r="E78" s="8">
        <v>72.3</v>
      </c>
      <c r="F78" s="8">
        <v>0</v>
      </c>
      <c r="G78" s="8">
        <v>0</v>
      </c>
      <c r="H78" s="8">
        <v>14.1</v>
      </c>
    </row>
    <row r="79" spans="1:9" ht="18.75" customHeight="1" x14ac:dyDescent="0.25">
      <c r="A79" s="6">
        <v>6</v>
      </c>
      <c r="B79" s="6">
        <v>78</v>
      </c>
      <c r="C79" s="7">
        <v>45450</v>
      </c>
      <c r="D79" s="6">
        <v>43</v>
      </c>
      <c r="E79" s="8">
        <v>69.400000000000006</v>
      </c>
      <c r="F79" s="8">
        <v>0</v>
      </c>
      <c r="G79" s="8">
        <v>0</v>
      </c>
      <c r="H79" s="8">
        <v>10.9</v>
      </c>
    </row>
    <row r="80" spans="1:9" ht="18.75" customHeight="1" x14ac:dyDescent="0.25">
      <c r="A80" s="6">
        <v>7</v>
      </c>
      <c r="B80" s="6">
        <v>79</v>
      </c>
      <c r="C80" s="7">
        <v>45451</v>
      </c>
      <c r="D80" s="6">
        <v>15</v>
      </c>
      <c r="E80" s="8">
        <v>67.3</v>
      </c>
      <c r="F80" s="8">
        <v>7.0999999999999994E-2</v>
      </c>
      <c r="G80" s="8">
        <v>0</v>
      </c>
      <c r="H80" s="8">
        <v>6.7</v>
      </c>
    </row>
    <row r="81" spans="1:9" ht="18.75" customHeight="1" x14ac:dyDescent="0.25">
      <c r="A81" s="6">
        <v>1</v>
      </c>
      <c r="B81" s="6">
        <v>80</v>
      </c>
      <c r="C81" s="7">
        <v>45452</v>
      </c>
      <c r="D81" s="6">
        <v>35</v>
      </c>
      <c r="E81" s="8">
        <v>64.8</v>
      </c>
      <c r="F81" s="8">
        <v>0</v>
      </c>
      <c r="G81" s="8">
        <v>0</v>
      </c>
      <c r="H81" s="8">
        <v>13</v>
      </c>
    </row>
    <row r="82" spans="1:9" ht="18.75" customHeight="1" x14ac:dyDescent="0.25">
      <c r="A82" s="6">
        <v>2</v>
      </c>
      <c r="B82" s="6">
        <v>81</v>
      </c>
      <c r="C82" s="7">
        <v>45453</v>
      </c>
      <c r="D82" s="6">
        <v>8</v>
      </c>
      <c r="E82" s="8">
        <v>61.2</v>
      </c>
      <c r="F82" s="8">
        <v>1.2E-2</v>
      </c>
      <c r="G82" s="8">
        <v>0</v>
      </c>
      <c r="H82" s="8">
        <v>10.5</v>
      </c>
    </row>
    <row r="83" spans="1:9" ht="18.75" customHeight="1" x14ac:dyDescent="0.25">
      <c r="A83" s="6">
        <v>3</v>
      </c>
      <c r="B83" s="6">
        <v>82</v>
      </c>
      <c r="C83" s="7">
        <v>45454</v>
      </c>
      <c r="D83" s="6">
        <v>14</v>
      </c>
      <c r="E83" s="8">
        <v>62.8</v>
      </c>
      <c r="F83" s="8">
        <v>0</v>
      </c>
      <c r="G83" s="8">
        <v>0</v>
      </c>
      <c r="H83" s="8">
        <v>5.6</v>
      </c>
    </row>
    <row r="84" spans="1:9" ht="18.75" customHeight="1" x14ac:dyDescent="0.25">
      <c r="A84" s="6">
        <v>4</v>
      </c>
      <c r="B84" s="6">
        <v>83</v>
      </c>
      <c r="C84" s="7">
        <v>45455</v>
      </c>
      <c r="D84" s="6">
        <v>44</v>
      </c>
      <c r="E84" s="8">
        <v>76.5</v>
      </c>
      <c r="F84" s="8">
        <v>0</v>
      </c>
      <c r="G84" s="8">
        <v>0</v>
      </c>
      <c r="H84" s="8">
        <v>8.1</v>
      </c>
    </row>
    <row r="85" spans="1:9" ht="18.75" customHeight="1" x14ac:dyDescent="0.25">
      <c r="A85" s="6">
        <v>5</v>
      </c>
      <c r="B85" s="6">
        <v>84</v>
      </c>
      <c r="C85" s="7">
        <v>45456</v>
      </c>
      <c r="D85" s="6">
        <v>4</v>
      </c>
      <c r="E85" s="8">
        <v>81.5</v>
      </c>
      <c r="F85" s="8">
        <v>1.2E-2</v>
      </c>
      <c r="G85" s="8">
        <v>0</v>
      </c>
      <c r="H85" s="8">
        <v>9.6</v>
      </c>
    </row>
    <row r="86" spans="1:9" ht="18.75" customHeight="1" x14ac:dyDescent="0.25">
      <c r="A86" s="6">
        <v>6</v>
      </c>
      <c r="B86" s="6">
        <v>85</v>
      </c>
      <c r="C86" s="7">
        <v>45457</v>
      </c>
      <c r="D86" s="6">
        <v>22</v>
      </c>
      <c r="E86" s="8">
        <v>77.400000000000006</v>
      </c>
      <c r="F86" s="8">
        <v>0</v>
      </c>
      <c r="G86" s="8">
        <v>0</v>
      </c>
      <c r="H86" s="8">
        <v>8.6999999999999993</v>
      </c>
    </row>
    <row r="87" spans="1:9" ht="18.75" customHeight="1" x14ac:dyDescent="0.25">
      <c r="A87" s="6">
        <v>7</v>
      </c>
      <c r="B87" s="6">
        <v>86</v>
      </c>
      <c r="C87" s="7">
        <v>45458</v>
      </c>
      <c r="D87" s="6">
        <v>20</v>
      </c>
      <c r="E87" s="8">
        <v>70.900000000000006</v>
      </c>
      <c r="F87" s="8">
        <v>0</v>
      </c>
      <c r="G87" s="8">
        <v>0</v>
      </c>
      <c r="H87" s="8">
        <v>10.1</v>
      </c>
    </row>
    <row r="88" spans="1:9" ht="18.75" customHeight="1" x14ac:dyDescent="0.25">
      <c r="A88" s="6">
        <v>1</v>
      </c>
      <c r="B88" s="6">
        <v>87</v>
      </c>
      <c r="C88" s="7">
        <v>45459</v>
      </c>
      <c r="D88" s="6">
        <v>84</v>
      </c>
      <c r="E88" s="8">
        <v>80.400000000000006</v>
      </c>
      <c r="F88" s="8">
        <v>1.2E-2</v>
      </c>
      <c r="G88" s="8">
        <v>0</v>
      </c>
      <c r="H88" s="8">
        <v>12.6</v>
      </c>
      <c r="I88" s="36" t="s">
        <v>16</v>
      </c>
    </row>
    <row r="89" spans="1:9" ht="18.75" customHeight="1" x14ac:dyDescent="0.25">
      <c r="A89" s="6">
        <v>2</v>
      </c>
      <c r="B89" s="6">
        <v>88</v>
      </c>
      <c r="C89" s="7">
        <v>45460</v>
      </c>
      <c r="D89" s="6">
        <v>13</v>
      </c>
      <c r="E89" s="8">
        <v>84.4</v>
      </c>
      <c r="F89" s="8">
        <v>0</v>
      </c>
      <c r="G89" s="8">
        <v>0</v>
      </c>
      <c r="H89" s="8">
        <v>12.3</v>
      </c>
    </row>
    <row r="90" spans="1:9" ht="18.75" customHeight="1" x14ac:dyDescent="0.25">
      <c r="A90" s="6">
        <v>3</v>
      </c>
      <c r="B90" s="6">
        <v>89</v>
      </c>
      <c r="C90" s="7">
        <v>45461</v>
      </c>
      <c r="D90" s="6">
        <v>3</v>
      </c>
      <c r="E90" s="8">
        <v>85.3</v>
      </c>
      <c r="F90" s="8">
        <v>0</v>
      </c>
      <c r="G90" s="8">
        <v>0</v>
      </c>
      <c r="H90" s="8">
        <v>15.4</v>
      </c>
    </row>
    <row r="91" spans="1:9" ht="18.75" customHeight="1" x14ac:dyDescent="0.25">
      <c r="A91" s="6">
        <v>4</v>
      </c>
      <c r="B91" s="6">
        <v>90</v>
      </c>
      <c r="C91" s="7">
        <v>45462</v>
      </c>
      <c r="D91" s="6">
        <v>35</v>
      </c>
      <c r="E91" s="8">
        <v>84.7</v>
      </c>
      <c r="F91" s="8">
        <v>9.0999999999999998E-2</v>
      </c>
      <c r="G91" s="8">
        <v>0</v>
      </c>
      <c r="H91" s="8">
        <v>9.6</v>
      </c>
      <c r="I91" s="36" t="s">
        <v>17</v>
      </c>
    </row>
    <row r="92" spans="1:9" ht="18.75" customHeight="1" x14ac:dyDescent="0.25">
      <c r="A92" s="6">
        <v>5</v>
      </c>
      <c r="B92" s="6">
        <v>91</v>
      </c>
      <c r="C92" s="7">
        <v>45463</v>
      </c>
      <c r="D92" s="6">
        <v>7</v>
      </c>
      <c r="E92" s="8">
        <v>77</v>
      </c>
      <c r="F92" s="8">
        <v>1.2E-2</v>
      </c>
      <c r="G92" s="8">
        <v>0</v>
      </c>
      <c r="H92" s="8">
        <v>8.5</v>
      </c>
    </row>
    <row r="93" spans="1:9" ht="18.75" customHeight="1" x14ac:dyDescent="0.25">
      <c r="A93" s="6">
        <v>6</v>
      </c>
      <c r="B93" s="6">
        <v>92</v>
      </c>
      <c r="C93" s="7">
        <v>45464</v>
      </c>
      <c r="D93" s="6">
        <v>9</v>
      </c>
      <c r="E93" s="8">
        <v>76.3</v>
      </c>
      <c r="F93" s="8">
        <v>0</v>
      </c>
      <c r="G93" s="8">
        <v>0</v>
      </c>
      <c r="H93" s="8">
        <v>6</v>
      </c>
    </row>
    <row r="94" spans="1:9" ht="18.75" customHeight="1" x14ac:dyDescent="0.25">
      <c r="A94" s="6">
        <v>7</v>
      </c>
      <c r="B94" s="6">
        <v>93</v>
      </c>
      <c r="C94" s="7">
        <v>45465</v>
      </c>
      <c r="D94" s="6">
        <v>29</v>
      </c>
      <c r="E94" s="8">
        <v>82.4</v>
      </c>
      <c r="F94" s="8">
        <v>0.90900000000000003</v>
      </c>
      <c r="G94" s="8">
        <v>0</v>
      </c>
      <c r="H94" s="8">
        <v>14.1</v>
      </c>
    </row>
    <row r="95" spans="1:9" ht="18.75" customHeight="1" x14ac:dyDescent="0.25">
      <c r="A95" s="6">
        <v>1</v>
      </c>
      <c r="B95" s="6">
        <v>94</v>
      </c>
      <c r="C95" s="7">
        <v>45466</v>
      </c>
      <c r="D95" s="6">
        <v>39</v>
      </c>
      <c r="E95" s="8">
        <v>76.5</v>
      </c>
      <c r="F95" s="8">
        <v>0</v>
      </c>
      <c r="G95" s="8">
        <v>0</v>
      </c>
      <c r="H95" s="8">
        <v>9.8000000000000007</v>
      </c>
    </row>
    <row r="96" spans="1:9" ht="18.75" customHeight="1" x14ac:dyDescent="0.25">
      <c r="A96" s="6">
        <v>2</v>
      </c>
      <c r="B96" s="6">
        <v>95</v>
      </c>
      <c r="C96" s="7">
        <v>45467</v>
      </c>
      <c r="D96" s="6">
        <v>36</v>
      </c>
      <c r="E96" s="8">
        <v>75.599999999999994</v>
      </c>
      <c r="F96" s="8">
        <v>0</v>
      </c>
      <c r="G96" s="8">
        <v>0</v>
      </c>
      <c r="H96" s="8">
        <v>5.6</v>
      </c>
    </row>
    <row r="97" spans="1:9" ht="18.75" customHeight="1" x14ac:dyDescent="0.25">
      <c r="A97" s="6">
        <v>3</v>
      </c>
      <c r="B97" s="6">
        <v>96</v>
      </c>
      <c r="C97" s="7">
        <v>45468</v>
      </c>
      <c r="D97" s="6">
        <v>5</v>
      </c>
      <c r="E97" s="8">
        <v>79.5</v>
      </c>
      <c r="F97" s="8">
        <v>0.44900000000000001</v>
      </c>
      <c r="G97" s="8">
        <v>0</v>
      </c>
      <c r="H97" s="8">
        <v>13.4</v>
      </c>
    </row>
    <row r="98" spans="1:9" ht="18.75" customHeight="1" x14ac:dyDescent="0.25">
      <c r="A98" s="6">
        <v>4</v>
      </c>
      <c r="B98" s="6">
        <v>97</v>
      </c>
      <c r="C98" s="7">
        <v>45469</v>
      </c>
      <c r="D98" s="6">
        <v>15</v>
      </c>
      <c r="E98" s="8">
        <v>79</v>
      </c>
      <c r="F98" s="8">
        <v>0</v>
      </c>
      <c r="G98" s="8">
        <v>0</v>
      </c>
      <c r="H98" s="8">
        <v>9.6</v>
      </c>
    </row>
    <row r="99" spans="1:9" ht="18.75" customHeight="1" x14ac:dyDescent="0.25">
      <c r="A99" s="6">
        <v>5</v>
      </c>
      <c r="B99" s="6">
        <v>98</v>
      </c>
      <c r="C99" s="7">
        <v>45470</v>
      </c>
      <c r="D99" s="6">
        <v>20</v>
      </c>
      <c r="E99" s="8">
        <v>68.5</v>
      </c>
      <c r="F99" s="8">
        <v>0</v>
      </c>
      <c r="G99" s="8">
        <v>0</v>
      </c>
      <c r="H99" s="8">
        <v>9.8000000000000007</v>
      </c>
    </row>
    <row r="100" spans="1:9" ht="18.75" customHeight="1" x14ac:dyDescent="0.25">
      <c r="A100" s="6">
        <v>6</v>
      </c>
      <c r="B100" s="6">
        <v>99</v>
      </c>
      <c r="C100" s="7">
        <v>45471</v>
      </c>
      <c r="D100" s="6">
        <v>10</v>
      </c>
      <c r="E100" s="8">
        <v>68</v>
      </c>
      <c r="F100" s="8">
        <v>0.15</v>
      </c>
      <c r="G100" s="8">
        <v>0</v>
      </c>
      <c r="H100" s="8">
        <v>7.1</v>
      </c>
    </row>
    <row r="101" spans="1:9" ht="18.75" customHeight="1" x14ac:dyDescent="0.25">
      <c r="A101" s="6">
        <v>7</v>
      </c>
      <c r="B101" s="6">
        <v>100</v>
      </c>
      <c r="C101" s="7">
        <v>45472</v>
      </c>
      <c r="D101" s="6">
        <v>7</v>
      </c>
      <c r="E101" s="8">
        <v>78.099999999999994</v>
      </c>
      <c r="F101" s="8">
        <v>1.2E-2</v>
      </c>
      <c r="G101" s="8">
        <v>0</v>
      </c>
      <c r="H101" s="8">
        <v>10.5</v>
      </c>
    </row>
    <row r="102" spans="1:9" ht="18.75" customHeight="1" x14ac:dyDescent="0.25">
      <c r="A102" s="6">
        <v>1</v>
      </c>
      <c r="B102" s="6">
        <v>101</v>
      </c>
      <c r="C102" s="7">
        <v>45473</v>
      </c>
      <c r="D102" s="6">
        <v>27</v>
      </c>
      <c r="E102" s="8">
        <v>69.099999999999994</v>
      </c>
      <c r="F102" s="8">
        <v>0</v>
      </c>
      <c r="G102" s="8">
        <v>0</v>
      </c>
      <c r="H102" s="8">
        <v>12.1</v>
      </c>
    </row>
    <row r="103" spans="1:9" ht="18.75" customHeight="1" x14ac:dyDescent="0.25">
      <c r="A103" s="6">
        <v>2</v>
      </c>
      <c r="B103" s="6">
        <v>102</v>
      </c>
      <c r="C103" s="7">
        <v>45474</v>
      </c>
      <c r="D103" s="6">
        <v>24</v>
      </c>
      <c r="E103" s="8">
        <v>65.3</v>
      </c>
      <c r="F103" s="8">
        <v>0</v>
      </c>
      <c r="G103" s="8">
        <v>0</v>
      </c>
      <c r="H103" s="8">
        <v>7.4</v>
      </c>
    </row>
    <row r="104" spans="1:9" ht="18.75" customHeight="1" x14ac:dyDescent="0.25">
      <c r="A104" s="6">
        <v>3</v>
      </c>
      <c r="B104" s="6">
        <v>103</v>
      </c>
      <c r="C104" s="7">
        <v>45475</v>
      </c>
      <c r="D104" s="6">
        <v>19</v>
      </c>
      <c r="E104" s="8">
        <v>71.8</v>
      </c>
      <c r="F104" s="8">
        <v>1.2E-2</v>
      </c>
      <c r="G104" s="8">
        <v>0</v>
      </c>
      <c r="H104" s="8">
        <v>11.4</v>
      </c>
    </row>
    <row r="105" spans="1:9" ht="18.75" customHeight="1" x14ac:dyDescent="0.25">
      <c r="A105" s="6">
        <v>4</v>
      </c>
      <c r="B105" s="6">
        <v>104</v>
      </c>
      <c r="C105" s="7">
        <v>45476</v>
      </c>
      <c r="D105" s="6">
        <v>2</v>
      </c>
      <c r="E105" s="8">
        <v>79.900000000000006</v>
      </c>
      <c r="F105" s="8">
        <v>9.0999999999999998E-2</v>
      </c>
      <c r="G105" s="8">
        <v>0</v>
      </c>
      <c r="H105" s="8">
        <v>7.6</v>
      </c>
    </row>
    <row r="106" spans="1:9" ht="18.75" customHeight="1" x14ac:dyDescent="0.25">
      <c r="A106" s="6">
        <v>5</v>
      </c>
      <c r="B106" s="6">
        <v>105</v>
      </c>
      <c r="C106" s="7">
        <v>45477</v>
      </c>
      <c r="D106" s="6">
        <v>0</v>
      </c>
      <c r="E106" s="8">
        <v>77.400000000000006</v>
      </c>
      <c r="F106" s="8">
        <v>0</v>
      </c>
      <c r="G106" s="8">
        <v>0</v>
      </c>
      <c r="H106" s="8">
        <v>3.1</v>
      </c>
      <c r="I106" s="36" t="s">
        <v>18</v>
      </c>
    </row>
    <row r="107" spans="1:9" ht="18.75" customHeight="1" x14ac:dyDescent="0.25">
      <c r="A107" s="6">
        <v>6</v>
      </c>
      <c r="B107" s="6">
        <v>106</v>
      </c>
      <c r="C107" s="7">
        <v>45478</v>
      </c>
      <c r="D107" s="6">
        <v>13</v>
      </c>
      <c r="E107" s="8">
        <v>76.3</v>
      </c>
      <c r="F107" s="8">
        <v>0</v>
      </c>
      <c r="G107" s="8">
        <v>0</v>
      </c>
      <c r="H107" s="8">
        <v>11.2</v>
      </c>
    </row>
    <row r="108" spans="1:9" ht="18.75" customHeight="1" x14ac:dyDescent="0.25">
      <c r="A108" s="6">
        <v>7</v>
      </c>
      <c r="B108" s="6">
        <v>107</v>
      </c>
      <c r="C108" s="7">
        <v>45479</v>
      </c>
      <c r="D108" s="6">
        <v>19</v>
      </c>
      <c r="E108" s="8">
        <v>72.3</v>
      </c>
      <c r="F108" s="8">
        <v>0</v>
      </c>
      <c r="G108" s="8">
        <v>0</v>
      </c>
      <c r="H108" s="8">
        <v>5.3</v>
      </c>
    </row>
    <row r="109" spans="1:9" ht="18.75" customHeight="1" x14ac:dyDescent="0.25">
      <c r="A109" s="6">
        <v>1</v>
      </c>
      <c r="B109" s="6">
        <v>108</v>
      </c>
      <c r="C109" s="7">
        <v>45480</v>
      </c>
      <c r="D109" s="6">
        <v>15</v>
      </c>
      <c r="E109" s="8">
        <v>73.900000000000006</v>
      </c>
      <c r="F109" s="8">
        <v>1.071</v>
      </c>
      <c r="G109" s="8">
        <v>0</v>
      </c>
      <c r="H109" s="8">
        <v>7.4</v>
      </c>
    </row>
    <row r="110" spans="1:9" ht="18.75" customHeight="1" x14ac:dyDescent="0.25">
      <c r="A110" s="6">
        <v>2</v>
      </c>
      <c r="B110" s="6">
        <v>109</v>
      </c>
      <c r="C110" s="7">
        <v>45481</v>
      </c>
      <c r="D110" s="6">
        <v>28</v>
      </c>
      <c r="E110" s="8">
        <v>75.2</v>
      </c>
      <c r="F110" s="8">
        <v>0</v>
      </c>
      <c r="G110" s="8">
        <v>0</v>
      </c>
      <c r="H110" s="8">
        <v>7.8</v>
      </c>
    </row>
    <row r="111" spans="1:9" ht="18.75" customHeight="1" x14ac:dyDescent="0.25">
      <c r="A111" s="6">
        <v>3</v>
      </c>
      <c r="B111" s="6">
        <v>110</v>
      </c>
      <c r="C111" s="7">
        <v>45482</v>
      </c>
      <c r="D111" s="6">
        <v>9</v>
      </c>
      <c r="E111" s="8">
        <v>76.8</v>
      </c>
      <c r="F111" s="8">
        <v>0.38200000000000001</v>
      </c>
      <c r="G111" s="8">
        <v>0</v>
      </c>
      <c r="H111" s="8">
        <v>5.2</v>
      </c>
    </row>
    <row r="112" spans="1:9" ht="18.75" customHeight="1" x14ac:dyDescent="0.25">
      <c r="A112" s="6">
        <v>4</v>
      </c>
      <c r="B112" s="6">
        <v>111</v>
      </c>
      <c r="C112" s="7">
        <v>45483</v>
      </c>
      <c r="D112" s="6">
        <v>13</v>
      </c>
      <c r="E112" s="8">
        <v>73.2</v>
      </c>
      <c r="F112" s="8">
        <v>0.22800000000000001</v>
      </c>
      <c r="G112" s="8">
        <v>0</v>
      </c>
      <c r="H112" s="8">
        <v>7.8</v>
      </c>
    </row>
    <row r="113" spans="1:8" ht="18.75" customHeight="1" x14ac:dyDescent="0.25">
      <c r="A113" s="6">
        <v>5</v>
      </c>
      <c r="B113" s="6">
        <v>112</v>
      </c>
      <c r="C113" s="7">
        <v>45484</v>
      </c>
      <c r="D113" s="6">
        <v>43</v>
      </c>
      <c r="E113" s="8">
        <v>72.7</v>
      </c>
      <c r="F113" s="8">
        <v>0</v>
      </c>
      <c r="G113" s="8">
        <v>0</v>
      </c>
      <c r="H113" s="8">
        <v>7</v>
      </c>
    </row>
    <row r="114" spans="1:8" ht="18.75" customHeight="1" x14ac:dyDescent="0.25">
      <c r="A114" s="6">
        <v>6</v>
      </c>
      <c r="B114" s="6">
        <v>113</v>
      </c>
      <c r="C114" s="7">
        <v>45485</v>
      </c>
      <c r="D114" s="6">
        <v>24</v>
      </c>
      <c r="E114" s="8">
        <v>74.7</v>
      </c>
      <c r="F114" s="8">
        <v>0</v>
      </c>
      <c r="G114" s="8">
        <v>0</v>
      </c>
      <c r="H114" s="8">
        <v>6</v>
      </c>
    </row>
    <row r="115" spans="1:8" ht="18.75" customHeight="1" x14ac:dyDescent="0.25">
      <c r="A115" s="6">
        <v>7</v>
      </c>
      <c r="B115" s="6">
        <v>114</v>
      </c>
      <c r="C115" s="7">
        <v>45486</v>
      </c>
      <c r="D115" s="6">
        <v>18</v>
      </c>
      <c r="E115" s="8">
        <v>78.8</v>
      </c>
      <c r="F115" s="8">
        <v>1.5980000000000001</v>
      </c>
      <c r="G115" s="8">
        <v>0</v>
      </c>
      <c r="H115" s="8">
        <v>7.6</v>
      </c>
    </row>
    <row r="116" spans="1:8" ht="18.75" customHeight="1" x14ac:dyDescent="0.25">
      <c r="A116" s="6">
        <v>1</v>
      </c>
      <c r="B116" s="6">
        <v>115</v>
      </c>
      <c r="C116" s="7">
        <v>45487</v>
      </c>
      <c r="D116" s="6">
        <v>25</v>
      </c>
      <c r="E116" s="8">
        <v>75.7</v>
      </c>
      <c r="F116" s="8">
        <v>1.6419999999999999</v>
      </c>
      <c r="G116" s="8">
        <v>0</v>
      </c>
      <c r="H116" s="8">
        <v>8.9</v>
      </c>
    </row>
    <row r="117" spans="1:8" ht="18.75" customHeight="1" x14ac:dyDescent="0.25">
      <c r="A117" s="6">
        <v>2</v>
      </c>
      <c r="B117" s="6">
        <v>116</v>
      </c>
      <c r="C117" s="7">
        <v>45488</v>
      </c>
      <c r="D117" s="6">
        <v>5</v>
      </c>
      <c r="E117" s="8">
        <v>79</v>
      </c>
      <c r="F117" s="8">
        <v>0.53100000000000003</v>
      </c>
      <c r="G117" s="8">
        <v>0</v>
      </c>
      <c r="H117" s="8">
        <v>8.1</v>
      </c>
    </row>
    <row r="118" spans="1:8" ht="18.75" customHeight="1" x14ac:dyDescent="0.25">
      <c r="A118" s="6">
        <v>3</v>
      </c>
      <c r="B118" s="6">
        <v>117</v>
      </c>
      <c r="C118" s="7">
        <v>45489</v>
      </c>
      <c r="D118" s="6">
        <v>21</v>
      </c>
      <c r="E118" s="8">
        <v>77.400000000000006</v>
      </c>
      <c r="F118" s="8">
        <v>0</v>
      </c>
      <c r="G118" s="8">
        <v>0</v>
      </c>
      <c r="H118" s="8">
        <v>8.1</v>
      </c>
    </row>
    <row r="119" spans="1:8" ht="18.75" customHeight="1" x14ac:dyDescent="0.25">
      <c r="A119" s="6">
        <v>4</v>
      </c>
      <c r="B119" s="6">
        <v>118</v>
      </c>
      <c r="C119" s="7">
        <v>45490</v>
      </c>
      <c r="D119" s="6">
        <v>16</v>
      </c>
      <c r="E119" s="8">
        <v>76.599999999999994</v>
      </c>
      <c r="F119" s="8">
        <v>0</v>
      </c>
      <c r="G119" s="8">
        <v>0</v>
      </c>
      <c r="H119" s="8">
        <v>10.9</v>
      </c>
    </row>
    <row r="120" spans="1:8" ht="18.75" customHeight="1" x14ac:dyDescent="0.25">
      <c r="A120" s="6">
        <v>5</v>
      </c>
      <c r="B120" s="6">
        <v>119</v>
      </c>
      <c r="C120" s="7">
        <v>45491</v>
      </c>
      <c r="D120" s="6">
        <v>44</v>
      </c>
      <c r="E120" s="8">
        <v>69.099999999999994</v>
      </c>
      <c r="F120" s="8">
        <v>0</v>
      </c>
      <c r="G120" s="8">
        <v>0</v>
      </c>
      <c r="H120" s="8">
        <v>9.1999999999999993</v>
      </c>
    </row>
    <row r="121" spans="1:8" ht="18.75" customHeight="1" x14ac:dyDescent="0.25">
      <c r="A121" s="6">
        <v>6</v>
      </c>
      <c r="B121" s="6">
        <v>120</v>
      </c>
      <c r="C121" s="7">
        <v>45492</v>
      </c>
      <c r="D121" s="6">
        <v>24</v>
      </c>
      <c r="E121" s="8">
        <v>69.400000000000006</v>
      </c>
      <c r="F121" s="8">
        <v>0</v>
      </c>
      <c r="G121" s="8">
        <v>0</v>
      </c>
      <c r="H121" s="8">
        <v>6.3</v>
      </c>
    </row>
    <row r="122" spans="1:8" ht="18.75" customHeight="1" x14ac:dyDescent="0.25">
      <c r="A122" s="6">
        <v>7</v>
      </c>
      <c r="B122" s="6">
        <v>121</v>
      </c>
      <c r="C122" s="7">
        <v>45493</v>
      </c>
      <c r="D122" s="6">
        <v>19</v>
      </c>
      <c r="E122" s="8">
        <v>72.5</v>
      </c>
      <c r="F122" s="8">
        <v>0</v>
      </c>
      <c r="G122" s="8">
        <v>0</v>
      </c>
      <c r="H122" s="8">
        <v>3.8</v>
      </c>
    </row>
    <row r="123" spans="1:8" ht="18.75" customHeight="1" x14ac:dyDescent="0.25">
      <c r="A123" s="6">
        <v>1</v>
      </c>
      <c r="B123" s="6">
        <v>122</v>
      </c>
      <c r="C123" s="7">
        <v>45494</v>
      </c>
      <c r="D123" s="6">
        <v>98</v>
      </c>
      <c r="E123" s="8">
        <v>74.5</v>
      </c>
      <c r="F123" s="8">
        <v>0</v>
      </c>
      <c r="G123" s="8">
        <v>0</v>
      </c>
      <c r="H123" s="8">
        <v>4.5</v>
      </c>
    </row>
    <row r="124" spans="1:8" ht="18.75" customHeight="1" x14ac:dyDescent="0.25">
      <c r="A124" s="6">
        <v>2</v>
      </c>
      <c r="B124" s="6">
        <v>123</v>
      </c>
      <c r="C124" s="7">
        <v>45495</v>
      </c>
      <c r="D124" s="6">
        <v>16</v>
      </c>
      <c r="E124" s="8">
        <v>74.099999999999994</v>
      </c>
      <c r="F124" s="8">
        <v>0</v>
      </c>
      <c r="G124" s="8">
        <v>0</v>
      </c>
      <c r="H124" s="8">
        <v>4</v>
      </c>
    </row>
    <row r="125" spans="1:8" ht="18.75" customHeight="1" x14ac:dyDescent="0.25">
      <c r="A125" s="6">
        <v>3</v>
      </c>
      <c r="B125" s="6">
        <v>124</v>
      </c>
      <c r="C125" s="7">
        <v>45496</v>
      </c>
      <c r="D125" s="6">
        <v>28</v>
      </c>
      <c r="E125" s="8">
        <v>75.900000000000006</v>
      </c>
      <c r="F125" s="8">
        <v>0.20100000000000001</v>
      </c>
      <c r="G125" s="8">
        <v>0</v>
      </c>
      <c r="H125" s="8">
        <v>6.5</v>
      </c>
    </row>
    <row r="126" spans="1:8" ht="18.75" customHeight="1" x14ac:dyDescent="0.25">
      <c r="A126" s="6">
        <v>4</v>
      </c>
      <c r="B126" s="6">
        <v>125</v>
      </c>
      <c r="C126" s="7">
        <v>45497</v>
      </c>
      <c r="D126" s="6">
        <v>17</v>
      </c>
      <c r="E126" s="8">
        <v>71.8</v>
      </c>
      <c r="F126" s="8">
        <v>0</v>
      </c>
      <c r="G126" s="8">
        <v>0</v>
      </c>
      <c r="H126" s="8">
        <v>6.7</v>
      </c>
    </row>
    <row r="127" spans="1:8" ht="18.75" customHeight="1" x14ac:dyDescent="0.25">
      <c r="A127" s="6">
        <v>5</v>
      </c>
      <c r="B127" s="6">
        <v>126</v>
      </c>
      <c r="C127" s="7">
        <v>45498</v>
      </c>
      <c r="D127" s="6">
        <v>24</v>
      </c>
      <c r="E127" s="8">
        <v>70.7</v>
      </c>
      <c r="F127" s="8">
        <v>0</v>
      </c>
      <c r="G127" s="8">
        <v>0</v>
      </c>
      <c r="H127" s="8">
        <v>7.4</v>
      </c>
    </row>
    <row r="128" spans="1:8" ht="18.75" customHeight="1" x14ac:dyDescent="0.25">
      <c r="A128" s="6">
        <v>6</v>
      </c>
      <c r="B128" s="6">
        <v>127</v>
      </c>
      <c r="C128" s="7">
        <v>45499</v>
      </c>
      <c r="D128" s="6">
        <v>21</v>
      </c>
      <c r="E128" s="8">
        <v>71.099999999999994</v>
      </c>
      <c r="F128" s="8">
        <v>0</v>
      </c>
      <c r="G128" s="8">
        <v>0</v>
      </c>
      <c r="H128" s="8">
        <v>5.8</v>
      </c>
    </row>
    <row r="129" spans="1:8" ht="18.75" customHeight="1" x14ac:dyDescent="0.25">
      <c r="A129" s="6">
        <v>7</v>
      </c>
      <c r="B129" s="6">
        <v>128</v>
      </c>
      <c r="C129" s="7">
        <v>45500</v>
      </c>
      <c r="D129" s="6">
        <v>12</v>
      </c>
      <c r="E129" s="8">
        <v>74.8</v>
      </c>
      <c r="F129" s="8">
        <v>0</v>
      </c>
      <c r="G129" s="8">
        <v>0</v>
      </c>
      <c r="H129" s="8">
        <v>6</v>
      </c>
    </row>
    <row r="130" spans="1:8" ht="18.75" customHeight="1" x14ac:dyDescent="0.25">
      <c r="A130" s="6">
        <v>1</v>
      </c>
      <c r="B130" s="6">
        <v>129</v>
      </c>
      <c r="C130" s="7">
        <v>45501</v>
      </c>
      <c r="D130" s="6">
        <v>43</v>
      </c>
      <c r="E130" s="8">
        <v>76.5</v>
      </c>
      <c r="F130" s="8">
        <v>3.1E-2</v>
      </c>
      <c r="G130" s="8">
        <v>0</v>
      </c>
      <c r="H130" s="8">
        <v>7.8</v>
      </c>
    </row>
    <row r="131" spans="1:8" ht="18.75" customHeight="1" x14ac:dyDescent="0.25">
      <c r="A131" s="6">
        <v>2</v>
      </c>
      <c r="B131" s="6">
        <v>130</v>
      </c>
      <c r="C131" s="7">
        <v>45502</v>
      </c>
      <c r="D131" s="6">
        <v>17</v>
      </c>
      <c r="E131" s="8">
        <v>76.3</v>
      </c>
      <c r="F131" s="8">
        <v>0.11</v>
      </c>
      <c r="G131" s="8">
        <v>0</v>
      </c>
      <c r="H131" s="8">
        <v>6.7</v>
      </c>
    </row>
    <row r="132" spans="1:8" ht="18.75" customHeight="1" x14ac:dyDescent="0.25">
      <c r="A132" s="6">
        <v>3</v>
      </c>
      <c r="B132" s="6">
        <v>131</v>
      </c>
      <c r="C132" s="7">
        <v>45503</v>
      </c>
      <c r="D132" s="6">
        <v>22</v>
      </c>
      <c r="E132" s="8">
        <v>78.400000000000006</v>
      </c>
      <c r="F132" s="8">
        <v>0</v>
      </c>
      <c r="G132" s="8">
        <v>0</v>
      </c>
      <c r="H132" s="8">
        <v>4.2</v>
      </c>
    </row>
    <row r="133" spans="1:8" ht="18.75" customHeight="1" x14ac:dyDescent="0.25">
      <c r="A133" s="6">
        <v>4</v>
      </c>
      <c r="B133" s="6">
        <v>132</v>
      </c>
      <c r="C133" s="7">
        <v>45504</v>
      </c>
      <c r="D133" s="6">
        <v>32</v>
      </c>
      <c r="E133" s="8">
        <v>81</v>
      </c>
      <c r="F133" s="8">
        <v>0</v>
      </c>
      <c r="G133" s="8">
        <v>0</v>
      </c>
      <c r="H133" s="8">
        <v>5.2</v>
      </c>
    </row>
    <row r="134" spans="1:8" ht="18.75" customHeight="1" x14ac:dyDescent="0.25">
      <c r="A134" s="6">
        <v>5</v>
      </c>
      <c r="B134" s="6">
        <v>133</v>
      </c>
      <c r="C134" s="7">
        <v>45505</v>
      </c>
      <c r="D134" s="6">
        <v>26</v>
      </c>
      <c r="E134" s="8">
        <v>80.8</v>
      </c>
      <c r="F134" s="8">
        <v>0.51200000000000001</v>
      </c>
      <c r="G134" s="8">
        <v>0</v>
      </c>
      <c r="H134" s="8">
        <v>4.9000000000000004</v>
      </c>
    </row>
    <row r="135" spans="1:8" ht="18.75" customHeight="1" x14ac:dyDescent="0.25">
      <c r="A135" s="6">
        <v>6</v>
      </c>
      <c r="B135" s="6">
        <v>134</v>
      </c>
      <c r="C135" s="7">
        <v>45506</v>
      </c>
      <c r="D135" s="6">
        <v>33</v>
      </c>
      <c r="E135" s="8">
        <v>76.3</v>
      </c>
      <c r="F135" s="8">
        <v>0</v>
      </c>
      <c r="G135" s="8">
        <v>0</v>
      </c>
      <c r="H135" s="8">
        <v>8.1</v>
      </c>
    </row>
    <row r="136" spans="1:8" ht="18.75" customHeight="1" x14ac:dyDescent="0.25">
      <c r="A136" s="6">
        <v>7</v>
      </c>
      <c r="B136" s="6">
        <v>135</v>
      </c>
      <c r="C136" s="7">
        <v>45507</v>
      </c>
      <c r="D136" s="6">
        <v>32</v>
      </c>
      <c r="E136" s="8">
        <v>80.400000000000006</v>
      </c>
      <c r="F136" s="8">
        <v>0</v>
      </c>
      <c r="G136" s="8">
        <v>0</v>
      </c>
      <c r="H136" s="8">
        <v>6</v>
      </c>
    </row>
    <row r="137" spans="1:8" ht="18.75" customHeight="1" x14ac:dyDescent="0.25">
      <c r="A137" s="6">
        <v>1</v>
      </c>
      <c r="B137" s="6">
        <v>136</v>
      </c>
      <c r="C137" s="7">
        <v>45508</v>
      </c>
      <c r="D137" s="6">
        <v>20</v>
      </c>
      <c r="E137" s="8">
        <v>80.400000000000006</v>
      </c>
      <c r="F137" s="8">
        <v>0</v>
      </c>
      <c r="G137" s="8">
        <v>0</v>
      </c>
      <c r="H137" s="8">
        <v>4.7</v>
      </c>
    </row>
    <row r="138" spans="1:8" ht="18.75" customHeight="1" x14ac:dyDescent="0.25">
      <c r="A138" s="6">
        <v>2</v>
      </c>
      <c r="B138" s="6">
        <v>137</v>
      </c>
      <c r="C138" s="7">
        <v>45509</v>
      </c>
      <c r="D138" s="6">
        <v>11</v>
      </c>
      <c r="E138" s="8">
        <v>81.099999999999994</v>
      </c>
      <c r="F138" s="8">
        <v>0</v>
      </c>
      <c r="G138" s="8">
        <v>0</v>
      </c>
      <c r="H138" s="8">
        <v>8.1</v>
      </c>
    </row>
    <row r="139" spans="1:8" ht="18.75" customHeight="1" x14ac:dyDescent="0.25">
      <c r="A139" s="6">
        <v>3</v>
      </c>
      <c r="B139" s="6">
        <v>138</v>
      </c>
      <c r="C139" s="7">
        <v>45510</v>
      </c>
      <c r="D139" s="6">
        <v>11</v>
      </c>
      <c r="E139" s="8">
        <v>72</v>
      </c>
      <c r="F139" s="8">
        <v>0.33900000000000002</v>
      </c>
      <c r="G139" s="8">
        <v>0</v>
      </c>
      <c r="H139" s="8">
        <v>14.1</v>
      </c>
    </row>
    <row r="140" spans="1:8" ht="18.75" customHeight="1" x14ac:dyDescent="0.25">
      <c r="A140" s="6">
        <v>4</v>
      </c>
      <c r="B140" s="6">
        <v>139</v>
      </c>
      <c r="C140" s="7">
        <v>45511</v>
      </c>
      <c r="D140" s="6">
        <v>10</v>
      </c>
      <c r="E140" s="8">
        <v>72</v>
      </c>
      <c r="F140" s="8">
        <v>0</v>
      </c>
      <c r="G140" s="8">
        <v>0</v>
      </c>
      <c r="H140" s="8">
        <v>10.8</v>
      </c>
    </row>
    <row r="141" spans="1:8" ht="18.75" customHeight="1" x14ac:dyDescent="0.25">
      <c r="A141" s="6">
        <v>5</v>
      </c>
      <c r="B141" s="6">
        <v>140</v>
      </c>
      <c r="C141" s="7">
        <v>45512</v>
      </c>
      <c r="D141" s="6">
        <v>15</v>
      </c>
      <c r="E141" s="8">
        <v>72</v>
      </c>
      <c r="F141" s="8">
        <v>0</v>
      </c>
      <c r="G141" s="8">
        <v>0</v>
      </c>
      <c r="H141" s="8">
        <v>5.6</v>
      </c>
    </row>
    <row r="142" spans="1:8" ht="18.75" customHeight="1" x14ac:dyDescent="0.25">
      <c r="A142" s="6">
        <v>6</v>
      </c>
      <c r="B142" s="6">
        <v>141</v>
      </c>
      <c r="C142" s="7">
        <v>45513</v>
      </c>
      <c r="D142" s="6">
        <v>25</v>
      </c>
      <c r="E142" s="8">
        <v>69.3</v>
      </c>
      <c r="F142" s="8">
        <v>0</v>
      </c>
      <c r="G142" s="8">
        <v>0</v>
      </c>
      <c r="H142" s="8">
        <v>9.8000000000000007</v>
      </c>
    </row>
    <row r="143" spans="1:8" ht="18.75" customHeight="1" x14ac:dyDescent="0.25">
      <c r="A143" s="6">
        <v>7</v>
      </c>
      <c r="B143" s="6">
        <v>142</v>
      </c>
      <c r="C143" s="7">
        <v>45514</v>
      </c>
      <c r="D143" s="6">
        <v>51</v>
      </c>
      <c r="E143" s="8">
        <v>65.099999999999994</v>
      </c>
      <c r="F143" s="8">
        <v>0</v>
      </c>
      <c r="G143" s="8">
        <v>0</v>
      </c>
      <c r="H143" s="8">
        <v>10.5</v>
      </c>
    </row>
    <row r="144" spans="1:8" ht="18.75" customHeight="1" x14ac:dyDescent="0.25">
      <c r="A144" s="6">
        <v>1</v>
      </c>
      <c r="B144" s="6">
        <v>143</v>
      </c>
      <c r="C144" s="7">
        <v>45515</v>
      </c>
      <c r="D144" s="6">
        <v>34</v>
      </c>
      <c r="E144" s="8">
        <v>68.5</v>
      </c>
      <c r="F144" s="8">
        <v>0</v>
      </c>
      <c r="G144" s="8">
        <v>0</v>
      </c>
      <c r="H144" s="8">
        <v>7.4</v>
      </c>
    </row>
    <row r="145" spans="1:8" ht="18.75" customHeight="1" x14ac:dyDescent="0.25">
      <c r="A145" s="6">
        <v>2</v>
      </c>
      <c r="B145" s="6">
        <v>144</v>
      </c>
      <c r="C145" s="7">
        <v>45516</v>
      </c>
      <c r="D145" s="6">
        <v>30</v>
      </c>
      <c r="E145" s="8">
        <v>71.099999999999994</v>
      </c>
      <c r="F145" s="8">
        <v>0</v>
      </c>
      <c r="G145" s="8">
        <v>0</v>
      </c>
      <c r="H145" s="8">
        <v>4.5</v>
      </c>
    </row>
    <row r="146" spans="1:8" ht="18.75" customHeight="1" x14ac:dyDescent="0.25">
      <c r="A146" s="6">
        <v>3</v>
      </c>
      <c r="B146" s="6">
        <v>145</v>
      </c>
      <c r="C146" s="7">
        <v>45517</v>
      </c>
      <c r="D146" s="6">
        <v>9</v>
      </c>
      <c r="E146" s="8">
        <v>74.099999999999994</v>
      </c>
      <c r="F146" s="8">
        <v>0</v>
      </c>
      <c r="G146" s="8">
        <v>0</v>
      </c>
      <c r="H146" s="8">
        <v>4.7</v>
      </c>
    </row>
    <row r="147" spans="1:8" ht="18.75" customHeight="1" x14ac:dyDescent="0.25">
      <c r="A147" s="6">
        <v>4</v>
      </c>
      <c r="B147" s="6">
        <v>146</v>
      </c>
      <c r="C147" s="7">
        <v>45518</v>
      </c>
      <c r="D147" s="6">
        <v>36</v>
      </c>
      <c r="E147" s="8">
        <v>76.3</v>
      </c>
      <c r="F147" s="8">
        <v>0</v>
      </c>
      <c r="G147" s="8">
        <v>0</v>
      </c>
      <c r="H147" s="8">
        <v>6</v>
      </c>
    </row>
    <row r="148" spans="1:8" ht="18.75" customHeight="1" x14ac:dyDescent="0.25">
      <c r="A148" s="6">
        <v>5</v>
      </c>
      <c r="B148" s="6">
        <v>147</v>
      </c>
      <c r="C148" s="7">
        <v>45519</v>
      </c>
      <c r="D148" s="6">
        <v>16</v>
      </c>
      <c r="E148" s="8">
        <v>73.2</v>
      </c>
      <c r="F148" s="8">
        <v>0.252</v>
      </c>
      <c r="G148" s="8">
        <v>0</v>
      </c>
      <c r="H148" s="8">
        <v>10.3</v>
      </c>
    </row>
    <row r="149" spans="1:8" ht="18.75" customHeight="1" x14ac:dyDescent="0.25">
      <c r="A149" s="6">
        <v>6</v>
      </c>
      <c r="B149" s="6">
        <v>148</v>
      </c>
      <c r="C149" s="7">
        <v>45520</v>
      </c>
      <c r="D149" s="6">
        <v>38</v>
      </c>
      <c r="E149" s="8">
        <v>75.400000000000006</v>
      </c>
      <c r="F149" s="8">
        <v>0.22</v>
      </c>
      <c r="G149" s="8">
        <v>0</v>
      </c>
      <c r="H149" s="8">
        <v>9.1999999999999993</v>
      </c>
    </row>
    <row r="150" spans="1:8" ht="18.75" customHeight="1" x14ac:dyDescent="0.25">
      <c r="A150" s="6">
        <v>7</v>
      </c>
      <c r="B150" s="6">
        <v>149</v>
      </c>
      <c r="C150" s="7">
        <v>45521</v>
      </c>
      <c r="D150" s="6">
        <v>31</v>
      </c>
      <c r="E150" s="8">
        <v>74.099999999999994</v>
      </c>
      <c r="F150" s="8">
        <v>0.16900000000000001</v>
      </c>
      <c r="G150" s="8">
        <v>0</v>
      </c>
      <c r="H150" s="8">
        <v>8.3000000000000007</v>
      </c>
    </row>
    <row r="151" spans="1:8" ht="18.75" customHeight="1" x14ac:dyDescent="0.25">
      <c r="A151" s="6">
        <v>1</v>
      </c>
      <c r="B151" s="6">
        <v>150</v>
      </c>
      <c r="C151" s="7">
        <v>45522</v>
      </c>
      <c r="D151" s="6">
        <v>17</v>
      </c>
      <c r="E151" s="8">
        <v>72</v>
      </c>
      <c r="F151" s="8">
        <v>1.2E-2</v>
      </c>
      <c r="G151" s="8">
        <v>0</v>
      </c>
      <c r="H151" s="8">
        <v>12.6</v>
      </c>
    </row>
    <row r="152" spans="1:8" ht="18.75" customHeight="1" x14ac:dyDescent="0.25">
      <c r="A152" s="6">
        <v>2</v>
      </c>
      <c r="B152" s="6">
        <v>151</v>
      </c>
      <c r="C152" s="7">
        <v>45523</v>
      </c>
      <c r="D152" s="6">
        <v>24</v>
      </c>
      <c r="E152" s="8">
        <v>70.900000000000006</v>
      </c>
      <c r="F152" s="8">
        <v>0</v>
      </c>
      <c r="G152" s="8">
        <v>0</v>
      </c>
      <c r="H152" s="8">
        <v>13.4</v>
      </c>
    </row>
    <row r="153" spans="1:8" ht="18.75" customHeight="1" x14ac:dyDescent="0.25">
      <c r="A153" s="6">
        <v>3</v>
      </c>
      <c r="B153" s="6">
        <v>152</v>
      </c>
      <c r="C153" s="7">
        <v>45524</v>
      </c>
      <c r="D153" s="6">
        <v>27</v>
      </c>
      <c r="E153" s="8">
        <v>66.900000000000006</v>
      </c>
      <c r="F153" s="8">
        <v>0</v>
      </c>
      <c r="G153" s="8">
        <v>0</v>
      </c>
      <c r="H153" s="8">
        <v>8.1</v>
      </c>
    </row>
    <row r="154" spans="1:8" ht="18.75" customHeight="1" x14ac:dyDescent="0.25">
      <c r="A154" s="6">
        <v>4</v>
      </c>
      <c r="B154" s="6">
        <v>153</v>
      </c>
      <c r="C154" s="7">
        <v>45525</v>
      </c>
      <c r="D154" s="6">
        <v>59</v>
      </c>
      <c r="E154" s="8">
        <v>65.099999999999994</v>
      </c>
      <c r="F154" s="8">
        <v>0</v>
      </c>
      <c r="G154" s="8">
        <v>0</v>
      </c>
      <c r="H154" s="8">
        <v>4.5</v>
      </c>
    </row>
    <row r="155" spans="1:8" ht="18.75" customHeight="1" x14ac:dyDescent="0.25">
      <c r="A155" s="6">
        <v>5</v>
      </c>
      <c r="B155" s="6">
        <v>154</v>
      </c>
      <c r="C155" s="7">
        <v>45526</v>
      </c>
      <c r="D155" s="6">
        <v>30</v>
      </c>
      <c r="E155" s="8">
        <v>66.400000000000006</v>
      </c>
      <c r="F155" s="8">
        <v>0</v>
      </c>
      <c r="G155" s="8">
        <v>0</v>
      </c>
      <c r="H155" s="8">
        <v>3.4</v>
      </c>
    </row>
    <row r="156" spans="1:8" ht="18.75" customHeight="1" x14ac:dyDescent="0.25">
      <c r="A156" s="6">
        <v>6</v>
      </c>
      <c r="B156" s="6">
        <v>155</v>
      </c>
      <c r="C156" s="7">
        <v>45527</v>
      </c>
      <c r="D156" s="6">
        <v>18</v>
      </c>
      <c r="E156" s="8">
        <v>70.5</v>
      </c>
      <c r="F156" s="8">
        <v>0</v>
      </c>
      <c r="G156" s="8">
        <v>0</v>
      </c>
      <c r="H156" s="8">
        <v>4.9000000000000004</v>
      </c>
    </row>
    <row r="157" spans="1:8" ht="18.75" customHeight="1" x14ac:dyDescent="0.25">
      <c r="A157" s="6">
        <v>7</v>
      </c>
      <c r="B157" s="6">
        <v>156</v>
      </c>
      <c r="C157" s="7">
        <v>45528</v>
      </c>
      <c r="D157" s="6">
        <v>24</v>
      </c>
      <c r="E157" s="8">
        <v>76.3</v>
      </c>
      <c r="F157" s="8">
        <v>0</v>
      </c>
      <c r="G157" s="8">
        <v>0</v>
      </c>
      <c r="H157" s="8">
        <v>4</v>
      </c>
    </row>
    <row r="158" spans="1:8" ht="18.75" customHeight="1" x14ac:dyDescent="0.25">
      <c r="A158" s="6">
        <v>1</v>
      </c>
      <c r="B158" s="6">
        <v>157</v>
      </c>
      <c r="C158" s="7">
        <v>45529</v>
      </c>
      <c r="D158" s="6">
        <v>12</v>
      </c>
      <c r="E158" s="8">
        <v>81.900000000000006</v>
      </c>
      <c r="F158" s="8">
        <v>0</v>
      </c>
      <c r="G158" s="8">
        <v>0</v>
      </c>
      <c r="H158" s="8">
        <v>9.6</v>
      </c>
    </row>
    <row r="159" spans="1:8" ht="18.75" customHeight="1" x14ac:dyDescent="0.25">
      <c r="A159" s="6">
        <v>2</v>
      </c>
      <c r="B159" s="6">
        <v>158</v>
      </c>
      <c r="C159" s="7">
        <v>45530</v>
      </c>
      <c r="D159" s="6">
        <v>15</v>
      </c>
      <c r="E159" s="8">
        <v>85.8</v>
      </c>
      <c r="F159" s="8">
        <v>0</v>
      </c>
      <c r="G159" s="8">
        <v>0</v>
      </c>
      <c r="H159" s="8">
        <v>10.5</v>
      </c>
    </row>
    <row r="160" spans="1:8" ht="18.75" customHeight="1" x14ac:dyDescent="0.25">
      <c r="A160" s="6">
        <v>3</v>
      </c>
      <c r="B160" s="6">
        <v>159</v>
      </c>
      <c r="C160" s="7">
        <v>45531</v>
      </c>
      <c r="D160" s="6">
        <v>13</v>
      </c>
      <c r="E160" s="8">
        <v>87.6</v>
      </c>
      <c r="F160" s="8">
        <v>0.64200000000000002</v>
      </c>
      <c r="G160" s="8">
        <v>0</v>
      </c>
      <c r="H160" s="8">
        <v>8.5</v>
      </c>
    </row>
    <row r="161" spans="1:9" ht="18.75" customHeight="1" x14ac:dyDescent="0.25">
      <c r="A161" s="6">
        <v>4</v>
      </c>
      <c r="B161" s="6">
        <v>160</v>
      </c>
      <c r="C161" s="7">
        <v>45532</v>
      </c>
      <c r="D161" s="6">
        <v>25</v>
      </c>
      <c r="E161" s="8">
        <v>76.8</v>
      </c>
      <c r="F161" s="8">
        <v>0.18099999999999999</v>
      </c>
      <c r="G161" s="8">
        <v>0</v>
      </c>
      <c r="H161" s="8">
        <v>8.5</v>
      </c>
    </row>
    <row r="162" spans="1:9" ht="18.75" customHeight="1" x14ac:dyDescent="0.25">
      <c r="A162" s="6">
        <v>5</v>
      </c>
      <c r="B162" s="6">
        <v>161</v>
      </c>
      <c r="C162" s="7">
        <v>45533</v>
      </c>
      <c r="D162" s="6">
        <v>11</v>
      </c>
      <c r="E162" s="8">
        <v>76.099999999999994</v>
      </c>
      <c r="F162" s="8">
        <v>0</v>
      </c>
      <c r="G162" s="8">
        <v>0</v>
      </c>
      <c r="H162" s="8">
        <v>7.6</v>
      </c>
    </row>
    <row r="163" spans="1:9" ht="18.75" customHeight="1" x14ac:dyDescent="0.25">
      <c r="A163" s="6">
        <v>6</v>
      </c>
      <c r="B163" s="6">
        <v>162</v>
      </c>
      <c r="C163" s="7">
        <v>45534</v>
      </c>
      <c r="D163" s="6">
        <v>15</v>
      </c>
      <c r="E163" s="8">
        <v>77.2</v>
      </c>
      <c r="F163" s="8">
        <v>0.28000000000000003</v>
      </c>
      <c r="G163" s="8">
        <v>0</v>
      </c>
      <c r="H163" s="8">
        <v>7.4</v>
      </c>
    </row>
    <row r="164" spans="1:9" ht="18.75" customHeight="1" x14ac:dyDescent="0.25">
      <c r="A164" s="6">
        <v>7</v>
      </c>
      <c r="B164" s="6">
        <v>163</v>
      </c>
      <c r="C164" s="7">
        <v>45535</v>
      </c>
      <c r="D164" s="6">
        <v>18</v>
      </c>
      <c r="E164" s="8">
        <v>73.8</v>
      </c>
      <c r="F164" s="8">
        <v>0</v>
      </c>
      <c r="G164" s="8">
        <v>0</v>
      </c>
      <c r="H164" s="8">
        <v>5.8</v>
      </c>
    </row>
    <row r="165" spans="1:9" ht="18.75" customHeight="1" x14ac:dyDescent="0.25">
      <c r="A165" s="6">
        <v>1</v>
      </c>
      <c r="B165" s="6">
        <v>164</v>
      </c>
      <c r="C165" s="7">
        <v>45536</v>
      </c>
      <c r="D165" s="6">
        <v>40</v>
      </c>
      <c r="E165" s="8">
        <v>72.099999999999994</v>
      </c>
      <c r="F165" s="8">
        <v>0</v>
      </c>
      <c r="G165" s="8">
        <v>0</v>
      </c>
      <c r="H165" s="8">
        <v>11.4</v>
      </c>
    </row>
    <row r="166" spans="1:9" ht="18.75" customHeight="1" x14ac:dyDescent="0.25">
      <c r="A166" s="6">
        <v>2</v>
      </c>
      <c r="B166" s="6">
        <v>165</v>
      </c>
      <c r="C166" s="7">
        <v>45537</v>
      </c>
      <c r="D166" s="6">
        <v>0</v>
      </c>
      <c r="E166" s="8">
        <v>66.400000000000006</v>
      </c>
      <c r="F166" s="8">
        <v>0</v>
      </c>
      <c r="G166" s="8">
        <v>0</v>
      </c>
      <c r="H166" s="8">
        <v>5.3</v>
      </c>
      <c r="I166" s="36" t="s">
        <v>19</v>
      </c>
    </row>
    <row r="167" spans="1:9" ht="18.75" customHeight="1" x14ac:dyDescent="0.25">
      <c r="A167" s="6">
        <v>3</v>
      </c>
      <c r="B167" s="6">
        <v>166</v>
      </c>
      <c r="C167" s="7">
        <v>45538</v>
      </c>
      <c r="D167" s="6">
        <v>13</v>
      </c>
      <c r="E167" s="8">
        <v>66.900000000000006</v>
      </c>
      <c r="F167" s="8">
        <v>0</v>
      </c>
      <c r="G167" s="8">
        <v>0</v>
      </c>
      <c r="H167" s="8">
        <v>5.6</v>
      </c>
    </row>
    <row r="168" spans="1:9" ht="18.75" customHeight="1" x14ac:dyDescent="0.25">
      <c r="A168" s="6">
        <v>4</v>
      </c>
      <c r="B168" s="6">
        <v>167</v>
      </c>
      <c r="C168" s="7">
        <v>45539</v>
      </c>
      <c r="D168" s="6">
        <v>16</v>
      </c>
      <c r="E168" s="8">
        <v>70</v>
      </c>
      <c r="F168" s="8">
        <v>0</v>
      </c>
      <c r="G168" s="8">
        <v>0</v>
      </c>
      <c r="H168" s="8">
        <v>5.3</v>
      </c>
    </row>
    <row r="169" spans="1:9" ht="18.75" customHeight="1" x14ac:dyDescent="0.25">
      <c r="A169" s="6">
        <v>5</v>
      </c>
      <c r="B169" s="6">
        <v>168</v>
      </c>
      <c r="C169" s="7">
        <v>45540</v>
      </c>
      <c r="D169" s="6">
        <v>25</v>
      </c>
      <c r="E169" s="8">
        <v>75</v>
      </c>
      <c r="F169" s="8">
        <v>3.9E-2</v>
      </c>
      <c r="G169" s="8">
        <v>0</v>
      </c>
      <c r="H169" s="8">
        <v>6.5</v>
      </c>
    </row>
    <row r="170" spans="1:9" ht="18.75" customHeight="1" x14ac:dyDescent="0.25">
      <c r="A170" s="6">
        <v>6</v>
      </c>
      <c r="B170" s="6">
        <v>169</v>
      </c>
      <c r="C170" s="7">
        <v>45541</v>
      </c>
      <c r="D170" s="6">
        <v>51</v>
      </c>
      <c r="E170" s="8">
        <v>68.2</v>
      </c>
      <c r="F170" s="8">
        <v>0</v>
      </c>
      <c r="G170" s="8">
        <v>0</v>
      </c>
      <c r="H170" s="8">
        <v>11.6</v>
      </c>
    </row>
    <row r="171" spans="1:9" ht="18.75" customHeight="1" x14ac:dyDescent="0.25">
      <c r="A171" s="6">
        <v>7</v>
      </c>
      <c r="B171" s="6">
        <v>170</v>
      </c>
      <c r="C171" s="7">
        <v>45542</v>
      </c>
      <c r="D171" s="6">
        <v>26</v>
      </c>
      <c r="E171" s="8">
        <v>57.9</v>
      </c>
      <c r="F171" s="8">
        <v>0</v>
      </c>
      <c r="G171" s="8">
        <v>0</v>
      </c>
      <c r="H171" s="8">
        <v>8.9</v>
      </c>
    </row>
    <row r="172" spans="1:9" ht="18.75" customHeight="1" x14ac:dyDescent="0.25">
      <c r="A172" s="6">
        <v>1</v>
      </c>
      <c r="B172" s="6">
        <v>171</v>
      </c>
      <c r="C172" s="7">
        <v>45543</v>
      </c>
      <c r="D172" s="6">
        <v>44</v>
      </c>
      <c r="E172" s="8">
        <v>59</v>
      </c>
      <c r="F172" s="8">
        <v>0</v>
      </c>
      <c r="G172" s="8">
        <v>0</v>
      </c>
      <c r="H172" s="8">
        <v>8.1</v>
      </c>
    </row>
    <row r="173" spans="1:9" ht="18.75" customHeight="1" x14ac:dyDescent="0.25">
      <c r="A173" s="6">
        <v>2</v>
      </c>
      <c r="B173" s="6">
        <v>172</v>
      </c>
      <c r="C173" s="7">
        <v>45544</v>
      </c>
      <c r="D173" s="6">
        <v>35</v>
      </c>
      <c r="E173" s="8">
        <v>67.3</v>
      </c>
      <c r="F173" s="8">
        <v>0</v>
      </c>
      <c r="G173" s="8">
        <v>0</v>
      </c>
      <c r="H173" s="8">
        <v>8.6999999999999993</v>
      </c>
    </row>
    <row r="174" spans="1:9" ht="19.5" customHeight="1" x14ac:dyDescent="0.25">
      <c r="A174" s="6">
        <v>3</v>
      </c>
      <c r="B174" s="6">
        <v>173</v>
      </c>
      <c r="C174" s="7">
        <v>45545</v>
      </c>
      <c r="D174" s="6">
        <v>23</v>
      </c>
      <c r="E174" s="8">
        <v>70</v>
      </c>
      <c r="F174" s="8">
        <v>0</v>
      </c>
      <c r="G174" s="8">
        <v>0</v>
      </c>
      <c r="H174" s="8">
        <v>5.8</v>
      </c>
    </row>
    <row r="175" spans="1:9" ht="19.5" customHeight="1" x14ac:dyDescent="0.25">
      <c r="A175" s="6">
        <v>4</v>
      </c>
      <c r="B175" s="6">
        <v>174</v>
      </c>
      <c r="C175" s="7">
        <v>45546</v>
      </c>
      <c r="D175" s="6">
        <v>27</v>
      </c>
      <c r="E175" s="8">
        <v>72.7</v>
      </c>
      <c r="F175" s="8">
        <v>0</v>
      </c>
      <c r="G175" s="8">
        <v>0</v>
      </c>
      <c r="H175" s="8">
        <v>3.4</v>
      </c>
    </row>
    <row r="176" spans="1:9" ht="19.5" customHeight="1" x14ac:dyDescent="0.25">
      <c r="A176" s="6">
        <v>5</v>
      </c>
      <c r="B176" s="6">
        <v>175</v>
      </c>
      <c r="C176" s="7">
        <v>45547</v>
      </c>
      <c r="D176" s="6">
        <v>28</v>
      </c>
      <c r="E176" s="8">
        <v>75.2</v>
      </c>
      <c r="F176" s="8">
        <v>0</v>
      </c>
      <c r="G176" s="8">
        <v>0</v>
      </c>
      <c r="H176" s="8">
        <v>7</v>
      </c>
    </row>
    <row r="177" spans="1:8" ht="19.5" customHeight="1" x14ac:dyDescent="0.25">
      <c r="A177" s="6">
        <v>6</v>
      </c>
      <c r="B177" s="6">
        <v>176</v>
      </c>
      <c r="C177" s="7">
        <v>45548</v>
      </c>
      <c r="D177" s="6">
        <v>35</v>
      </c>
      <c r="E177" s="8">
        <v>75.900000000000006</v>
      </c>
      <c r="F177" s="8">
        <v>0</v>
      </c>
      <c r="G177" s="8">
        <v>0</v>
      </c>
      <c r="H177" s="8">
        <v>8.5</v>
      </c>
    </row>
    <row r="178" spans="1:8" ht="19.5" customHeight="1" x14ac:dyDescent="0.25">
      <c r="A178" s="6">
        <v>7</v>
      </c>
      <c r="B178" s="6">
        <v>177</v>
      </c>
      <c r="C178" s="7">
        <v>45549</v>
      </c>
      <c r="D178" s="6">
        <v>34</v>
      </c>
      <c r="E178" s="8">
        <v>77</v>
      </c>
      <c r="F178" s="8">
        <v>0</v>
      </c>
      <c r="G178" s="8">
        <v>0</v>
      </c>
      <c r="H178" s="8">
        <v>5.3</v>
      </c>
    </row>
    <row r="179" spans="1:8" ht="19.5" customHeight="1" x14ac:dyDescent="0.25">
      <c r="A179" s="6">
        <v>1</v>
      </c>
      <c r="B179" s="6">
        <v>178</v>
      </c>
      <c r="C179" s="7">
        <v>45550</v>
      </c>
      <c r="D179" s="14">
        <v>27</v>
      </c>
      <c r="E179" s="8">
        <v>77.400000000000006</v>
      </c>
      <c r="F179" s="8">
        <v>0</v>
      </c>
      <c r="G179" s="8">
        <v>0</v>
      </c>
      <c r="H179" s="8">
        <v>5.3</v>
      </c>
    </row>
    <row r="180" spans="1:8" ht="19.5" customHeight="1" x14ac:dyDescent="0.25">
      <c r="A180" s="6">
        <v>2</v>
      </c>
      <c r="B180" s="6">
        <v>179</v>
      </c>
      <c r="C180" s="7">
        <v>45551</v>
      </c>
      <c r="D180" s="14">
        <v>6</v>
      </c>
      <c r="E180" s="8">
        <v>76.599999999999994</v>
      </c>
      <c r="F180" s="8">
        <v>0</v>
      </c>
      <c r="G180" s="8">
        <v>0</v>
      </c>
      <c r="H180" s="8">
        <v>5.8</v>
      </c>
    </row>
    <row r="181" spans="1:8" ht="19.5" customHeight="1" x14ac:dyDescent="0.25">
      <c r="A181" s="6">
        <v>3</v>
      </c>
      <c r="B181" s="6">
        <v>180</v>
      </c>
      <c r="C181" s="7">
        <v>45552</v>
      </c>
      <c r="D181" s="14">
        <v>15</v>
      </c>
      <c r="E181" s="8">
        <v>74.099999999999994</v>
      </c>
      <c r="F181" s="8">
        <v>0</v>
      </c>
      <c r="G181" s="8">
        <v>0</v>
      </c>
      <c r="H181" s="8">
        <v>4.9000000000000004</v>
      </c>
    </row>
    <row r="182" spans="1:8" ht="19.5" customHeight="1" x14ac:dyDescent="0.25">
      <c r="A182" s="6">
        <v>4</v>
      </c>
      <c r="B182" s="6">
        <v>181</v>
      </c>
      <c r="C182" s="7">
        <v>45553</v>
      </c>
      <c r="D182" s="14">
        <v>21</v>
      </c>
      <c r="E182" s="8">
        <v>72.5</v>
      </c>
      <c r="F182" s="8">
        <v>0</v>
      </c>
      <c r="G182" s="8">
        <v>0</v>
      </c>
      <c r="H182" s="8">
        <v>3.1</v>
      </c>
    </row>
    <row r="183" spans="1:8" ht="19.5" customHeight="1" x14ac:dyDescent="0.25">
      <c r="A183" s="6">
        <v>5</v>
      </c>
      <c r="B183" s="6">
        <v>182</v>
      </c>
      <c r="C183" s="7">
        <v>45554</v>
      </c>
      <c r="D183" s="14">
        <v>36</v>
      </c>
      <c r="E183" s="8">
        <v>75.400000000000006</v>
      </c>
      <c r="F183" s="8">
        <v>0</v>
      </c>
      <c r="G183" s="8">
        <v>0</v>
      </c>
      <c r="H183" s="8">
        <v>5.2</v>
      </c>
    </row>
    <row r="184" spans="1:8" ht="19.5" customHeight="1" x14ac:dyDescent="0.25">
      <c r="A184" s="6">
        <v>6</v>
      </c>
      <c r="B184" s="6">
        <v>183</v>
      </c>
      <c r="C184" s="7">
        <v>45555</v>
      </c>
      <c r="D184" s="14">
        <v>16</v>
      </c>
      <c r="E184" s="8">
        <v>78.8</v>
      </c>
      <c r="F184" s="8">
        <v>0.02</v>
      </c>
      <c r="G184" s="8">
        <v>0</v>
      </c>
      <c r="H184" s="8">
        <v>7.8</v>
      </c>
    </row>
    <row r="185" spans="1:8" ht="19.5" customHeight="1" x14ac:dyDescent="0.25">
      <c r="A185" s="6">
        <v>7</v>
      </c>
      <c r="B185" s="6">
        <v>184</v>
      </c>
      <c r="C185" s="7">
        <v>45556</v>
      </c>
      <c r="D185" s="14">
        <v>0</v>
      </c>
      <c r="E185" s="8">
        <v>77.400000000000006</v>
      </c>
      <c r="F185" s="8">
        <v>0</v>
      </c>
      <c r="G185" s="8">
        <v>0</v>
      </c>
      <c r="H185" s="8">
        <v>5.3</v>
      </c>
    </row>
    <row r="186" spans="1:8" ht="19.5" customHeight="1" x14ac:dyDescent="0.25">
      <c r="A186" s="6">
        <v>1</v>
      </c>
      <c r="B186" s="6">
        <v>185</v>
      </c>
      <c r="C186" s="7">
        <v>45557</v>
      </c>
      <c r="D186" s="6">
        <v>27</v>
      </c>
      <c r="E186" s="8">
        <v>73.8</v>
      </c>
      <c r="F186" s="8">
        <v>0.79900000000000004</v>
      </c>
      <c r="G186" s="8">
        <v>0</v>
      </c>
      <c r="H186" s="8">
        <v>8.5</v>
      </c>
    </row>
    <row r="187" spans="1:8" ht="19.5" customHeight="1" x14ac:dyDescent="0.25">
      <c r="A187" s="6">
        <v>2</v>
      </c>
      <c r="B187" s="6">
        <v>186</v>
      </c>
      <c r="C187" s="7">
        <v>45558</v>
      </c>
      <c r="D187" s="6">
        <v>29</v>
      </c>
      <c r="E187" s="8">
        <v>64.599999999999994</v>
      </c>
      <c r="F187" s="8">
        <v>0.02</v>
      </c>
      <c r="G187" s="8">
        <v>0</v>
      </c>
      <c r="H187" s="8">
        <v>9.4</v>
      </c>
    </row>
    <row r="188" spans="1:8" ht="19.5" customHeight="1" x14ac:dyDescent="0.25">
      <c r="A188" s="6">
        <v>3</v>
      </c>
      <c r="B188" s="6">
        <v>187</v>
      </c>
      <c r="C188" s="7">
        <v>45559</v>
      </c>
      <c r="D188" s="6">
        <v>22</v>
      </c>
      <c r="E188" s="8">
        <v>64.400000000000006</v>
      </c>
      <c r="F188" s="8">
        <v>0.42899999999999999</v>
      </c>
      <c r="G188" s="8">
        <v>0</v>
      </c>
      <c r="H188" s="8">
        <v>6</v>
      </c>
    </row>
    <row r="189" spans="1:8" ht="19.5" customHeight="1" x14ac:dyDescent="0.25">
      <c r="A189" s="6">
        <v>4</v>
      </c>
      <c r="B189" s="6">
        <v>188</v>
      </c>
      <c r="C189" s="7">
        <v>45560</v>
      </c>
      <c r="D189" s="6">
        <v>16</v>
      </c>
      <c r="E189" s="8">
        <v>65.5</v>
      </c>
      <c r="F189" s="8">
        <v>0</v>
      </c>
      <c r="G189" s="8">
        <v>0</v>
      </c>
      <c r="H189" s="8">
        <v>4.2</v>
      </c>
    </row>
    <row r="190" spans="1:8" ht="19.5" customHeight="1" x14ac:dyDescent="0.25">
      <c r="A190" s="6">
        <v>5</v>
      </c>
      <c r="B190" s="6">
        <v>189</v>
      </c>
      <c r="C190" s="7">
        <v>45561</v>
      </c>
      <c r="D190" s="6">
        <v>41</v>
      </c>
      <c r="E190" s="8">
        <v>66.599999999999994</v>
      </c>
      <c r="F190" s="8">
        <v>0</v>
      </c>
      <c r="G190" s="8">
        <v>0</v>
      </c>
      <c r="H190" s="8">
        <v>7.1</v>
      </c>
    </row>
    <row r="191" spans="1:8" ht="19.5" customHeight="1" x14ac:dyDescent="0.25">
      <c r="A191" s="6">
        <v>6</v>
      </c>
      <c r="B191" s="6">
        <v>190</v>
      </c>
      <c r="C191" s="7">
        <v>45562</v>
      </c>
      <c r="D191" s="6">
        <v>10</v>
      </c>
      <c r="E191" s="8">
        <v>68.5</v>
      </c>
      <c r="F191" s="8">
        <v>0</v>
      </c>
      <c r="G191" s="8">
        <v>0</v>
      </c>
      <c r="H191" s="8">
        <v>20.6</v>
      </c>
    </row>
    <row r="192" spans="1:8" ht="19.5" customHeight="1" x14ac:dyDescent="0.25">
      <c r="A192" s="6">
        <v>7</v>
      </c>
      <c r="B192" s="6">
        <v>191</v>
      </c>
      <c r="C192" s="7">
        <v>45563</v>
      </c>
      <c r="D192" s="6">
        <v>39</v>
      </c>
      <c r="E192" s="8">
        <v>68.900000000000006</v>
      </c>
      <c r="F192" s="8">
        <v>0</v>
      </c>
      <c r="G192" s="8">
        <v>0</v>
      </c>
      <c r="H192" s="8">
        <v>17.600000000000001</v>
      </c>
    </row>
    <row r="193" spans="1:9" ht="19.5" customHeight="1" x14ac:dyDescent="0.25">
      <c r="A193" s="6">
        <v>1</v>
      </c>
      <c r="B193" s="6">
        <v>192</v>
      </c>
      <c r="C193" s="7">
        <v>45564</v>
      </c>
      <c r="D193" s="6">
        <v>48</v>
      </c>
      <c r="E193" s="8">
        <v>70</v>
      </c>
      <c r="F193" s="8">
        <v>1.2E-2</v>
      </c>
      <c r="G193" s="8">
        <v>0</v>
      </c>
      <c r="H193" s="8">
        <v>13.2</v>
      </c>
    </row>
    <row r="194" spans="1:9" ht="19.5" customHeight="1" x14ac:dyDescent="0.25">
      <c r="A194" s="6">
        <v>2</v>
      </c>
      <c r="B194" s="6">
        <v>193</v>
      </c>
      <c r="C194" s="7">
        <v>45565</v>
      </c>
      <c r="D194" s="6">
        <v>10</v>
      </c>
      <c r="E194" s="8">
        <v>70.900000000000006</v>
      </c>
      <c r="F194" s="8">
        <v>0</v>
      </c>
      <c r="G194" s="8">
        <v>0</v>
      </c>
      <c r="H194" s="8">
        <v>6</v>
      </c>
    </row>
    <row r="195" spans="1:9" ht="19.5" customHeight="1" x14ac:dyDescent="0.25">
      <c r="A195" s="6">
        <v>3</v>
      </c>
      <c r="B195" s="6">
        <v>194</v>
      </c>
      <c r="C195" s="7">
        <v>45566</v>
      </c>
      <c r="D195" s="6">
        <v>16</v>
      </c>
      <c r="E195" s="8">
        <v>66.599999999999994</v>
      </c>
      <c r="F195" s="8">
        <v>0</v>
      </c>
      <c r="G195" s="8">
        <v>0</v>
      </c>
      <c r="H195" s="8">
        <v>10.9</v>
      </c>
    </row>
    <row r="196" spans="1:9" ht="19.5" customHeight="1" x14ac:dyDescent="0.25">
      <c r="A196" s="6">
        <v>4</v>
      </c>
      <c r="B196" s="6">
        <v>195</v>
      </c>
      <c r="C196" s="7">
        <v>45567</v>
      </c>
      <c r="D196" s="6">
        <v>1</v>
      </c>
      <c r="E196" s="8">
        <v>59.4</v>
      </c>
      <c r="F196" s="8">
        <v>0</v>
      </c>
      <c r="G196" s="8">
        <v>0</v>
      </c>
      <c r="H196" s="8">
        <v>5.8</v>
      </c>
    </row>
    <row r="197" spans="1:9" ht="19.5" customHeight="1" x14ac:dyDescent="0.25">
      <c r="A197" s="6">
        <v>5</v>
      </c>
      <c r="B197" s="6">
        <v>196</v>
      </c>
      <c r="C197" s="7">
        <v>45568</v>
      </c>
      <c r="D197" s="6">
        <v>30</v>
      </c>
      <c r="E197" s="8">
        <v>63.9</v>
      </c>
      <c r="F197" s="8">
        <v>0</v>
      </c>
      <c r="G197" s="8">
        <v>0</v>
      </c>
      <c r="H197" s="8">
        <v>6.7</v>
      </c>
    </row>
    <row r="198" spans="1:9" ht="19.5" customHeight="1" x14ac:dyDescent="0.25">
      <c r="A198" s="6">
        <v>6</v>
      </c>
      <c r="B198" s="6">
        <v>197</v>
      </c>
      <c r="C198" s="7">
        <v>45569</v>
      </c>
      <c r="D198" s="6">
        <v>5</v>
      </c>
      <c r="E198" s="8">
        <v>63.9</v>
      </c>
      <c r="F198" s="8">
        <v>1.2E-2</v>
      </c>
      <c r="G198" s="8">
        <v>0</v>
      </c>
      <c r="H198" s="8">
        <v>9.4</v>
      </c>
    </row>
    <row r="199" spans="1:9" ht="19.5" customHeight="1" x14ac:dyDescent="0.25">
      <c r="A199" s="6">
        <v>7</v>
      </c>
      <c r="B199" s="6">
        <v>198</v>
      </c>
      <c r="C199" s="7">
        <v>45570</v>
      </c>
      <c r="D199" s="6">
        <v>49</v>
      </c>
      <c r="E199" s="8">
        <v>66.7</v>
      </c>
      <c r="F199" s="8">
        <v>0</v>
      </c>
      <c r="G199" s="8">
        <v>0</v>
      </c>
      <c r="H199" s="8">
        <v>12.7</v>
      </c>
    </row>
    <row r="200" spans="1:9" ht="19.5" customHeight="1" x14ac:dyDescent="0.25">
      <c r="A200" s="6">
        <v>1</v>
      </c>
      <c r="B200" s="6">
        <v>199</v>
      </c>
      <c r="C200" s="7">
        <v>45571</v>
      </c>
      <c r="D200" s="6">
        <v>43</v>
      </c>
      <c r="E200" s="8">
        <v>72</v>
      </c>
      <c r="F200" s="8">
        <v>0</v>
      </c>
      <c r="G200" s="8">
        <v>0</v>
      </c>
      <c r="H200" s="8">
        <v>12.3</v>
      </c>
    </row>
    <row r="201" spans="1:9" ht="19.5" customHeight="1" x14ac:dyDescent="0.25">
      <c r="A201" s="6">
        <v>2</v>
      </c>
      <c r="B201" s="6">
        <v>200</v>
      </c>
      <c r="C201" s="7">
        <v>45572</v>
      </c>
      <c r="D201" s="6">
        <v>11</v>
      </c>
      <c r="E201" s="8">
        <v>58.1</v>
      </c>
      <c r="F201" s="8">
        <v>0</v>
      </c>
      <c r="G201" s="8">
        <v>0</v>
      </c>
      <c r="H201" s="8">
        <v>6.7</v>
      </c>
    </row>
    <row r="202" spans="1:9" ht="18.75" customHeight="1" x14ac:dyDescent="0.25">
      <c r="A202" s="6">
        <v>3</v>
      </c>
      <c r="B202" s="6">
        <v>201</v>
      </c>
      <c r="C202" s="7">
        <v>45573</v>
      </c>
      <c r="D202" s="6">
        <v>14</v>
      </c>
      <c r="E202" s="8">
        <v>59.4</v>
      </c>
      <c r="F202" s="8">
        <v>0</v>
      </c>
      <c r="G202" s="8">
        <v>0</v>
      </c>
      <c r="H202" s="8">
        <v>6.7</v>
      </c>
    </row>
    <row r="203" spans="1:9" ht="18.75" customHeight="1" x14ac:dyDescent="0.25">
      <c r="A203" s="6">
        <v>4</v>
      </c>
      <c r="B203" s="6">
        <v>202</v>
      </c>
      <c r="C203" s="7">
        <v>45574</v>
      </c>
      <c r="D203" s="6">
        <v>6</v>
      </c>
      <c r="E203" s="8">
        <v>60.3</v>
      </c>
      <c r="F203" s="8">
        <v>0</v>
      </c>
      <c r="G203" s="8">
        <v>0</v>
      </c>
      <c r="H203" s="8">
        <v>7.1</v>
      </c>
    </row>
    <row r="204" spans="1:9" ht="18.75" customHeight="1" x14ac:dyDescent="0.25">
      <c r="A204" s="6">
        <v>5</v>
      </c>
      <c r="B204" s="6">
        <v>203</v>
      </c>
      <c r="C204" s="7">
        <v>45575</v>
      </c>
      <c r="D204" s="6">
        <v>39</v>
      </c>
      <c r="E204" s="8">
        <v>61.7</v>
      </c>
      <c r="F204" s="8">
        <v>0</v>
      </c>
      <c r="G204" s="8">
        <v>0</v>
      </c>
      <c r="H204" s="8">
        <v>4.5</v>
      </c>
    </row>
    <row r="205" spans="1:9" ht="18.75" customHeight="1" x14ac:dyDescent="0.25">
      <c r="A205" s="6">
        <v>6</v>
      </c>
      <c r="B205" s="6">
        <v>204</v>
      </c>
      <c r="C205" s="7">
        <v>45576</v>
      </c>
      <c r="D205" s="6">
        <v>21</v>
      </c>
      <c r="E205" s="8">
        <v>65.5</v>
      </c>
      <c r="F205" s="8">
        <v>0</v>
      </c>
      <c r="G205" s="8">
        <v>0</v>
      </c>
      <c r="H205" s="8">
        <v>9.4</v>
      </c>
    </row>
    <row r="206" spans="1:9" ht="18.75" customHeight="1" x14ac:dyDescent="0.25">
      <c r="A206" s="6">
        <v>7</v>
      </c>
      <c r="B206" s="6">
        <v>205</v>
      </c>
      <c r="C206" s="7">
        <v>45577</v>
      </c>
      <c r="D206" s="6">
        <v>29</v>
      </c>
      <c r="E206" s="8">
        <v>66.2</v>
      </c>
      <c r="F206" s="8">
        <v>0</v>
      </c>
      <c r="G206" s="8">
        <v>0</v>
      </c>
      <c r="H206" s="8">
        <v>12.7</v>
      </c>
      <c r="I206" s="36" t="s">
        <v>20</v>
      </c>
    </row>
    <row r="207" spans="1:9" ht="18.75" customHeight="1" x14ac:dyDescent="0.25">
      <c r="A207" s="6">
        <v>1</v>
      </c>
      <c r="B207" s="6">
        <v>206</v>
      </c>
      <c r="C207" s="7">
        <v>45578</v>
      </c>
      <c r="D207" s="6">
        <v>20</v>
      </c>
      <c r="E207" s="8">
        <v>60.1</v>
      </c>
      <c r="F207" s="8">
        <v>0</v>
      </c>
      <c r="G207" s="8">
        <v>0</v>
      </c>
      <c r="H207" s="8">
        <v>14.5</v>
      </c>
    </row>
    <row r="208" spans="1:9" ht="18.75" customHeight="1" x14ac:dyDescent="0.25">
      <c r="A208" s="6">
        <v>2</v>
      </c>
      <c r="B208" s="6">
        <v>207</v>
      </c>
      <c r="C208" s="7">
        <v>45579</v>
      </c>
      <c r="D208" s="6">
        <v>15</v>
      </c>
      <c r="E208" s="8">
        <v>51.4</v>
      </c>
      <c r="F208" s="8">
        <v>0.02</v>
      </c>
      <c r="G208" s="8">
        <v>0</v>
      </c>
      <c r="H208" s="8">
        <v>11.9</v>
      </c>
      <c r="I208" s="36" t="s">
        <v>21</v>
      </c>
    </row>
    <row r="209" spans="1:8" ht="18.75" customHeight="1" x14ac:dyDescent="0.25">
      <c r="A209" s="6">
        <v>3</v>
      </c>
      <c r="B209" s="6">
        <v>208</v>
      </c>
      <c r="C209" s="7">
        <v>45580</v>
      </c>
      <c r="D209" s="6">
        <v>12</v>
      </c>
      <c r="E209" s="8">
        <v>45</v>
      </c>
      <c r="F209" s="8">
        <v>0.27200000000000002</v>
      </c>
      <c r="G209" s="8">
        <v>0</v>
      </c>
      <c r="H209" s="8">
        <v>13.7</v>
      </c>
    </row>
    <row r="210" spans="1:8" ht="18.75" customHeight="1" x14ac:dyDescent="0.25">
      <c r="A210" s="6">
        <v>4</v>
      </c>
      <c r="B210" s="6">
        <v>209</v>
      </c>
      <c r="C210" s="7">
        <v>45581</v>
      </c>
      <c r="D210" s="6">
        <v>13</v>
      </c>
      <c r="E210" s="8">
        <v>46</v>
      </c>
      <c r="F210" s="8">
        <v>0</v>
      </c>
      <c r="G210" s="8">
        <v>0</v>
      </c>
      <c r="H210" s="8">
        <v>5.8</v>
      </c>
    </row>
    <row r="211" spans="1:8" ht="18.75" customHeight="1" x14ac:dyDescent="0.25">
      <c r="A211" s="6">
        <v>5</v>
      </c>
      <c r="B211" s="6">
        <v>210</v>
      </c>
      <c r="C211" s="7">
        <v>45582</v>
      </c>
      <c r="D211" s="6">
        <v>17</v>
      </c>
      <c r="E211" s="8">
        <v>49.5</v>
      </c>
      <c r="F211" s="8">
        <v>0</v>
      </c>
      <c r="G211" s="8">
        <v>0</v>
      </c>
      <c r="H211" s="8">
        <v>7.1</v>
      </c>
    </row>
    <row r="212" spans="1:8" ht="18.75" customHeight="1" x14ac:dyDescent="0.25">
      <c r="A212" s="6">
        <v>6</v>
      </c>
      <c r="B212" s="6">
        <v>211</v>
      </c>
      <c r="C212" s="7">
        <v>45583</v>
      </c>
      <c r="D212" s="6">
        <v>25</v>
      </c>
      <c r="E212" s="8">
        <v>54.7</v>
      </c>
      <c r="F212" s="8">
        <v>0</v>
      </c>
      <c r="G212" s="8">
        <v>0</v>
      </c>
      <c r="H212" s="8">
        <v>6.7</v>
      </c>
    </row>
    <row r="213" spans="1:8" ht="18.75" customHeight="1" x14ac:dyDescent="0.25">
      <c r="A213" s="6">
        <v>7</v>
      </c>
      <c r="B213" s="6">
        <v>212</v>
      </c>
      <c r="C213" s="7">
        <v>45584</v>
      </c>
      <c r="D213" s="6">
        <v>19</v>
      </c>
      <c r="E213" s="8">
        <v>57.7</v>
      </c>
      <c r="F213" s="8">
        <v>0</v>
      </c>
      <c r="G213" s="8">
        <v>0</v>
      </c>
      <c r="H213" s="8">
        <v>6.3</v>
      </c>
    </row>
    <row r="214" spans="1:8" ht="18.75" customHeight="1" x14ac:dyDescent="0.25">
      <c r="A214" s="6">
        <v>1</v>
      </c>
      <c r="B214" s="6">
        <v>213</v>
      </c>
      <c r="C214" s="7">
        <v>45585</v>
      </c>
      <c r="D214" s="6">
        <v>22</v>
      </c>
      <c r="E214" s="8">
        <v>62.1</v>
      </c>
      <c r="F214" s="8">
        <v>0</v>
      </c>
      <c r="G214" s="8">
        <v>0</v>
      </c>
      <c r="H214" s="8">
        <v>9.4</v>
      </c>
    </row>
    <row r="215" spans="1:8" ht="18.75" customHeight="1" x14ac:dyDescent="0.25">
      <c r="A215" s="6">
        <v>2</v>
      </c>
      <c r="B215" s="6">
        <v>214</v>
      </c>
      <c r="C215" s="7">
        <v>45586</v>
      </c>
      <c r="D215" s="6">
        <v>30</v>
      </c>
      <c r="E215" s="8">
        <v>66.900000000000006</v>
      </c>
      <c r="F215" s="8">
        <v>0</v>
      </c>
      <c r="G215" s="8">
        <v>0</v>
      </c>
      <c r="H215" s="8">
        <v>7.6</v>
      </c>
    </row>
    <row r="216" spans="1:8" ht="18.75" customHeight="1" x14ac:dyDescent="0.25">
      <c r="A216" s="6">
        <v>3</v>
      </c>
      <c r="B216" s="6">
        <v>215</v>
      </c>
      <c r="C216" s="7">
        <v>45587</v>
      </c>
      <c r="D216" s="6">
        <v>17</v>
      </c>
      <c r="E216" s="8">
        <v>65.099999999999994</v>
      </c>
      <c r="F216" s="8">
        <v>1.2E-2</v>
      </c>
      <c r="G216" s="8">
        <v>0</v>
      </c>
      <c r="H216" s="8">
        <v>10.1</v>
      </c>
    </row>
    <row r="217" spans="1:8" ht="18.75" customHeight="1" x14ac:dyDescent="0.25">
      <c r="A217" s="6">
        <v>4</v>
      </c>
      <c r="B217" s="6">
        <v>216</v>
      </c>
      <c r="C217" s="7">
        <v>45588</v>
      </c>
      <c r="D217" s="6">
        <v>13</v>
      </c>
      <c r="E217" s="8">
        <v>62.2</v>
      </c>
      <c r="F217" s="8">
        <v>0</v>
      </c>
      <c r="G217" s="8">
        <v>0</v>
      </c>
      <c r="H217" s="8">
        <v>8.5</v>
      </c>
    </row>
    <row r="218" spans="1:8" ht="18.75" customHeight="1" x14ac:dyDescent="0.25">
      <c r="A218" s="6">
        <v>5</v>
      </c>
      <c r="B218" s="6">
        <v>217</v>
      </c>
      <c r="C218" s="7">
        <v>45589</v>
      </c>
      <c r="D218" s="6">
        <v>17</v>
      </c>
      <c r="E218" s="8">
        <v>52</v>
      </c>
      <c r="F218" s="8">
        <v>0.20899999999999999</v>
      </c>
      <c r="G218" s="8">
        <v>0</v>
      </c>
      <c r="H218" s="8">
        <v>6.7</v>
      </c>
    </row>
    <row r="219" spans="1:8" ht="18.75" customHeight="1" x14ac:dyDescent="0.25">
      <c r="A219" s="6">
        <v>6</v>
      </c>
      <c r="B219" s="6">
        <v>218</v>
      </c>
      <c r="C219" s="7">
        <v>45590</v>
      </c>
      <c r="D219" s="6">
        <v>40</v>
      </c>
      <c r="E219" s="8">
        <v>56.3</v>
      </c>
      <c r="F219" s="8">
        <v>0.63</v>
      </c>
      <c r="G219" s="8">
        <v>0</v>
      </c>
      <c r="H219" s="8">
        <v>8.1</v>
      </c>
    </row>
    <row r="220" spans="1:8" ht="18.75" customHeight="1" x14ac:dyDescent="0.25">
      <c r="A220" s="6">
        <v>7</v>
      </c>
      <c r="B220" s="6">
        <v>219</v>
      </c>
      <c r="C220" s="7">
        <v>45591</v>
      </c>
      <c r="D220" s="6">
        <v>26</v>
      </c>
      <c r="E220" s="8">
        <v>51.4</v>
      </c>
      <c r="F220" s="8">
        <v>0</v>
      </c>
      <c r="G220" s="8">
        <v>0</v>
      </c>
      <c r="H220" s="8">
        <v>6.7</v>
      </c>
    </row>
    <row r="221" spans="1:8" ht="18.75" customHeight="1" x14ac:dyDescent="0.25">
      <c r="A221" s="6">
        <v>1</v>
      </c>
      <c r="B221" s="6">
        <v>220</v>
      </c>
      <c r="C221" s="7">
        <v>45592</v>
      </c>
      <c r="D221" s="6">
        <v>40</v>
      </c>
      <c r="E221" s="8">
        <v>47.8</v>
      </c>
      <c r="F221" s="8">
        <v>0</v>
      </c>
      <c r="G221" s="8">
        <v>0</v>
      </c>
      <c r="H221" s="8">
        <v>4.7</v>
      </c>
    </row>
    <row r="222" spans="1:8" ht="18.75" customHeight="1" x14ac:dyDescent="0.25">
      <c r="A222" s="6">
        <v>2</v>
      </c>
      <c r="B222" s="6">
        <v>221</v>
      </c>
      <c r="C222" s="7">
        <v>45593</v>
      </c>
      <c r="D222" s="6">
        <v>7</v>
      </c>
      <c r="E222" s="8">
        <v>52.3</v>
      </c>
      <c r="F222" s="8">
        <v>0</v>
      </c>
      <c r="G222" s="8">
        <v>0</v>
      </c>
      <c r="H222" s="8">
        <v>10.5</v>
      </c>
    </row>
    <row r="223" spans="1:8" ht="18.75" customHeight="1" x14ac:dyDescent="0.25">
      <c r="A223" s="6">
        <v>3</v>
      </c>
      <c r="B223" s="6">
        <v>222</v>
      </c>
      <c r="C223" s="7">
        <v>45594</v>
      </c>
      <c r="D223" s="6">
        <v>11</v>
      </c>
      <c r="E223" s="8">
        <v>71.2</v>
      </c>
      <c r="F223" s="8">
        <v>0</v>
      </c>
      <c r="G223" s="8">
        <v>0</v>
      </c>
      <c r="H223" s="8">
        <v>17.2</v>
      </c>
    </row>
    <row r="224" spans="1:8" ht="18.75" customHeight="1" x14ac:dyDescent="0.25">
      <c r="A224" s="6">
        <v>4</v>
      </c>
      <c r="B224" s="6">
        <v>223</v>
      </c>
      <c r="C224" s="7">
        <v>45595</v>
      </c>
      <c r="D224" s="6">
        <v>10</v>
      </c>
      <c r="E224" s="8">
        <v>73.599999999999994</v>
      </c>
      <c r="F224" s="8">
        <v>0</v>
      </c>
      <c r="G224" s="8">
        <v>0</v>
      </c>
      <c r="H224" s="8">
        <v>17.899999999999999</v>
      </c>
    </row>
    <row r="225" spans="1:9" ht="18.75" customHeight="1" x14ac:dyDescent="0.25">
      <c r="A225" s="6">
        <v>5</v>
      </c>
      <c r="B225" s="6">
        <v>224</v>
      </c>
      <c r="C225" s="7">
        <v>45596</v>
      </c>
      <c r="D225" s="6">
        <v>15</v>
      </c>
      <c r="E225" s="8">
        <v>65.7</v>
      </c>
      <c r="F225" s="8">
        <v>3.1E-2</v>
      </c>
      <c r="G225" s="8">
        <v>0</v>
      </c>
      <c r="H225" s="8">
        <v>19</v>
      </c>
      <c r="I225" s="36" t="s">
        <v>22</v>
      </c>
    </row>
    <row r="226" spans="1:9" ht="18.75" customHeight="1" x14ac:dyDescent="0.25">
      <c r="A226" s="6">
        <v>6</v>
      </c>
      <c r="B226" s="6">
        <v>225</v>
      </c>
      <c r="C226" s="7">
        <v>45597</v>
      </c>
      <c r="D226" s="6">
        <v>9</v>
      </c>
      <c r="E226" s="8">
        <v>45.7</v>
      </c>
      <c r="F226" s="8">
        <v>0</v>
      </c>
      <c r="G226" s="8">
        <v>0</v>
      </c>
      <c r="H226" s="8">
        <v>4.7</v>
      </c>
    </row>
    <row r="227" spans="1:9" ht="18.75" customHeight="1" x14ac:dyDescent="0.25">
      <c r="A227" s="6">
        <v>7</v>
      </c>
      <c r="B227" s="6">
        <v>226</v>
      </c>
      <c r="C227" s="7">
        <v>45598</v>
      </c>
      <c r="D227" s="6">
        <v>8</v>
      </c>
      <c r="E227" s="8">
        <v>46</v>
      </c>
      <c r="F227" s="8">
        <v>0</v>
      </c>
      <c r="G227" s="8">
        <v>0</v>
      </c>
      <c r="H227" s="8">
        <v>6.3</v>
      </c>
    </row>
    <row r="228" spans="1:9" ht="18.75" customHeight="1" x14ac:dyDescent="0.25">
      <c r="A228" s="6">
        <v>1</v>
      </c>
      <c r="B228" s="6">
        <v>227</v>
      </c>
      <c r="C228" s="7">
        <v>45599</v>
      </c>
      <c r="D228" s="6">
        <v>52</v>
      </c>
      <c r="E228" s="8">
        <v>53.2</v>
      </c>
      <c r="F228" s="8">
        <v>0.02</v>
      </c>
      <c r="G228" s="8">
        <v>0</v>
      </c>
      <c r="H228" s="8">
        <v>11.4</v>
      </c>
      <c r="I228" t="s">
        <v>52</v>
      </c>
    </row>
    <row r="229" spans="1:9" ht="18.75" customHeight="1" x14ac:dyDescent="0.25">
      <c r="A229" s="6">
        <v>2</v>
      </c>
      <c r="B229" s="6">
        <v>228</v>
      </c>
      <c r="C229" s="7">
        <v>45600</v>
      </c>
      <c r="D229" s="6">
        <v>13</v>
      </c>
      <c r="E229" s="8">
        <v>64.8</v>
      </c>
      <c r="F229" s="8">
        <v>0.57899999999999996</v>
      </c>
      <c r="G229" s="8">
        <v>0</v>
      </c>
      <c r="H229" s="8">
        <v>11.6</v>
      </c>
    </row>
    <row r="230" spans="1:9" ht="18.75" customHeight="1" x14ac:dyDescent="0.25">
      <c r="A230" s="6">
        <v>3</v>
      </c>
      <c r="B230" s="6">
        <v>229</v>
      </c>
      <c r="C230" s="7">
        <v>45601</v>
      </c>
      <c r="D230" s="6">
        <v>2</v>
      </c>
      <c r="E230" s="8">
        <v>64.8</v>
      </c>
      <c r="F230" s="8">
        <v>1.28</v>
      </c>
      <c r="G230" s="8">
        <v>0</v>
      </c>
      <c r="H230" s="8">
        <v>13.9</v>
      </c>
      <c r="I230" s="36" t="s">
        <v>23</v>
      </c>
    </row>
    <row r="231" spans="1:9" ht="18.75" customHeight="1" x14ac:dyDescent="0.25">
      <c r="A231" s="6">
        <v>4</v>
      </c>
      <c r="B231" s="6">
        <v>230</v>
      </c>
      <c r="C231" s="7">
        <v>45602</v>
      </c>
      <c r="D231" s="6">
        <v>31</v>
      </c>
      <c r="E231" s="8">
        <v>55.2</v>
      </c>
      <c r="F231" s="8">
        <v>0</v>
      </c>
      <c r="G231" s="8">
        <v>0</v>
      </c>
      <c r="H231" s="8">
        <v>7.8</v>
      </c>
    </row>
    <row r="232" spans="1:9" ht="18.75" customHeight="1" x14ac:dyDescent="0.25">
      <c r="A232" s="6">
        <v>5</v>
      </c>
      <c r="B232" s="6">
        <v>231</v>
      </c>
      <c r="C232" s="7">
        <v>45603</v>
      </c>
      <c r="D232" s="6">
        <v>13</v>
      </c>
      <c r="E232" s="8">
        <v>51.1</v>
      </c>
      <c r="F232" s="8">
        <v>0</v>
      </c>
      <c r="G232" s="8">
        <v>0</v>
      </c>
      <c r="H232" s="8">
        <v>6</v>
      </c>
    </row>
    <row r="233" spans="1:9" ht="18.75" customHeight="1" x14ac:dyDescent="0.25">
      <c r="A233" s="6">
        <v>6</v>
      </c>
      <c r="B233" s="6">
        <v>232</v>
      </c>
      <c r="C233" s="7">
        <v>45604</v>
      </c>
      <c r="D233" s="6">
        <v>14</v>
      </c>
      <c r="E233" s="8">
        <v>51.3</v>
      </c>
      <c r="F233" s="8">
        <v>0</v>
      </c>
      <c r="G233" s="8">
        <v>0</v>
      </c>
      <c r="H233" s="8">
        <v>8.5</v>
      </c>
    </row>
    <row r="234" spans="1:9" ht="18.75" customHeight="1" x14ac:dyDescent="0.25">
      <c r="A234" s="6">
        <v>7</v>
      </c>
      <c r="B234" s="6">
        <v>233</v>
      </c>
      <c r="C234" s="7">
        <v>45605</v>
      </c>
      <c r="D234" s="6">
        <v>11</v>
      </c>
      <c r="E234" s="8">
        <v>50.9</v>
      </c>
      <c r="F234" s="8">
        <v>0.20100000000000001</v>
      </c>
      <c r="G234" s="8">
        <v>0</v>
      </c>
      <c r="H234" s="8">
        <v>8.6999999999999993</v>
      </c>
    </row>
    <row r="235" spans="1:9" ht="18.75" customHeight="1" x14ac:dyDescent="0.25">
      <c r="A235" s="6">
        <v>1</v>
      </c>
      <c r="B235" s="6">
        <v>234</v>
      </c>
      <c r="C235" s="7">
        <v>45606</v>
      </c>
      <c r="D235" s="6">
        <v>22</v>
      </c>
      <c r="E235" s="8">
        <v>53.2</v>
      </c>
      <c r="F235" s="8">
        <v>7.9000000000000001E-2</v>
      </c>
      <c r="G235" s="8">
        <v>0</v>
      </c>
      <c r="H235" s="8">
        <v>11.4</v>
      </c>
    </row>
    <row r="236" spans="1:9" ht="18.75" customHeight="1" x14ac:dyDescent="0.25">
      <c r="A236" s="6">
        <v>2</v>
      </c>
      <c r="B236" s="6">
        <v>235</v>
      </c>
      <c r="C236" s="7">
        <v>45607</v>
      </c>
      <c r="D236" s="6">
        <v>28</v>
      </c>
      <c r="E236" s="8">
        <v>52.9</v>
      </c>
      <c r="F236" s="8">
        <v>0</v>
      </c>
      <c r="G236" s="8">
        <v>0</v>
      </c>
      <c r="H236" s="8">
        <v>13</v>
      </c>
      <c r="I236" s="36" t="s">
        <v>24</v>
      </c>
    </row>
    <row r="237" spans="1:9" ht="18.75" customHeight="1" x14ac:dyDescent="0.25">
      <c r="A237" s="6">
        <v>3</v>
      </c>
      <c r="B237" s="6">
        <v>236</v>
      </c>
      <c r="C237" s="7">
        <v>45608</v>
      </c>
      <c r="D237" s="6">
        <v>9</v>
      </c>
      <c r="E237" s="8">
        <v>45</v>
      </c>
      <c r="F237" s="8">
        <v>0</v>
      </c>
      <c r="G237" s="8">
        <v>0</v>
      </c>
      <c r="H237" s="8">
        <v>10.3</v>
      </c>
    </row>
    <row r="238" spans="1:9" ht="18.75" customHeight="1" x14ac:dyDescent="0.25">
      <c r="A238" s="6">
        <v>4</v>
      </c>
      <c r="B238" s="6">
        <v>237</v>
      </c>
      <c r="C238" s="7">
        <v>45609</v>
      </c>
      <c r="D238" s="6">
        <v>8</v>
      </c>
      <c r="E238" s="8">
        <v>45</v>
      </c>
      <c r="F238" s="8">
        <v>0.57099999999999995</v>
      </c>
      <c r="G238" s="8">
        <v>0</v>
      </c>
      <c r="H238" s="8">
        <v>9.6</v>
      </c>
    </row>
    <row r="239" spans="1:9" ht="18.75" customHeight="1" x14ac:dyDescent="0.25">
      <c r="A239" s="6">
        <v>5</v>
      </c>
      <c r="B239" s="6">
        <v>238</v>
      </c>
      <c r="C239" s="7">
        <v>45610</v>
      </c>
      <c r="D239" s="6">
        <v>36</v>
      </c>
      <c r="E239" s="8">
        <v>50.5</v>
      </c>
      <c r="F239" s="8">
        <v>0.11</v>
      </c>
      <c r="G239" s="8">
        <v>0</v>
      </c>
      <c r="H239" s="8">
        <v>7.4</v>
      </c>
    </row>
    <row r="240" spans="1:9" ht="18.75" customHeight="1" x14ac:dyDescent="0.25">
      <c r="A240" s="6">
        <v>6</v>
      </c>
      <c r="B240" s="6">
        <v>239</v>
      </c>
      <c r="C240" s="7">
        <v>45611</v>
      </c>
      <c r="D240" s="6">
        <v>38</v>
      </c>
      <c r="E240" s="8">
        <v>49.6</v>
      </c>
      <c r="F240" s="8">
        <v>0</v>
      </c>
      <c r="G240" s="8">
        <v>0</v>
      </c>
      <c r="H240" s="8">
        <v>4.5</v>
      </c>
    </row>
    <row r="241" spans="1:9" ht="18.75" customHeight="1" x14ac:dyDescent="0.25">
      <c r="A241" s="6">
        <v>7</v>
      </c>
      <c r="B241" s="6">
        <v>240</v>
      </c>
      <c r="C241" s="7">
        <v>45612</v>
      </c>
      <c r="D241" s="6">
        <v>28</v>
      </c>
      <c r="E241" s="8">
        <v>47.1</v>
      </c>
      <c r="F241" s="8">
        <v>0</v>
      </c>
      <c r="G241" s="8">
        <v>0</v>
      </c>
      <c r="H241" s="8">
        <v>7.8</v>
      </c>
    </row>
    <row r="242" spans="1:9" ht="18.75" customHeight="1" x14ac:dyDescent="0.25">
      <c r="A242" s="6">
        <v>1</v>
      </c>
      <c r="B242" s="6">
        <v>241</v>
      </c>
      <c r="C242" s="7">
        <v>45613</v>
      </c>
      <c r="D242" s="6">
        <v>37</v>
      </c>
      <c r="E242" s="8">
        <v>50.5</v>
      </c>
      <c r="F242" s="8">
        <v>3.1E-2</v>
      </c>
      <c r="G242" s="8">
        <v>0</v>
      </c>
      <c r="H242" s="8">
        <v>7.4</v>
      </c>
    </row>
    <row r="243" spans="1:9" ht="18.75" customHeight="1" x14ac:dyDescent="0.25">
      <c r="A243" s="6">
        <v>2</v>
      </c>
      <c r="B243" s="6">
        <v>242</v>
      </c>
      <c r="C243" s="7">
        <v>45614</v>
      </c>
      <c r="D243" s="6">
        <v>9</v>
      </c>
      <c r="E243" s="8">
        <v>53.2</v>
      </c>
      <c r="F243" s="8">
        <v>0.42099999999999999</v>
      </c>
      <c r="G243" s="8">
        <v>0</v>
      </c>
      <c r="H243" s="8">
        <v>8.9</v>
      </c>
    </row>
    <row r="244" spans="1:9" ht="18.75" customHeight="1" x14ac:dyDescent="0.25">
      <c r="A244" s="6">
        <v>3</v>
      </c>
      <c r="B244" s="6">
        <v>243</v>
      </c>
      <c r="C244" s="7">
        <v>45615</v>
      </c>
      <c r="D244" s="6">
        <v>13</v>
      </c>
      <c r="E244" s="8">
        <v>59.5</v>
      </c>
      <c r="F244" s="8">
        <v>5.8999999999999997E-2</v>
      </c>
      <c r="G244" s="8">
        <v>0</v>
      </c>
      <c r="H244" s="8">
        <v>14.5</v>
      </c>
    </row>
    <row r="245" spans="1:9" ht="18.75" customHeight="1" x14ac:dyDescent="0.25">
      <c r="A245" s="6">
        <v>4</v>
      </c>
      <c r="B245" s="6">
        <v>244</v>
      </c>
      <c r="C245" s="7">
        <v>45616</v>
      </c>
      <c r="D245" s="6">
        <v>12</v>
      </c>
      <c r="E245" s="8">
        <v>45.3</v>
      </c>
      <c r="F245" s="8">
        <v>0</v>
      </c>
      <c r="G245" s="8">
        <v>0</v>
      </c>
      <c r="H245" s="8">
        <v>13.2</v>
      </c>
    </row>
    <row r="246" spans="1:9" ht="18.75" customHeight="1" x14ac:dyDescent="0.25">
      <c r="A246" s="6">
        <v>5</v>
      </c>
      <c r="B246" s="6">
        <v>245</v>
      </c>
      <c r="C246" s="7">
        <v>45617</v>
      </c>
      <c r="D246" s="6">
        <v>19</v>
      </c>
      <c r="E246" s="8">
        <v>33.1</v>
      </c>
      <c r="F246" s="8">
        <v>0.28000000000000003</v>
      </c>
      <c r="G246" s="8">
        <v>0</v>
      </c>
      <c r="H246" s="8">
        <v>14.3</v>
      </c>
    </row>
    <row r="247" spans="1:9" ht="18.75" customHeight="1" x14ac:dyDescent="0.25">
      <c r="A247" s="6">
        <v>6</v>
      </c>
      <c r="B247" s="6">
        <v>246</v>
      </c>
      <c r="C247" s="7">
        <v>45618</v>
      </c>
      <c r="D247" s="6">
        <v>25</v>
      </c>
      <c r="E247" s="8">
        <v>41.5</v>
      </c>
      <c r="F247" s="8">
        <v>0</v>
      </c>
      <c r="G247" s="8">
        <v>0</v>
      </c>
      <c r="H247" s="8">
        <v>13</v>
      </c>
    </row>
    <row r="248" spans="1:9" ht="18.75" customHeight="1" x14ac:dyDescent="0.25">
      <c r="A248" s="6">
        <v>7</v>
      </c>
      <c r="B248" s="6">
        <v>247</v>
      </c>
      <c r="C248" s="7">
        <v>45619</v>
      </c>
      <c r="D248" s="6">
        <v>31</v>
      </c>
      <c r="E248" s="8">
        <v>41.4</v>
      </c>
      <c r="F248" s="8">
        <v>0</v>
      </c>
      <c r="G248" s="8">
        <v>0</v>
      </c>
      <c r="H248" s="8">
        <v>8.3000000000000007</v>
      </c>
    </row>
    <row r="249" spans="1:9" ht="18.75" customHeight="1" x14ac:dyDescent="0.25">
      <c r="A249" s="6">
        <v>1</v>
      </c>
      <c r="B249" s="6">
        <v>248</v>
      </c>
      <c r="C249" s="7">
        <v>45620</v>
      </c>
      <c r="D249" s="6">
        <v>12</v>
      </c>
      <c r="E249" s="8">
        <v>41.4</v>
      </c>
      <c r="F249" s="8">
        <v>0</v>
      </c>
      <c r="G249" s="8">
        <v>0</v>
      </c>
      <c r="H249" s="8">
        <v>7.6</v>
      </c>
    </row>
    <row r="250" spans="1:9" ht="18.75" customHeight="1" x14ac:dyDescent="0.25">
      <c r="A250" s="6">
        <v>2</v>
      </c>
      <c r="B250" s="6">
        <v>249</v>
      </c>
      <c r="C250" s="7">
        <v>45621</v>
      </c>
      <c r="D250" s="6">
        <v>6</v>
      </c>
      <c r="E250" s="8">
        <v>49.3</v>
      </c>
      <c r="F250" s="8">
        <v>0</v>
      </c>
      <c r="G250" s="8">
        <v>0</v>
      </c>
      <c r="H250" s="8">
        <v>8.9</v>
      </c>
    </row>
    <row r="251" spans="1:9" ht="18.75" customHeight="1" x14ac:dyDescent="0.25">
      <c r="A251" s="6">
        <v>3</v>
      </c>
      <c r="B251" s="6">
        <v>250</v>
      </c>
      <c r="C251" s="7">
        <v>45622</v>
      </c>
      <c r="D251" s="6">
        <v>9</v>
      </c>
      <c r="E251" s="8">
        <v>34.200000000000003</v>
      </c>
      <c r="F251" s="8">
        <v>0</v>
      </c>
      <c r="G251" s="8">
        <v>0</v>
      </c>
      <c r="H251" s="8">
        <v>9.6</v>
      </c>
    </row>
    <row r="252" spans="1:9" ht="18.75" customHeight="1" x14ac:dyDescent="0.25">
      <c r="A252" s="6">
        <v>4</v>
      </c>
      <c r="B252" s="6">
        <v>251</v>
      </c>
      <c r="C252" s="7">
        <v>45623</v>
      </c>
      <c r="D252" s="6">
        <v>12</v>
      </c>
      <c r="E252" s="8">
        <v>37.9</v>
      </c>
      <c r="F252" s="8">
        <v>0</v>
      </c>
      <c r="G252" s="8">
        <v>0</v>
      </c>
      <c r="H252" s="8">
        <v>6.3</v>
      </c>
    </row>
    <row r="253" spans="1:9" ht="18.75" customHeight="1" x14ac:dyDescent="0.25">
      <c r="A253" s="6">
        <v>5</v>
      </c>
      <c r="B253" s="6">
        <v>252</v>
      </c>
      <c r="C253" s="7">
        <v>45624</v>
      </c>
      <c r="D253" s="6">
        <v>0</v>
      </c>
      <c r="E253" s="8">
        <v>31.8</v>
      </c>
      <c r="F253" s="8">
        <v>0</v>
      </c>
      <c r="G253" s="8">
        <v>0</v>
      </c>
      <c r="H253" s="8">
        <v>12.3</v>
      </c>
      <c r="I253" s="36" t="s">
        <v>25</v>
      </c>
    </row>
    <row r="254" spans="1:9" ht="18.75" customHeight="1" x14ac:dyDescent="0.25">
      <c r="A254" s="6">
        <v>6</v>
      </c>
      <c r="B254" s="6">
        <v>253</v>
      </c>
      <c r="C254" s="7">
        <v>45625</v>
      </c>
      <c r="D254" s="6">
        <v>13</v>
      </c>
      <c r="E254" s="8">
        <v>25</v>
      </c>
      <c r="F254" s="8">
        <v>0</v>
      </c>
      <c r="G254" s="8">
        <v>0</v>
      </c>
      <c r="H254" s="8">
        <v>13.2</v>
      </c>
      <c r="I254" s="36" t="s">
        <v>26</v>
      </c>
    </row>
    <row r="255" spans="1:9" ht="18.75" customHeight="1" x14ac:dyDescent="0.25">
      <c r="A255" s="6">
        <v>7</v>
      </c>
      <c r="B255" s="6">
        <v>254</v>
      </c>
      <c r="C255" s="7">
        <v>45626</v>
      </c>
      <c r="D255" s="6">
        <v>18</v>
      </c>
      <c r="E255" s="8">
        <v>19.2</v>
      </c>
      <c r="F255" s="8">
        <v>0</v>
      </c>
      <c r="G255" s="8">
        <v>0</v>
      </c>
      <c r="H255" s="8">
        <v>10.9</v>
      </c>
    </row>
    <row r="256" spans="1:9" ht="18.75" customHeight="1" x14ac:dyDescent="0.25">
      <c r="A256" s="6">
        <v>1</v>
      </c>
      <c r="B256" s="6">
        <v>255</v>
      </c>
      <c r="C256" s="7">
        <v>45627</v>
      </c>
      <c r="D256" s="6">
        <v>23</v>
      </c>
      <c r="E256" s="8">
        <v>21</v>
      </c>
      <c r="F256" s="8">
        <v>0</v>
      </c>
      <c r="G256" s="8">
        <v>0</v>
      </c>
      <c r="H256" s="8">
        <v>8.3000000000000007</v>
      </c>
    </row>
    <row r="257" spans="1:8" ht="18.75" customHeight="1" x14ac:dyDescent="0.25">
      <c r="A257" s="6">
        <v>2</v>
      </c>
      <c r="B257" s="6">
        <v>256</v>
      </c>
      <c r="C257" s="7">
        <v>45628</v>
      </c>
      <c r="D257" s="6">
        <v>26</v>
      </c>
      <c r="E257" s="8">
        <v>19.399999999999999</v>
      </c>
      <c r="F257" s="8">
        <v>0</v>
      </c>
      <c r="G257" s="8">
        <v>0</v>
      </c>
      <c r="H257" s="8">
        <v>5.8</v>
      </c>
    </row>
    <row r="258" spans="1:8" ht="18.75" customHeight="1" x14ac:dyDescent="0.25">
      <c r="A258" s="6">
        <v>3</v>
      </c>
      <c r="B258" s="6">
        <v>257</v>
      </c>
      <c r="C258" s="7">
        <v>45629</v>
      </c>
      <c r="D258" s="6">
        <v>12</v>
      </c>
      <c r="E258" s="8">
        <v>21.2</v>
      </c>
      <c r="F258" s="8">
        <v>0</v>
      </c>
      <c r="G258" s="8">
        <v>0</v>
      </c>
      <c r="H258" s="8">
        <v>10.9</v>
      </c>
    </row>
    <row r="259" spans="1:8" ht="18.75" customHeight="1" x14ac:dyDescent="0.25">
      <c r="A259" s="6">
        <v>4</v>
      </c>
      <c r="B259" s="6">
        <v>258</v>
      </c>
      <c r="C259" s="7">
        <v>45630</v>
      </c>
      <c r="D259" s="6">
        <v>20</v>
      </c>
      <c r="E259" s="8">
        <v>29.5</v>
      </c>
      <c r="F259" s="8">
        <v>0</v>
      </c>
      <c r="G259" s="8">
        <v>0</v>
      </c>
      <c r="H259" s="8">
        <v>18.3</v>
      </c>
    </row>
    <row r="260" spans="1:8" ht="18.75" customHeight="1" x14ac:dyDescent="0.25">
      <c r="A260" s="6">
        <v>5</v>
      </c>
      <c r="B260" s="6">
        <v>259</v>
      </c>
      <c r="C260" s="7">
        <v>45631</v>
      </c>
      <c r="D260" s="6">
        <v>29</v>
      </c>
      <c r="E260" s="8">
        <v>20.3</v>
      </c>
      <c r="F260" s="8">
        <v>0</v>
      </c>
      <c r="G260" s="8">
        <v>0</v>
      </c>
      <c r="H260" s="8">
        <v>13.4</v>
      </c>
    </row>
    <row r="261" spans="1:8" ht="18.75" customHeight="1" x14ac:dyDescent="0.25">
      <c r="A261" s="6">
        <v>6</v>
      </c>
      <c r="B261" s="6">
        <v>260</v>
      </c>
      <c r="C261" s="7">
        <v>45632</v>
      </c>
      <c r="D261" s="6">
        <v>41</v>
      </c>
      <c r="E261" s="8">
        <v>22.3</v>
      </c>
      <c r="F261" s="8">
        <v>0</v>
      </c>
      <c r="G261" s="8">
        <v>0</v>
      </c>
      <c r="H261" s="8">
        <v>9.6</v>
      </c>
    </row>
    <row r="262" spans="1:8" ht="18.75" customHeight="1" x14ac:dyDescent="0.25">
      <c r="A262" s="6">
        <v>7</v>
      </c>
      <c r="B262" s="6">
        <v>261</v>
      </c>
      <c r="C262" s="7">
        <v>45633</v>
      </c>
      <c r="D262" s="6">
        <v>43</v>
      </c>
      <c r="E262" s="8">
        <v>32.700000000000003</v>
      </c>
      <c r="F262" s="8">
        <v>0</v>
      </c>
      <c r="G262" s="8">
        <v>0</v>
      </c>
      <c r="H262" s="8">
        <v>13.4</v>
      </c>
    </row>
    <row r="263" spans="1:8" ht="18.75" customHeight="1" x14ac:dyDescent="0.25">
      <c r="A263" s="6">
        <v>1</v>
      </c>
      <c r="B263" s="6">
        <v>262</v>
      </c>
      <c r="C263" s="7">
        <v>45634</v>
      </c>
      <c r="D263" s="6">
        <v>15</v>
      </c>
      <c r="E263" s="8">
        <v>46.2</v>
      </c>
      <c r="F263" s="8">
        <v>0</v>
      </c>
      <c r="G263" s="8">
        <v>0</v>
      </c>
      <c r="H263" s="8">
        <v>9.6</v>
      </c>
    </row>
    <row r="264" spans="1:8" ht="18.75" customHeight="1" x14ac:dyDescent="0.25">
      <c r="A264" s="6">
        <v>2</v>
      </c>
      <c r="B264" s="6">
        <v>263</v>
      </c>
      <c r="C264" s="7">
        <v>45635</v>
      </c>
      <c r="D264" s="6">
        <v>8</v>
      </c>
      <c r="E264" s="8">
        <v>48.9</v>
      </c>
      <c r="F264" s="8">
        <v>0</v>
      </c>
      <c r="G264" s="8">
        <v>0</v>
      </c>
      <c r="H264" s="8">
        <v>10.8</v>
      </c>
    </row>
    <row r="265" spans="1:8" ht="18.75" customHeight="1" x14ac:dyDescent="0.25">
      <c r="A265" s="6">
        <v>3</v>
      </c>
      <c r="B265" s="6">
        <v>264</v>
      </c>
      <c r="C265" s="7">
        <v>45636</v>
      </c>
      <c r="D265" s="6">
        <v>3</v>
      </c>
      <c r="E265" s="8">
        <v>37.6</v>
      </c>
      <c r="F265" s="8">
        <v>0</v>
      </c>
      <c r="G265" s="8">
        <v>2.008</v>
      </c>
      <c r="H265" s="8">
        <v>9.6</v>
      </c>
    </row>
    <row r="266" spans="1:8" ht="18.75" customHeight="1" x14ac:dyDescent="0.25">
      <c r="A266" s="6">
        <v>4</v>
      </c>
      <c r="B266" s="6">
        <v>265</v>
      </c>
      <c r="C266" s="7">
        <v>45637</v>
      </c>
      <c r="D266" s="6">
        <v>17</v>
      </c>
      <c r="E266" s="8">
        <v>29.1</v>
      </c>
      <c r="F266" s="8">
        <v>0</v>
      </c>
      <c r="G266" s="8">
        <v>0</v>
      </c>
      <c r="H266" s="8">
        <v>13.9</v>
      </c>
    </row>
    <row r="267" spans="1:8" ht="18.75" customHeight="1" x14ac:dyDescent="0.25">
      <c r="A267" s="6">
        <v>5</v>
      </c>
      <c r="B267" s="6">
        <v>266</v>
      </c>
      <c r="C267" s="7">
        <v>45638</v>
      </c>
      <c r="D267" s="6">
        <v>16</v>
      </c>
      <c r="E267" s="8">
        <v>11.1</v>
      </c>
      <c r="F267" s="8">
        <v>0</v>
      </c>
      <c r="G267" s="8">
        <v>0</v>
      </c>
      <c r="H267" s="8">
        <v>10.5</v>
      </c>
    </row>
    <row r="268" spans="1:8" ht="18.75" customHeight="1" x14ac:dyDescent="0.25">
      <c r="A268" s="6">
        <v>6</v>
      </c>
      <c r="B268" s="6">
        <v>267</v>
      </c>
      <c r="C268" s="7">
        <v>45639</v>
      </c>
      <c r="D268" s="6">
        <v>26</v>
      </c>
      <c r="E268" s="8">
        <v>14.5</v>
      </c>
      <c r="F268" s="8">
        <v>0</v>
      </c>
      <c r="G268" s="8">
        <v>0</v>
      </c>
      <c r="H268" s="8">
        <v>7.8</v>
      </c>
    </row>
    <row r="269" spans="1:8" ht="18.75" customHeight="1" x14ac:dyDescent="0.25">
      <c r="A269" s="6">
        <v>7</v>
      </c>
      <c r="B269" s="6">
        <v>268</v>
      </c>
      <c r="C269" s="7">
        <v>45640</v>
      </c>
      <c r="D269" s="6">
        <v>36</v>
      </c>
      <c r="E269" s="8">
        <v>30</v>
      </c>
      <c r="F269" s="8">
        <v>0.33100000000000002</v>
      </c>
      <c r="G269" s="8">
        <v>0</v>
      </c>
      <c r="H269" s="8">
        <v>11.6</v>
      </c>
    </row>
    <row r="270" spans="1:8" ht="18.75" customHeight="1" x14ac:dyDescent="0.25">
      <c r="A270" s="6">
        <v>1</v>
      </c>
      <c r="B270" s="6">
        <v>269</v>
      </c>
      <c r="C270" s="7">
        <v>45641</v>
      </c>
      <c r="D270" s="6">
        <v>23</v>
      </c>
      <c r="E270" s="8">
        <v>40.299999999999997</v>
      </c>
      <c r="F270" s="8">
        <v>5.0999999999999997E-2</v>
      </c>
      <c r="G270" s="8">
        <v>0</v>
      </c>
      <c r="H270" s="8">
        <v>5.8</v>
      </c>
    </row>
    <row r="271" spans="1:8" ht="18.75" customHeight="1" x14ac:dyDescent="0.25">
      <c r="A271" s="6">
        <v>2</v>
      </c>
      <c r="B271" s="6">
        <v>270</v>
      </c>
      <c r="C271" s="7">
        <v>45642</v>
      </c>
      <c r="D271" s="6">
        <v>22</v>
      </c>
      <c r="E271" s="8">
        <v>45.3</v>
      </c>
      <c r="F271" s="8">
        <v>3.1E-2</v>
      </c>
      <c r="G271" s="8">
        <v>0</v>
      </c>
      <c r="H271" s="8">
        <v>10.9</v>
      </c>
    </row>
    <row r="272" spans="1:8" ht="18.75" customHeight="1" x14ac:dyDescent="0.25">
      <c r="A272" s="6">
        <v>3</v>
      </c>
      <c r="B272" s="6">
        <v>271</v>
      </c>
      <c r="C272" s="7">
        <v>45643</v>
      </c>
      <c r="D272" s="6">
        <v>23</v>
      </c>
      <c r="E272" s="8">
        <v>37</v>
      </c>
      <c r="F272" s="8">
        <v>0</v>
      </c>
      <c r="G272" s="8">
        <v>0</v>
      </c>
      <c r="H272" s="8">
        <v>8.1</v>
      </c>
    </row>
    <row r="273" spans="1:9" ht="18.75" customHeight="1" x14ac:dyDescent="0.25">
      <c r="A273" s="6">
        <v>4</v>
      </c>
      <c r="B273" s="6">
        <v>272</v>
      </c>
      <c r="C273" s="7">
        <v>45644</v>
      </c>
      <c r="D273" s="6">
        <v>15</v>
      </c>
      <c r="E273" s="8">
        <v>32.700000000000003</v>
      </c>
      <c r="F273" s="8">
        <v>0</v>
      </c>
      <c r="G273" s="8">
        <v>0</v>
      </c>
      <c r="H273" s="8">
        <v>9.6</v>
      </c>
    </row>
    <row r="274" spans="1:9" ht="18.75" customHeight="1" x14ac:dyDescent="0.25">
      <c r="A274" s="6">
        <v>5</v>
      </c>
      <c r="B274" s="6">
        <v>273</v>
      </c>
      <c r="C274" s="7">
        <v>45645</v>
      </c>
      <c r="D274" s="6">
        <v>35</v>
      </c>
      <c r="E274" s="8">
        <v>27.9</v>
      </c>
      <c r="F274" s="8">
        <v>9.0999999999999998E-2</v>
      </c>
      <c r="G274" s="8">
        <v>0</v>
      </c>
      <c r="H274" s="8">
        <v>8.1</v>
      </c>
    </row>
    <row r="275" spans="1:9" ht="18.75" customHeight="1" x14ac:dyDescent="0.25">
      <c r="A275" s="6">
        <v>6</v>
      </c>
      <c r="B275" s="6">
        <v>274</v>
      </c>
      <c r="C275" s="7">
        <v>45646</v>
      </c>
      <c r="D275" s="6">
        <v>26</v>
      </c>
      <c r="E275" s="8">
        <v>32.4</v>
      </c>
      <c r="F275" s="8">
        <v>7.9000000000000001E-2</v>
      </c>
      <c r="G275" s="8">
        <v>2.008</v>
      </c>
      <c r="H275" s="8">
        <v>14.1</v>
      </c>
    </row>
    <row r="276" spans="1:9" ht="18.75" customHeight="1" x14ac:dyDescent="0.25">
      <c r="A276" s="6">
        <v>7</v>
      </c>
      <c r="B276" s="6">
        <v>275</v>
      </c>
      <c r="C276" s="7">
        <v>45647</v>
      </c>
      <c r="D276" s="6">
        <v>31</v>
      </c>
      <c r="E276" s="8">
        <v>21.6</v>
      </c>
      <c r="F276" s="8">
        <v>0</v>
      </c>
      <c r="G276" s="8">
        <v>2.008</v>
      </c>
      <c r="H276" s="8">
        <v>5.8</v>
      </c>
    </row>
    <row r="277" spans="1:9" ht="18.75" customHeight="1" x14ac:dyDescent="0.25">
      <c r="A277" s="6">
        <v>1</v>
      </c>
      <c r="B277" s="6">
        <v>276</v>
      </c>
      <c r="C277" s="7">
        <v>45648</v>
      </c>
      <c r="D277" s="6">
        <v>91</v>
      </c>
      <c r="E277" s="8">
        <v>22.3</v>
      </c>
      <c r="F277" s="8">
        <v>0</v>
      </c>
      <c r="G277" s="8">
        <v>0.98399999999999999</v>
      </c>
      <c r="H277" s="8">
        <v>8.6999999999999993</v>
      </c>
    </row>
    <row r="278" spans="1:9" ht="18.75" customHeight="1" x14ac:dyDescent="0.25">
      <c r="A278" s="6">
        <v>2</v>
      </c>
      <c r="B278" s="6">
        <v>277</v>
      </c>
      <c r="C278" s="7">
        <v>45649</v>
      </c>
      <c r="D278" s="6">
        <v>32</v>
      </c>
      <c r="E278" s="8">
        <v>34.700000000000003</v>
      </c>
      <c r="F278" s="8">
        <v>0</v>
      </c>
      <c r="G278" s="8">
        <v>0.98399999999999999</v>
      </c>
      <c r="H278" s="8">
        <v>10.3</v>
      </c>
    </row>
    <row r="279" spans="1:9" ht="18.75" customHeight="1" x14ac:dyDescent="0.25">
      <c r="A279" s="6">
        <v>3</v>
      </c>
      <c r="B279" s="6">
        <v>278</v>
      </c>
      <c r="C279" s="7">
        <v>45650</v>
      </c>
      <c r="D279" s="6">
        <v>0</v>
      </c>
      <c r="E279" s="8">
        <v>36</v>
      </c>
      <c r="F279" s="8">
        <v>0</v>
      </c>
      <c r="G279" s="8">
        <v>0</v>
      </c>
      <c r="H279" s="8">
        <v>8.1</v>
      </c>
      <c r="I279" s="36" t="s">
        <v>27</v>
      </c>
    </row>
    <row r="280" spans="1:9" ht="18.75" customHeight="1" x14ac:dyDescent="0.25">
      <c r="A280" s="6">
        <v>4</v>
      </c>
      <c r="B280" s="6">
        <v>279</v>
      </c>
      <c r="C280" s="7">
        <v>45651</v>
      </c>
      <c r="D280" s="6">
        <v>0</v>
      </c>
      <c r="E280" s="8">
        <v>34.5</v>
      </c>
      <c r="F280" s="8">
        <v>0</v>
      </c>
      <c r="G280" s="8">
        <v>0</v>
      </c>
      <c r="H280" s="8">
        <v>6.3</v>
      </c>
      <c r="I280" s="36" t="s">
        <v>28</v>
      </c>
    </row>
    <row r="281" spans="1:9" ht="18.75" customHeight="1" x14ac:dyDescent="0.25">
      <c r="A281" s="6">
        <v>5</v>
      </c>
      <c r="B281" s="6">
        <v>280</v>
      </c>
      <c r="C281" s="7">
        <v>45652</v>
      </c>
      <c r="D281" s="6">
        <v>13</v>
      </c>
      <c r="E281" s="8">
        <v>41.4</v>
      </c>
      <c r="F281" s="8">
        <v>5.0999999999999997E-2</v>
      </c>
      <c r="G281" s="8">
        <v>0</v>
      </c>
      <c r="H281" s="8">
        <v>6.7</v>
      </c>
      <c r="I281" s="36" t="s">
        <v>29</v>
      </c>
    </row>
    <row r="282" spans="1:9" ht="18.75" customHeight="1" x14ac:dyDescent="0.25">
      <c r="A282" s="6">
        <v>6</v>
      </c>
      <c r="B282" s="6">
        <v>281</v>
      </c>
      <c r="C282" s="7">
        <v>45653</v>
      </c>
      <c r="D282" s="6">
        <v>34</v>
      </c>
      <c r="E282" s="8">
        <v>47.1</v>
      </c>
      <c r="F282" s="8">
        <v>0.26</v>
      </c>
      <c r="G282" s="8">
        <v>0</v>
      </c>
      <c r="H282" s="8">
        <v>9.1999999999999993</v>
      </c>
    </row>
    <row r="283" spans="1:9" ht="18.75" customHeight="1" x14ac:dyDescent="0.25">
      <c r="A283" s="6">
        <v>7</v>
      </c>
      <c r="B283" s="6">
        <v>282</v>
      </c>
      <c r="C283" s="7">
        <v>45654</v>
      </c>
      <c r="D283" s="6">
        <v>34</v>
      </c>
      <c r="E283" s="8">
        <v>49.8</v>
      </c>
      <c r="F283" s="8">
        <v>0</v>
      </c>
      <c r="G283" s="8">
        <v>0</v>
      </c>
      <c r="H283" s="8">
        <v>10.5</v>
      </c>
    </row>
    <row r="284" spans="1:9" ht="18.75" customHeight="1" x14ac:dyDescent="0.25">
      <c r="A284" s="6">
        <v>1</v>
      </c>
      <c r="B284" s="6">
        <v>283</v>
      </c>
      <c r="C284" s="7">
        <v>45655</v>
      </c>
      <c r="D284" s="6">
        <v>24</v>
      </c>
      <c r="E284" s="8">
        <v>43.9</v>
      </c>
      <c r="F284" s="8">
        <v>0.46899999999999997</v>
      </c>
      <c r="G284" s="8">
        <v>0</v>
      </c>
      <c r="H284" s="8">
        <v>10.5</v>
      </c>
    </row>
    <row r="285" spans="1:9" ht="18.75" customHeight="1" x14ac:dyDescent="0.25">
      <c r="A285" s="6">
        <v>2</v>
      </c>
      <c r="B285" s="6">
        <v>284</v>
      </c>
      <c r="C285" s="7">
        <v>45656</v>
      </c>
      <c r="D285" s="6">
        <v>14</v>
      </c>
      <c r="E285" s="8">
        <v>36.700000000000003</v>
      </c>
      <c r="F285" s="8">
        <v>0</v>
      </c>
      <c r="G285" s="8">
        <v>0</v>
      </c>
      <c r="H285" s="8">
        <v>4.9000000000000004</v>
      </c>
    </row>
    <row r="286" spans="1:9" ht="18.75" customHeight="1" x14ac:dyDescent="0.25">
      <c r="A286" s="6">
        <v>3</v>
      </c>
      <c r="B286" s="6">
        <v>285</v>
      </c>
      <c r="C286" s="7">
        <v>45657</v>
      </c>
      <c r="D286" s="6">
        <v>4</v>
      </c>
      <c r="E286" s="8">
        <v>38.799999999999997</v>
      </c>
      <c r="F286" s="8">
        <v>0.57099999999999995</v>
      </c>
      <c r="G286" s="8">
        <v>0</v>
      </c>
      <c r="H286" s="8">
        <v>14.9</v>
      </c>
      <c r="I286" s="36" t="s">
        <v>30</v>
      </c>
    </row>
    <row r="287" spans="1:9" ht="18.75" customHeight="1" x14ac:dyDescent="0.25">
      <c r="A287" s="6">
        <v>4</v>
      </c>
      <c r="B287" s="6">
        <v>286</v>
      </c>
      <c r="C287" s="7">
        <v>45658</v>
      </c>
      <c r="D287" s="6">
        <v>0</v>
      </c>
      <c r="E287" s="8">
        <v>31.3</v>
      </c>
      <c r="F287" s="8">
        <v>0</v>
      </c>
      <c r="G287" s="8">
        <v>0</v>
      </c>
      <c r="H287" s="8">
        <v>13.2</v>
      </c>
      <c r="I287" s="36" t="s">
        <v>31</v>
      </c>
    </row>
    <row r="288" spans="1:9" ht="18.75" customHeight="1" x14ac:dyDescent="0.25">
      <c r="A288" s="6">
        <v>5</v>
      </c>
      <c r="B288" s="6">
        <v>287</v>
      </c>
      <c r="C288" s="7">
        <v>45659</v>
      </c>
      <c r="D288" s="6">
        <v>19</v>
      </c>
      <c r="E288" s="8">
        <v>27</v>
      </c>
      <c r="F288" s="8">
        <v>1.2E-2</v>
      </c>
      <c r="G288" s="8">
        <v>0</v>
      </c>
      <c r="H288" s="8">
        <v>9.1999999999999993</v>
      </c>
    </row>
    <row r="289" spans="1:8" ht="18.75" customHeight="1" x14ac:dyDescent="0.25">
      <c r="A289" s="6">
        <v>6</v>
      </c>
      <c r="B289" s="6">
        <v>288</v>
      </c>
      <c r="C289" s="7">
        <v>45660</v>
      </c>
      <c r="D289" s="6">
        <v>13</v>
      </c>
      <c r="E289" s="8">
        <v>24.4</v>
      </c>
      <c r="F289" s="8">
        <v>0</v>
      </c>
      <c r="G289" s="8">
        <v>0</v>
      </c>
      <c r="H289" s="8">
        <v>11.9</v>
      </c>
    </row>
    <row r="290" spans="1:8" ht="18.75" customHeight="1" x14ac:dyDescent="0.25">
      <c r="A290" s="6">
        <v>7</v>
      </c>
      <c r="B290" s="6">
        <v>289</v>
      </c>
      <c r="C290" s="7">
        <v>45661</v>
      </c>
      <c r="D290" s="6">
        <v>29</v>
      </c>
      <c r="E290" s="8">
        <v>18.3</v>
      </c>
      <c r="F290" s="8">
        <v>0</v>
      </c>
      <c r="G290" s="8">
        <v>0</v>
      </c>
      <c r="H290" s="8">
        <v>9.4</v>
      </c>
    </row>
    <row r="291" spans="1:8" ht="18.75" customHeight="1" x14ac:dyDescent="0.25">
      <c r="A291" s="6">
        <v>1</v>
      </c>
      <c r="B291" s="6">
        <v>290</v>
      </c>
      <c r="C291" s="7">
        <v>45662</v>
      </c>
      <c r="D291" s="6">
        <v>25</v>
      </c>
      <c r="E291" s="8">
        <v>18.100000000000001</v>
      </c>
      <c r="F291" s="8">
        <v>0</v>
      </c>
      <c r="G291" s="8">
        <v>0</v>
      </c>
      <c r="H291" s="8">
        <v>9.1999999999999993</v>
      </c>
    </row>
    <row r="292" spans="1:8" ht="18.75" customHeight="1" x14ac:dyDescent="0.25">
      <c r="A292" s="6">
        <v>2</v>
      </c>
      <c r="B292" s="6">
        <v>291</v>
      </c>
      <c r="C292" s="7">
        <v>45663</v>
      </c>
      <c r="D292" s="6">
        <v>2</v>
      </c>
      <c r="E292" s="8">
        <v>23.9</v>
      </c>
      <c r="F292" s="8">
        <v>1.2E-2</v>
      </c>
      <c r="G292" s="8">
        <v>0</v>
      </c>
      <c r="H292" s="8">
        <v>15</v>
      </c>
    </row>
    <row r="293" spans="1:8" ht="18.75" customHeight="1" x14ac:dyDescent="0.25">
      <c r="A293" s="6">
        <v>3</v>
      </c>
      <c r="B293" s="6">
        <v>292</v>
      </c>
      <c r="C293" s="7">
        <v>45664</v>
      </c>
      <c r="D293" s="6">
        <v>4</v>
      </c>
      <c r="E293" s="8">
        <v>21.6</v>
      </c>
      <c r="F293" s="8">
        <v>0</v>
      </c>
      <c r="G293" s="8">
        <v>0</v>
      </c>
      <c r="H293" s="8">
        <v>6.7</v>
      </c>
    </row>
    <row r="294" spans="1:8" ht="18.75" customHeight="1" x14ac:dyDescent="0.25">
      <c r="A294" s="6">
        <v>4</v>
      </c>
      <c r="B294" s="6">
        <v>293</v>
      </c>
      <c r="C294" s="7">
        <v>45665</v>
      </c>
      <c r="D294" s="6">
        <v>2</v>
      </c>
      <c r="E294" s="8">
        <v>19.899999999999999</v>
      </c>
      <c r="F294" s="8">
        <v>0</v>
      </c>
      <c r="G294" s="8">
        <v>0</v>
      </c>
      <c r="H294" s="8">
        <v>5.8</v>
      </c>
    </row>
    <row r="295" spans="1:8" ht="18.75" customHeight="1" x14ac:dyDescent="0.25">
      <c r="A295" s="6">
        <v>5</v>
      </c>
      <c r="B295" s="6">
        <v>294</v>
      </c>
      <c r="C295" s="7">
        <v>45666</v>
      </c>
      <c r="D295" s="6">
        <v>23</v>
      </c>
      <c r="E295" s="8">
        <v>20.100000000000001</v>
      </c>
      <c r="F295" s="8">
        <v>0</v>
      </c>
      <c r="G295" s="8">
        <v>0</v>
      </c>
      <c r="H295" s="8">
        <v>8.3000000000000007</v>
      </c>
    </row>
    <row r="296" spans="1:8" ht="18.75" customHeight="1" x14ac:dyDescent="0.25">
      <c r="A296" s="6">
        <v>6</v>
      </c>
      <c r="B296" s="6">
        <v>295</v>
      </c>
      <c r="C296" s="7">
        <v>45667</v>
      </c>
      <c r="D296" s="6">
        <v>14</v>
      </c>
      <c r="E296" s="8">
        <v>25</v>
      </c>
      <c r="F296" s="8">
        <v>0.13</v>
      </c>
      <c r="G296" s="8">
        <v>0</v>
      </c>
      <c r="H296" s="8">
        <v>7.8</v>
      </c>
    </row>
    <row r="297" spans="1:8" ht="18.75" customHeight="1" x14ac:dyDescent="0.25">
      <c r="A297" s="6">
        <v>7</v>
      </c>
      <c r="B297" s="6">
        <v>296</v>
      </c>
      <c r="C297" s="7">
        <v>45668</v>
      </c>
      <c r="D297" s="6">
        <v>24</v>
      </c>
      <c r="E297" s="8">
        <v>28.4</v>
      </c>
      <c r="F297" s="8">
        <v>0</v>
      </c>
      <c r="G297" s="8">
        <v>2.008</v>
      </c>
      <c r="H297" s="8">
        <v>8.9</v>
      </c>
    </row>
    <row r="298" spans="1:8" ht="18.75" customHeight="1" x14ac:dyDescent="0.25">
      <c r="A298" s="6">
        <v>1</v>
      </c>
      <c r="B298" s="6">
        <v>297</v>
      </c>
      <c r="C298" s="7">
        <v>45669</v>
      </c>
      <c r="D298" s="6">
        <v>46</v>
      </c>
      <c r="E298" s="8">
        <v>29.8</v>
      </c>
      <c r="F298" s="8">
        <v>3.1E-2</v>
      </c>
      <c r="G298" s="8">
        <v>0.98399999999999999</v>
      </c>
      <c r="H298" s="8">
        <v>13.9</v>
      </c>
    </row>
    <row r="299" spans="1:8" ht="18.75" customHeight="1" x14ac:dyDescent="0.25">
      <c r="A299" s="6">
        <v>2</v>
      </c>
      <c r="B299" s="6">
        <v>298</v>
      </c>
      <c r="C299" s="7">
        <v>45670</v>
      </c>
      <c r="D299" s="6">
        <v>22</v>
      </c>
      <c r="E299" s="8">
        <v>17.2</v>
      </c>
      <c r="F299" s="8">
        <v>0</v>
      </c>
      <c r="G299" s="8">
        <v>0.98399999999999999</v>
      </c>
      <c r="H299" s="8">
        <v>12.7</v>
      </c>
    </row>
    <row r="300" spans="1:8" ht="18.75" customHeight="1" x14ac:dyDescent="0.25">
      <c r="A300" s="6">
        <v>3</v>
      </c>
      <c r="B300" s="6">
        <v>299</v>
      </c>
      <c r="C300" s="7">
        <v>45671</v>
      </c>
      <c r="D300" s="6">
        <v>18</v>
      </c>
      <c r="E300" s="8">
        <v>14.2</v>
      </c>
      <c r="F300" s="8">
        <v>1.2E-2</v>
      </c>
      <c r="G300" s="8">
        <v>0.98399999999999999</v>
      </c>
      <c r="H300" s="8">
        <v>9.1999999999999993</v>
      </c>
    </row>
    <row r="301" spans="1:8" ht="18.75" customHeight="1" x14ac:dyDescent="0.25">
      <c r="A301" s="6">
        <v>4</v>
      </c>
      <c r="B301" s="6">
        <v>300</v>
      </c>
      <c r="C301" s="7">
        <v>45672</v>
      </c>
      <c r="D301" s="6">
        <v>6</v>
      </c>
      <c r="E301" s="8">
        <v>10.9</v>
      </c>
      <c r="F301" s="8">
        <v>0</v>
      </c>
      <c r="G301" s="8">
        <v>0.98399999999999999</v>
      </c>
      <c r="H301" s="8">
        <v>9.6</v>
      </c>
    </row>
    <row r="302" spans="1:8" ht="18.75" customHeight="1" x14ac:dyDescent="0.25">
      <c r="A302" s="6">
        <v>5</v>
      </c>
      <c r="B302" s="6">
        <v>301</v>
      </c>
      <c r="C302" s="7">
        <v>45673</v>
      </c>
      <c r="D302" s="6">
        <v>10</v>
      </c>
      <c r="E302" s="8">
        <v>25.5</v>
      </c>
      <c r="F302" s="8">
        <v>1.2E-2</v>
      </c>
      <c r="G302" s="8">
        <v>0.98399999999999999</v>
      </c>
      <c r="H302" s="8">
        <v>10.5</v>
      </c>
    </row>
    <row r="303" spans="1:8" ht="18.75" customHeight="1" x14ac:dyDescent="0.25">
      <c r="A303" s="6">
        <v>6</v>
      </c>
      <c r="B303" s="6">
        <v>302</v>
      </c>
      <c r="C303" s="7">
        <v>45674</v>
      </c>
      <c r="D303" s="6">
        <v>6</v>
      </c>
      <c r="E303" s="8">
        <v>34.9</v>
      </c>
      <c r="F303" s="8">
        <v>0</v>
      </c>
      <c r="G303" s="8">
        <v>0</v>
      </c>
      <c r="H303" s="8">
        <v>13.2</v>
      </c>
    </row>
    <row r="304" spans="1:8" ht="18.75" customHeight="1" x14ac:dyDescent="0.25">
      <c r="A304" s="6">
        <v>7</v>
      </c>
      <c r="B304" s="6">
        <v>303</v>
      </c>
      <c r="C304" s="7">
        <v>45675</v>
      </c>
      <c r="D304" s="6">
        <v>11</v>
      </c>
      <c r="E304" s="8">
        <v>34</v>
      </c>
      <c r="F304" s="8">
        <v>0</v>
      </c>
      <c r="G304" s="8">
        <v>0</v>
      </c>
      <c r="H304" s="8">
        <v>13.4</v>
      </c>
    </row>
    <row r="305" spans="1:9" ht="18.75" customHeight="1" x14ac:dyDescent="0.25">
      <c r="A305" s="6">
        <v>1</v>
      </c>
      <c r="B305" s="6">
        <v>304</v>
      </c>
      <c r="C305" s="7">
        <v>45676</v>
      </c>
      <c r="D305" s="6">
        <v>30</v>
      </c>
      <c r="E305" s="8">
        <v>11.7</v>
      </c>
      <c r="F305" s="8">
        <v>0</v>
      </c>
      <c r="G305" s="8">
        <v>0</v>
      </c>
      <c r="H305" s="8">
        <v>12.7</v>
      </c>
    </row>
    <row r="306" spans="1:9" ht="18.75" customHeight="1" x14ac:dyDescent="0.25">
      <c r="A306" s="6">
        <v>2</v>
      </c>
      <c r="B306" s="6">
        <v>305</v>
      </c>
      <c r="C306" s="7">
        <v>45677</v>
      </c>
      <c r="D306" s="6">
        <v>0</v>
      </c>
      <c r="E306" s="8">
        <v>3.6</v>
      </c>
      <c r="F306" s="8">
        <v>0</v>
      </c>
      <c r="G306" s="8">
        <v>0</v>
      </c>
      <c r="H306" s="8">
        <v>11.9</v>
      </c>
      <c r="I306" s="36" t="s">
        <v>32</v>
      </c>
    </row>
    <row r="307" spans="1:9" ht="18.75" customHeight="1" x14ac:dyDescent="0.25">
      <c r="A307" s="6">
        <v>3</v>
      </c>
      <c r="B307" s="6">
        <v>306</v>
      </c>
      <c r="C307" s="7">
        <v>45678</v>
      </c>
      <c r="D307" s="6">
        <v>2</v>
      </c>
      <c r="E307" s="8">
        <v>-1.1000000000000001</v>
      </c>
      <c r="F307" s="8">
        <v>0</v>
      </c>
      <c r="G307" s="8">
        <v>0</v>
      </c>
      <c r="H307" s="8">
        <v>12.6</v>
      </c>
    </row>
    <row r="308" spans="1:9" ht="18.75" customHeight="1" x14ac:dyDescent="0.25">
      <c r="A308" s="6">
        <v>4</v>
      </c>
      <c r="B308" s="6">
        <v>307</v>
      </c>
      <c r="C308" s="7">
        <v>45679</v>
      </c>
      <c r="D308" s="6">
        <v>14</v>
      </c>
      <c r="E308" s="8">
        <v>8.1999999999999993</v>
      </c>
      <c r="F308" s="8">
        <v>0.02</v>
      </c>
      <c r="G308" s="8">
        <v>0</v>
      </c>
      <c r="H308" s="8">
        <v>13</v>
      </c>
    </row>
    <row r="309" spans="1:9" ht="18.75" customHeight="1" x14ac:dyDescent="0.25">
      <c r="A309" s="6">
        <v>5</v>
      </c>
      <c r="B309" s="6">
        <v>308</v>
      </c>
      <c r="C309" s="7">
        <v>45680</v>
      </c>
      <c r="D309" s="6">
        <v>5</v>
      </c>
      <c r="E309" s="8">
        <v>20.5</v>
      </c>
      <c r="F309" s="8">
        <v>1.2E-2</v>
      </c>
      <c r="G309" s="8">
        <v>0.98399999999999999</v>
      </c>
      <c r="H309" s="8">
        <v>10.1</v>
      </c>
    </row>
    <row r="310" spans="1:9" ht="18.75" customHeight="1" x14ac:dyDescent="0.25">
      <c r="A310" s="6">
        <v>6</v>
      </c>
      <c r="B310" s="6">
        <v>309</v>
      </c>
      <c r="C310" s="7">
        <v>45681</v>
      </c>
      <c r="D310" s="6">
        <v>17</v>
      </c>
      <c r="E310" s="8">
        <v>10.8</v>
      </c>
      <c r="F310" s="8">
        <v>0</v>
      </c>
      <c r="G310" s="8">
        <v>0</v>
      </c>
      <c r="H310" s="8">
        <v>8.6999999999999993</v>
      </c>
    </row>
    <row r="311" spans="1:9" ht="18.75" customHeight="1" x14ac:dyDescent="0.25">
      <c r="A311" s="6">
        <v>7</v>
      </c>
      <c r="B311" s="6">
        <v>310</v>
      </c>
      <c r="C311" s="7">
        <v>45682</v>
      </c>
      <c r="D311" s="6">
        <v>32</v>
      </c>
      <c r="E311" s="8">
        <v>27.3</v>
      </c>
      <c r="F311" s="8">
        <v>0</v>
      </c>
      <c r="G311" s="8">
        <v>0</v>
      </c>
      <c r="H311" s="8">
        <v>14.3</v>
      </c>
    </row>
    <row r="312" spans="1:9" ht="18.75" customHeight="1" x14ac:dyDescent="0.25">
      <c r="A312" s="6">
        <v>1</v>
      </c>
      <c r="B312" s="6">
        <v>311</v>
      </c>
      <c r="C312" s="7">
        <v>45683</v>
      </c>
      <c r="D312" s="6">
        <v>87</v>
      </c>
      <c r="E312" s="8">
        <v>25.9</v>
      </c>
      <c r="F312" s="8">
        <v>0</v>
      </c>
      <c r="G312" s="8">
        <v>0</v>
      </c>
      <c r="H312" s="8">
        <v>8.1</v>
      </c>
    </row>
    <row r="313" spans="1:9" ht="18.75" customHeight="1" x14ac:dyDescent="0.25">
      <c r="A313" s="6">
        <v>2</v>
      </c>
      <c r="B313" s="6">
        <v>312</v>
      </c>
      <c r="C313" s="7">
        <v>45684</v>
      </c>
      <c r="D313" s="6">
        <v>18</v>
      </c>
      <c r="E313" s="8">
        <v>27.1</v>
      </c>
      <c r="F313" s="8">
        <v>0</v>
      </c>
      <c r="G313" s="8">
        <v>0</v>
      </c>
      <c r="H313" s="8">
        <v>15</v>
      </c>
    </row>
    <row r="314" spans="1:9" ht="18.75" customHeight="1" x14ac:dyDescent="0.25">
      <c r="A314" s="6">
        <v>3</v>
      </c>
      <c r="B314" s="6">
        <v>313</v>
      </c>
      <c r="C314" s="7">
        <v>45685</v>
      </c>
      <c r="D314" s="6">
        <v>27</v>
      </c>
      <c r="E314" s="8">
        <v>37.799999999999997</v>
      </c>
      <c r="F314" s="8">
        <v>0</v>
      </c>
      <c r="G314" s="8">
        <v>0</v>
      </c>
      <c r="H314" s="8">
        <v>13.7</v>
      </c>
    </row>
    <row r="315" spans="1:9" ht="18.75" customHeight="1" x14ac:dyDescent="0.25">
      <c r="A315" s="6">
        <v>4</v>
      </c>
      <c r="B315" s="6">
        <v>314</v>
      </c>
      <c r="C315" s="7">
        <v>45686</v>
      </c>
      <c r="D315" s="6">
        <v>24</v>
      </c>
      <c r="E315" s="8">
        <v>42.4</v>
      </c>
      <c r="F315" s="8">
        <v>0</v>
      </c>
      <c r="G315" s="8">
        <v>0</v>
      </c>
      <c r="H315" s="8">
        <v>10.9</v>
      </c>
    </row>
    <row r="316" spans="1:9" ht="18.75" customHeight="1" x14ac:dyDescent="0.25">
      <c r="A316" s="6">
        <v>5</v>
      </c>
      <c r="B316" s="6">
        <v>315</v>
      </c>
      <c r="C316" s="7">
        <v>45687</v>
      </c>
      <c r="D316" s="6">
        <v>32</v>
      </c>
      <c r="E316" s="8">
        <v>37.9</v>
      </c>
      <c r="F316" s="8">
        <v>0.51200000000000001</v>
      </c>
      <c r="G316" s="8">
        <v>0</v>
      </c>
      <c r="H316" s="8">
        <v>7.4</v>
      </c>
    </row>
    <row r="317" spans="1:9" ht="18.75" customHeight="1" x14ac:dyDescent="0.25">
      <c r="A317" s="6">
        <v>6</v>
      </c>
      <c r="B317" s="6">
        <v>316</v>
      </c>
      <c r="C317" s="7">
        <v>45688</v>
      </c>
      <c r="D317" s="6">
        <v>37</v>
      </c>
      <c r="E317" s="8">
        <v>39.200000000000003</v>
      </c>
      <c r="F317" s="8">
        <v>1.24</v>
      </c>
      <c r="G317" s="8">
        <v>0</v>
      </c>
      <c r="H317" s="8">
        <v>16.3</v>
      </c>
    </row>
    <row r="318" spans="1:9" ht="18.75" customHeight="1" x14ac:dyDescent="0.25">
      <c r="A318" s="6">
        <v>7</v>
      </c>
      <c r="B318" s="6">
        <v>317</v>
      </c>
      <c r="C318" s="7">
        <v>45689</v>
      </c>
      <c r="D318" s="6">
        <v>32</v>
      </c>
      <c r="E318" s="8">
        <v>31.8</v>
      </c>
      <c r="F318" s="8">
        <v>0</v>
      </c>
      <c r="G318" s="8">
        <v>0</v>
      </c>
      <c r="H318" s="8">
        <v>13.9</v>
      </c>
    </row>
    <row r="319" spans="1:9" ht="18.75" customHeight="1" x14ac:dyDescent="0.25">
      <c r="A319" s="6">
        <v>1</v>
      </c>
      <c r="B319" s="6">
        <v>318</v>
      </c>
      <c r="C319" s="7">
        <v>45690</v>
      </c>
      <c r="D319" s="6">
        <v>56</v>
      </c>
      <c r="E319" s="8">
        <v>35.6</v>
      </c>
      <c r="F319" s="8">
        <v>0</v>
      </c>
      <c r="G319" s="8">
        <v>0</v>
      </c>
      <c r="H319" s="8">
        <v>7.6</v>
      </c>
    </row>
    <row r="320" spans="1:9" ht="18.75" customHeight="1" x14ac:dyDescent="0.25">
      <c r="A320" s="6">
        <v>2</v>
      </c>
      <c r="B320" s="6">
        <v>319</v>
      </c>
      <c r="C320" s="7">
        <v>45691</v>
      </c>
      <c r="D320" s="6">
        <v>19</v>
      </c>
      <c r="E320" s="8">
        <v>39.6</v>
      </c>
      <c r="F320" s="8">
        <v>0</v>
      </c>
      <c r="G320" s="8">
        <v>0</v>
      </c>
      <c r="H320" s="8">
        <v>10.9</v>
      </c>
    </row>
    <row r="321" spans="1:9" ht="18.75" customHeight="1" x14ac:dyDescent="0.25">
      <c r="A321" s="6">
        <v>3</v>
      </c>
      <c r="B321" s="6">
        <v>320</v>
      </c>
      <c r="C321" s="7">
        <v>45692</v>
      </c>
      <c r="D321" s="6">
        <v>30</v>
      </c>
      <c r="E321" s="8">
        <v>28.8</v>
      </c>
      <c r="F321" s="8">
        <v>0</v>
      </c>
      <c r="G321" s="8">
        <v>0</v>
      </c>
      <c r="H321" s="8">
        <v>13.9</v>
      </c>
    </row>
    <row r="322" spans="1:9" ht="18.75" customHeight="1" x14ac:dyDescent="0.25">
      <c r="A322" s="6">
        <v>4</v>
      </c>
      <c r="B322" s="6">
        <v>321</v>
      </c>
      <c r="C322" s="7">
        <v>45693</v>
      </c>
      <c r="D322" s="6">
        <v>14</v>
      </c>
      <c r="E322" s="8">
        <v>26.4</v>
      </c>
      <c r="F322" s="8">
        <v>5.0999999999999997E-2</v>
      </c>
      <c r="G322" s="8">
        <v>0</v>
      </c>
      <c r="H322" s="8">
        <v>11.9</v>
      </c>
    </row>
    <row r="323" spans="1:9" ht="18.75" customHeight="1" x14ac:dyDescent="0.25">
      <c r="A323" s="6">
        <v>5</v>
      </c>
      <c r="B323" s="6">
        <v>322</v>
      </c>
      <c r="C323" s="7">
        <v>45694</v>
      </c>
      <c r="D323" s="6">
        <v>15</v>
      </c>
      <c r="E323" s="8">
        <v>31.5</v>
      </c>
      <c r="F323" s="8">
        <v>0</v>
      </c>
      <c r="G323" s="8">
        <v>0</v>
      </c>
      <c r="H323" s="8">
        <v>13</v>
      </c>
    </row>
    <row r="324" spans="1:9" ht="18.75" customHeight="1" x14ac:dyDescent="0.25">
      <c r="A324" s="6">
        <v>6</v>
      </c>
      <c r="B324" s="6">
        <v>323</v>
      </c>
      <c r="C324" s="7">
        <v>45695</v>
      </c>
      <c r="D324" s="6">
        <v>19</v>
      </c>
      <c r="E324" s="8">
        <v>26.4</v>
      </c>
      <c r="F324" s="8">
        <v>0</v>
      </c>
      <c r="G324" s="8">
        <v>0</v>
      </c>
      <c r="H324" s="8">
        <v>6.5</v>
      </c>
    </row>
    <row r="325" spans="1:9" ht="18.75" customHeight="1" x14ac:dyDescent="0.25">
      <c r="A325" s="6">
        <v>7</v>
      </c>
      <c r="B325" s="6">
        <v>324</v>
      </c>
      <c r="C325" s="7">
        <v>45696</v>
      </c>
      <c r="D325" s="6">
        <v>38</v>
      </c>
      <c r="E325" s="8">
        <v>29.8</v>
      </c>
      <c r="F325" s="8">
        <v>1.2E-2</v>
      </c>
      <c r="G325" s="8">
        <v>0</v>
      </c>
      <c r="H325" s="8">
        <v>9.1999999999999993</v>
      </c>
    </row>
    <row r="326" spans="1:9" ht="18.75" customHeight="1" x14ac:dyDescent="0.25">
      <c r="A326" s="6">
        <v>1</v>
      </c>
      <c r="B326" s="6">
        <v>325</v>
      </c>
      <c r="C326" s="7">
        <v>45697</v>
      </c>
      <c r="D326" s="6">
        <v>0</v>
      </c>
      <c r="E326" s="8">
        <v>28</v>
      </c>
      <c r="F326" s="8">
        <v>0</v>
      </c>
      <c r="G326" s="8">
        <v>0</v>
      </c>
      <c r="H326" s="8">
        <v>7.8</v>
      </c>
      <c r="I326" s="36" t="s">
        <v>33</v>
      </c>
    </row>
    <row r="327" spans="1:9" ht="18.75" customHeight="1" x14ac:dyDescent="0.25">
      <c r="A327" s="6">
        <v>2</v>
      </c>
      <c r="B327" s="6">
        <v>326</v>
      </c>
      <c r="C327" s="7">
        <v>45698</v>
      </c>
      <c r="D327" s="6">
        <v>21</v>
      </c>
      <c r="E327" s="8">
        <v>25.2</v>
      </c>
      <c r="F327" s="8">
        <v>0</v>
      </c>
      <c r="G327" s="8">
        <v>0</v>
      </c>
      <c r="H327" s="8">
        <v>4.7</v>
      </c>
    </row>
    <row r="328" spans="1:9" ht="18.75" customHeight="1" x14ac:dyDescent="0.25">
      <c r="A328" s="6">
        <v>3</v>
      </c>
      <c r="B328" s="6">
        <v>327</v>
      </c>
      <c r="C328" s="7">
        <v>45699</v>
      </c>
      <c r="D328" s="6">
        <v>5</v>
      </c>
      <c r="E328" s="8">
        <v>25</v>
      </c>
      <c r="F328" s="8">
        <v>0</v>
      </c>
      <c r="G328" s="8">
        <v>0</v>
      </c>
      <c r="H328" s="8">
        <v>13.9</v>
      </c>
    </row>
    <row r="329" spans="1:9" ht="18.75" customHeight="1" x14ac:dyDescent="0.25">
      <c r="A329" s="6">
        <v>4</v>
      </c>
      <c r="B329" s="6">
        <v>328</v>
      </c>
      <c r="C329" s="7">
        <v>45700</v>
      </c>
      <c r="D329" s="6">
        <v>11</v>
      </c>
      <c r="E329" s="8">
        <v>24.4</v>
      </c>
      <c r="F329" s="8">
        <v>0.18099999999999999</v>
      </c>
      <c r="G329" s="8">
        <v>0</v>
      </c>
      <c r="H329" s="8">
        <v>11.9</v>
      </c>
    </row>
    <row r="330" spans="1:9" ht="18.75" customHeight="1" x14ac:dyDescent="0.25">
      <c r="A330" s="6">
        <v>5</v>
      </c>
      <c r="B330" s="6">
        <v>329</v>
      </c>
      <c r="C330" s="7">
        <v>45701</v>
      </c>
      <c r="D330" s="6">
        <v>19</v>
      </c>
      <c r="E330" s="8">
        <v>20.3</v>
      </c>
      <c r="F330" s="8">
        <v>0</v>
      </c>
      <c r="G330" s="8">
        <v>3.15</v>
      </c>
      <c r="H330" s="8">
        <v>12.7</v>
      </c>
    </row>
    <row r="331" spans="1:9" ht="18.75" customHeight="1" x14ac:dyDescent="0.25">
      <c r="A331" s="6">
        <v>6</v>
      </c>
      <c r="B331" s="6">
        <v>330</v>
      </c>
      <c r="C331" s="7">
        <v>45702</v>
      </c>
      <c r="D331" s="6">
        <v>29</v>
      </c>
      <c r="E331" s="8">
        <v>12</v>
      </c>
      <c r="F331" s="8">
        <v>0.15</v>
      </c>
      <c r="G331" s="8">
        <v>1.9690000000000001</v>
      </c>
      <c r="H331" s="8">
        <v>9.1999999999999993</v>
      </c>
      <c r="I331" s="36" t="s">
        <v>34</v>
      </c>
    </row>
    <row r="332" spans="1:9" ht="18.75" customHeight="1" x14ac:dyDescent="0.25">
      <c r="A332" s="6">
        <v>7</v>
      </c>
      <c r="B332" s="6">
        <v>331</v>
      </c>
      <c r="C332" s="7">
        <v>45703</v>
      </c>
      <c r="D332" s="6">
        <v>39</v>
      </c>
      <c r="E332" s="8">
        <v>28.8</v>
      </c>
      <c r="F332" s="8">
        <v>0.02</v>
      </c>
      <c r="G332" s="8">
        <v>3.15</v>
      </c>
      <c r="H332" s="8">
        <v>8.6999999999999993</v>
      </c>
    </row>
    <row r="333" spans="1:9" ht="18.75" customHeight="1" x14ac:dyDescent="0.25">
      <c r="A333" s="6">
        <v>1</v>
      </c>
      <c r="B333" s="6">
        <v>332</v>
      </c>
      <c r="C333" s="7">
        <v>45704</v>
      </c>
      <c r="D333" s="6">
        <v>50</v>
      </c>
      <c r="E333" s="8">
        <v>27.1</v>
      </c>
      <c r="F333" s="8">
        <v>0</v>
      </c>
      <c r="G333" s="8">
        <v>3.15</v>
      </c>
      <c r="H333" s="8">
        <v>15.2</v>
      </c>
    </row>
    <row r="334" spans="1:9" ht="18.75" customHeight="1" x14ac:dyDescent="0.25">
      <c r="A334" s="6">
        <v>2</v>
      </c>
      <c r="B334" s="6">
        <v>333</v>
      </c>
      <c r="C334" s="7">
        <v>45705</v>
      </c>
      <c r="D334" s="6">
        <v>2</v>
      </c>
      <c r="E334" s="8">
        <v>8.4</v>
      </c>
      <c r="F334" s="8">
        <v>0</v>
      </c>
      <c r="G334" s="8">
        <v>3.15</v>
      </c>
      <c r="H334" s="8">
        <v>11.6</v>
      </c>
      <c r="I334" s="36" t="s">
        <v>35</v>
      </c>
    </row>
    <row r="335" spans="1:9" ht="18.75" customHeight="1" x14ac:dyDescent="0.25">
      <c r="A335" s="6">
        <v>3</v>
      </c>
      <c r="B335" s="6">
        <v>334</v>
      </c>
      <c r="C335" s="7">
        <v>45706</v>
      </c>
      <c r="D335" s="6">
        <v>14</v>
      </c>
      <c r="E335" s="8">
        <v>3.4</v>
      </c>
      <c r="F335" s="8">
        <v>0</v>
      </c>
      <c r="G335" s="8">
        <v>3.15</v>
      </c>
      <c r="H335" s="8">
        <v>8.9</v>
      </c>
    </row>
    <row r="336" spans="1:9" ht="18.75" customHeight="1" x14ac:dyDescent="0.25">
      <c r="A336" s="6">
        <v>4</v>
      </c>
      <c r="B336" s="6">
        <v>335</v>
      </c>
      <c r="C336" s="7">
        <v>45707</v>
      </c>
      <c r="D336" s="6">
        <v>12</v>
      </c>
      <c r="E336" s="8">
        <v>8.6</v>
      </c>
      <c r="F336" s="8">
        <v>0</v>
      </c>
      <c r="G336" s="8">
        <v>1.9690000000000001</v>
      </c>
      <c r="H336" s="8">
        <v>8.9</v>
      </c>
    </row>
    <row r="337" spans="1:9" ht="18.75" customHeight="1" x14ac:dyDescent="0.25">
      <c r="A337" s="6">
        <v>5</v>
      </c>
      <c r="B337" s="6">
        <v>336</v>
      </c>
      <c r="C337" s="7">
        <v>45708</v>
      </c>
      <c r="D337" s="6">
        <v>13</v>
      </c>
      <c r="E337" s="8">
        <v>12.4</v>
      </c>
      <c r="F337" s="8">
        <v>0</v>
      </c>
      <c r="G337" s="8">
        <v>1.9690000000000001</v>
      </c>
      <c r="H337" s="8">
        <v>9.6</v>
      </c>
    </row>
    <row r="338" spans="1:9" ht="18.75" customHeight="1" x14ac:dyDescent="0.25">
      <c r="A338" s="6">
        <v>6</v>
      </c>
      <c r="B338" s="6">
        <v>337</v>
      </c>
      <c r="C338" s="7">
        <v>45709</v>
      </c>
      <c r="D338" s="6">
        <v>17</v>
      </c>
      <c r="E338" s="8">
        <v>18.100000000000001</v>
      </c>
      <c r="F338" s="8">
        <v>0</v>
      </c>
      <c r="G338" s="8">
        <v>1.9690000000000001</v>
      </c>
      <c r="H338" s="8">
        <v>7.6</v>
      </c>
    </row>
    <row r="339" spans="1:9" ht="18.75" customHeight="1" x14ac:dyDescent="0.25">
      <c r="A339" s="6">
        <v>7</v>
      </c>
      <c r="B339" s="6">
        <v>338</v>
      </c>
      <c r="C339" s="7">
        <v>45710</v>
      </c>
      <c r="D339" s="6">
        <v>11</v>
      </c>
      <c r="E339" s="8">
        <v>22.6</v>
      </c>
      <c r="F339" s="8">
        <v>0</v>
      </c>
      <c r="G339" s="8">
        <v>1.9690000000000001</v>
      </c>
      <c r="H339" s="8">
        <v>11.2</v>
      </c>
    </row>
    <row r="340" spans="1:9" ht="18.75" customHeight="1" x14ac:dyDescent="0.25">
      <c r="A340" s="6">
        <v>1</v>
      </c>
      <c r="B340" s="6">
        <v>339</v>
      </c>
      <c r="C340" s="7">
        <v>45711</v>
      </c>
      <c r="D340" s="6">
        <v>20</v>
      </c>
      <c r="E340" s="8">
        <v>31.8</v>
      </c>
      <c r="F340" s="8">
        <v>0</v>
      </c>
      <c r="G340" s="8">
        <v>1.181</v>
      </c>
      <c r="H340" s="8">
        <v>7.1</v>
      </c>
    </row>
    <row r="341" spans="1:9" ht="18.75" customHeight="1" x14ac:dyDescent="0.25">
      <c r="A341" s="6">
        <v>2</v>
      </c>
      <c r="B341" s="6">
        <v>340</v>
      </c>
      <c r="C341" s="7">
        <v>45712</v>
      </c>
      <c r="D341" s="6">
        <v>10</v>
      </c>
      <c r="E341" s="8">
        <v>43.3</v>
      </c>
      <c r="F341" s="8">
        <v>0</v>
      </c>
      <c r="G341" s="8">
        <v>0</v>
      </c>
      <c r="H341" s="8">
        <v>11.9</v>
      </c>
    </row>
    <row r="342" spans="1:9" ht="18.75" customHeight="1" x14ac:dyDescent="0.25">
      <c r="A342" s="6">
        <v>3</v>
      </c>
      <c r="B342" s="6">
        <v>341</v>
      </c>
      <c r="C342" s="7">
        <v>45713</v>
      </c>
      <c r="D342" s="6">
        <v>13</v>
      </c>
      <c r="E342" s="8">
        <v>46.9</v>
      </c>
      <c r="F342" s="8">
        <v>0.02</v>
      </c>
      <c r="G342" s="8">
        <v>0</v>
      </c>
      <c r="H342" s="8">
        <v>5.3</v>
      </c>
    </row>
    <row r="343" spans="1:9" ht="18.75" customHeight="1" x14ac:dyDescent="0.25">
      <c r="A343" s="6">
        <v>4</v>
      </c>
      <c r="B343" s="6">
        <v>342</v>
      </c>
      <c r="C343" s="7">
        <v>45714</v>
      </c>
      <c r="D343" s="6">
        <v>10</v>
      </c>
      <c r="E343" s="8">
        <v>42.3</v>
      </c>
      <c r="F343" s="8">
        <v>7.9000000000000001E-2</v>
      </c>
      <c r="G343" s="8">
        <v>0</v>
      </c>
      <c r="H343" s="8">
        <v>8.1</v>
      </c>
    </row>
    <row r="344" spans="1:9" ht="18.75" customHeight="1" x14ac:dyDescent="0.25">
      <c r="A344" s="6">
        <v>5</v>
      </c>
      <c r="B344" s="6">
        <v>343</v>
      </c>
      <c r="C344" s="7">
        <v>45715</v>
      </c>
      <c r="D344" s="6">
        <v>12</v>
      </c>
      <c r="E344" s="8">
        <v>41.5</v>
      </c>
      <c r="F344" s="8">
        <v>1.2E-2</v>
      </c>
      <c r="G344" s="8">
        <v>0</v>
      </c>
      <c r="H344" s="8">
        <v>10.5</v>
      </c>
    </row>
    <row r="345" spans="1:9" ht="18.75" customHeight="1" x14ac:dyDescent="0.25">
      <c r="A345" s="6">
        <v>6</v>
      </c>
      <c r="B345" s="6">
        <v>344</v>
      </c>
      <c r="C345" s="7">
        <v>45716</v>
      </c>
      <c r="D345" s="6">
        <v>31</v>
      </c>
      <c r="E345" s="8">
        <v>44.1</v>
      </c>
      <c r="F345" s="8">
        <v>0</v>
      </c>
      <c r="G345" s="8">
        <v>0</v>
      </c>
      <c r="H345" s="8">
        <v>18.100000000000001</v>
      </c>
    </row>
    <row r="346" spans="1:9" ht="18.75" customHeight="1" x14ac:dyDescent="0.25">
      <c r="A346" s="6">
        <v>7</v>
      </c>
      <c r="B346" s="6">
        <v>345</v>
      </c>
      <c r="C346" s="7">
        <v>45717</v>
      </c>
      <c r="D346" s="6">
        <v>40</v>
      </c>
      <c r="E346" s="8">
        <v>31.6</v>
      </c>
      <c r="F346" s="8">
        <v>0</v>
      </c>
      <c r="G346" s="8">
        <v>0</v>
      </c>
      <c r="H346" s="8">
        <v>11.2</v>
      </c>
      <c r="I346" s="36" t="s">
        <v>36</v>
      </c>
    </row>
    <row r="347" spans="1:9" ht="18.75" customHeight="1" x14ac:dyDescent="0.25">
      <c r="A347" s="6">
        <v>1</v>
      </c>
      <c r="B347" s="6">
        <v>346</v>
      </c>
      <c r="C347" s="7">
        <v>45718</v>
      </c>
      <c r="D347" s="6">
        <v>36</v>
      </c>
      <c r="E347" s="8">
        <v>25.7</v>
      </c>
      <c r="F347" s="8">
        <v>0</v>
      </c>
      <c r="G347" s="8">
        <v>0</v>
      </c>
      <c r="H347" s="8">
        <v>4</v>
      </c>
    </row>
    <row r="348" spans="1:9" ht="18.75" customHeight="1" x14ac:dyDescent="0.25">
      <c r="A348" s="6">
        <v>2</v>
      </c>
      <c r="B348" s="6">
        <v>347</v>
      </c>
      <c r="C348" s="7">
        <v>45719</v>
      </c>
      <c r="D348" s="6">
        <v>5</v>
      </c>
      <c r="E348" s="8">
        <v>36</v>
      </c>
      <c r="F348" s="8">
        <v>0</v>
      </c>
      <c r="G348" s="8">
        <v>0</v>
      </c>
      <c r="H348" s="8">
        <v>10.5</v>
      </c>
    </row>
    <row r="349" spans="1:9" ht="18.75" customHeight="1" x14ac:dyDescent="0.25">
      <c r="A349" s="6">
        <v>3</v>
      </c>
      <c r="B349" s="6">
        <v>348</v>
      </c>
      <c r="C349" s="7">
        <v>45720</v>
      </c>
      <c r="D349" s="6">
        <v>17</v>
      </c>
      <c r="E349" s="8">
        <v>45.7</v>
      </c>
      <c r="F349" s="8">
        <v>0.64200000000000002</v>
      </c>
      <c r="G349" s="8">
        <v>0</v>
      </c>
      <c r="H349" s="8">
        <v>12.3</v>
      </c>
    </row>
    <row r="350" spans="1:9" ht="18.75" customHeight="1" x14ac:dyDescent="0.25">
      <c r="A350" s="6">
        <v>4</v>
      </c>
      <c r="B350" s="6">
        <v>349</v>
      </c>
      <c r="C350" s="7">
        <v>45721</v>
      </c>
      <c r="D350" s="6">
        <v>3</v>
      </c>
      <c r="E350" s="8">
        <v>44.2</v>
      </c>
      <c r="F350" s="8">
        <v>0.37</v>
      </c>
      <c r="G350" s="8">
        <v>0</v>
      </c>
      <c r="H350" s="8">
        <v>14.8</v>
      </c>
      <c r="I350" s="36" t="s">
        <v>37</v>
      </c>
    </row>
    <row r="351" spans="1:9" ht="18.75" customHeight="1" x14ac:dyDescent="0.25">
      <c r="A351" s="6">
        <v>5</v>
      </c>
      <c r="B351" s="6">
        <v>350</v>
      </c>
      <c r="C351" s="7">
        <v>45722</v>
      </c>
      <c r="D351" s="6">
        <v>11</v>
      </c>
      <c r="E351" s="8">
        <v>30.7</v>
      </c>
      <c r="F351" s="8">
        <v>0</v>
      </c>
      <c r="G351" s="8">
        <v>0</v>
      </c>
      <c r="H351" s="8">
        <v>12.2</v>
      </c>
    </row>
    <row r="352" spans="1:9" ht="18.75" customHeight="1" x14ac:dyDescent="0.25">
      <c r="A352" s="6">
        <v>6</v>
      </c>
      <c r="B352" s="6">
        <v>351</v>
      </c>
      <c r="C352" s="7">
        <v>45723</v>
      </c>
      <c r="D352" s="6">
        <v>8</v>
      </c>
      <c r="E352" s="8">
        <v>35.4</v>
      </c>
      <c r="F352" s="8">
        <v>0.185</v>
      </c>
      <c r="G352" s="8">
        <v>0</v>
      </c>
      <c r="H352" s="8">
        <v>7</v>
      </c>
      <c r="I352" s="36" t="s">
        <v>10</v>
      </c>
    </row>
    <row r="353" spans="1:9" ht="18.75" customHeight="1" x14ac:dyDescent="0.25">
      <c r="A353" s="6">
        <v>7</v>
      </c>
      <c r="B353" s="6">
        <v>352</v>
      </c>
      <c r="C353" s="7">
        <v>45724</v>
      </c>
      <c r="D353" s="6">
        <v>19</v>
      </c>
      <c r="E353" s="8">
        <v>38.799999999999997</v>
      </c>
      <c r="F353" s="8">
        <v>0</v>
      </c>
      <c r="G353" s="8">
        <v>0</v>
      </c>
      <c r="H353" s="8">
        <v>10.3</v>
      </c>
    </row>
    <row r="354" spans="1:9" ht="18.75" customHeight="1" x14ac:dyDescent="0.25">
      <c r="A354" s="6">
        <v>1</v>
      </c>
      <c r="B354" s="6">
        <v>353</v>
      </c>
      <c r="C354" s="7">
        <v>45725</v>
      </c>
      <c r="D354" s="6">
        <v>24</v>
      </c>
      <c r="E354" s="8">
        <v>46.6</v>
      </c>
      <c r="F354" s="8">
        <v>0</v>
      </c>
      <c r="G354" s="8">
        <v>0</v>
      </c>
      <c r="H354" s="8">
        <v>8.6999999999999993</v>
      </c>
      <c r="I354" t="s">
        <v>53</v>
      </c>
    </row>
    <row r="355" spans="1:9" ht="18.75" customHeight="1" x14ac:dyDescent="0.25">
      <c r="A355" s="6">
        <v>2</v>
      </c>
      <c r="B355" s="6">
        <v>354</v>
      </c>
      <c r="C355" s="7">
        <v>45726</v>
      </c>
      <c r="D355" s="6">
        <v>11</v>
      </c>
      <c r="E355" s="8">
        <v>55.5</v>
      </c>
      <c r="F355" s="8">
        <v>0</v>
      </c>
      <c r="G355" s="8">
        <v>0</v>
      </c>
      <c r="H355" s="8">
        <v>9.6</v>
      </c>
    </row>
    <row r="356" spans="1:9" ht="18.75" customHeight="1" x14ac:dyDescent="0.25">
      <c r="A356" s="6">
        <v>3</v>
      </c>
      <c r="B356" s="6">
        <v>355</v>
      </c>
      <c r="C356" s="7">
        <v>45727</v>
      </c>
      <c r="D356" s="6">
        <v>13</v>
      </c>
      <c r="E356" s="8">
        <v>44.3</v>
      </c>
      <c r="F356" s="8">
        <v>0</v>
      </c>
      <c r="G356" s="8">
        <v>0</v>
      </c>
      <c r="H356" s="8">
        <v>11.3</v>
      </c>
    </row>
    <row r="357" spans="1:9" ht="18.75" customHeight="1" x14ac:dyDescent="0.25">
      <c r="A357" s="6">
        <v>4</v>
      </c>
      <c r="B357" s="6">
        <v>356</v>
      </c>
      <c r="C357" s="7">
        <v>45728</v>
      </c>
      <c r="D357" s="6">
        <v>21</v>
      </c>
      <c r="E357" s="8">
        <v>43.2</v>
      </c>
      <c r="F357" s="8">
        <v>0</v>
      </c>
      <c r="G357" s="8">
        <v>0</v>
      </c>
      <c r="H357" s="8">
        <v>5.7</v>
      </c>
    </row>
    <row r="358" spans="1:9" ht="18.75" customHeight="1" x14ac:dyDescent="0.25">
      <c r="A358" s="6">
        <v>5</v>
      </c>
      <c r="B358" s="6">
        <v>357</v>
      </c>
      <c r="C358" s="7">
        <v>45729</v>
      </c>
      <c r="D358" s="6">
        <v>15</v>
      </c>
      <c r="E358" s="8">
        <v>47.1</v>
      </c>
      <c r="F358" s="8">
        <v>0</v>
      </c>
      <c r="G358" s="8">
        <v>0</v>
      </c>
      <c r="H358" s="8">
        <v>5.7</v>
      </c>
    </row>
    <row r="359" spans="1:9" ht="18.75" customHeight="1" x14ac:dyDescent="0.25">
      <c r="A359" s="6">
        <v>6</v>
      </c>
      <c r="B359" s="6">
        <v>358</v>
      </c>
      <c r="C359" s="7">
        <v>45730</v>
      </c>
      <c r="D359" s="6">
        <v>29</v>
      </c>
      <c r="E359" s="8">
        <v>58.3</v>
      </c>
      <c r="F359" s="8">
        <v>0.15</v>
      </c>
      <c r="G359" s="8">
        <v>0</v>
      </c>
      <c r="H359" s="8">
        <v>17</v>
      </c>
      <c r="I359" s="36" t="s">
        <v>10</v>
      </c>
    </row>
    <row r="360" spans="1:9" ht="18.75" customHeight="1" x14ac:dyDescent="0.25">
      <c r="A360" s="6">
        <v>7</v>
      </c>
      <c r="B360" s="6">
        <v>359</v>
      </c>
      <c r="C360" s="7">
        <v>45731</v>
      </c>
      <c r="D360" s="6">
        <v>29</v>
      </c>
      <c r="E360" s="8">
        <v>62.8</v>
      </c>
      <c r="F360" s="8">
        <v>0.311</v>
      </c>
      <c r="G360" s="8">
        <v>0</v>
      </c>
      <c r="H360" s="8">
        <v>15.2</v>
      </c>
    </row>
    <row r="361" spans="1:9" ht="18.75" customHeight="1" x14ac:dyDescent="0.25">
      <c r="A361" s="6">
        <v>1</v>
      </c>
      <c r="B361" s="6">
        <v>360</v>
      </c>
      <c r="C361" s="7">
        <v>45732</v>
      </c>
      <c r="D361" s="6">
        <v>14</v>
      </c>
      <c r="E361" s="8">
        <v>37.4</v>
      </c>
      <c r="F361" s="8">
        <v>0.20899999999999999</v>
      </c>
      <c r="G361" s="8">
        <v>1</v>
      </c>
      <c r="H361" s="8">
        <v>8.9</v>
      </c>
    </row>
    <row r="362" spans="1:9" ht="18.75" customHeight="1" x14ac:dyDescent="0.25">
      <c r="A362" s="6">
        <v>2</v>
      </c>
      <c r="B362" s="6">
        <v>361</v>
      </c>
      <c r="C362" s="7">
        <v>45733</v>
      </c>
      <c r="D362" s="6">
        <v>13</v>
      </c>
      <c r="E362" s="8">
        <v>36.700000000000003</v>
      </c>
      <c r="F362" s="8">
        <v>0.5</v>
      </c>
      <c r="G362" s="8">
        <v>0</v>
      </c>
      <c r="H362" s="8">
        <v>12.7</v>
      </c>
      <c r="I362" s="36" t="s">
        <v>38</v>
      </c>
    </row>
    <row r="363" spans="1:9" ht="18.75" customHeight="1" x14ac:dyDescent="0.25">
      <c r="A363" s="6">
        <v>3</v>
      </c>
      <c r="B363" s="6">
        <v>362</v>
      </c>
      <c r="C363" s="7">
        <v>45734</v>
      </c>
      <c r="D363" s="6">
        <v>22</v>
      </c>
      <c r="E363" s="8">
        <v>53.4</v>
      </c>
      <c r="F363" s="8">
        <v>0</v>
      </c>
      <c r="G363" s="8">
        <v>0</v>
      </c>
      <c r="H363" s="8">
        <v>11.4</v>
      </c>
    </row>
    <row r="364" spans="1:9" ht="18.75" customHeight="1" x14ac:dyDescent="0.25">
      <c r="A364" s="6">
        <v>4</v>
      </c>
      <c r="B364" s="6">
        <v>363</v>
      </c>
      <c r="C364" s="7">
        <v>45735</v>
      </c>
      <c r="D364" s="6">
        <v>9</v>
      </c>
      <c r="E364" s="8">
        <v>44.4</v>
      </c>
      <c r="F364" s="8">
        <v>0.53900000000000003</v>
      </c>
      <c r="G364" s="8">
        <v>0</v>
      </c>
      <c r="H364" s="8">
        <v>14.5</v>
      </c>
    </row>
    <row r="365" spans="1:9" ht="18.75" customHeight="1" x14ac:dyDescent="0.25">
      <c r="A365" s="6">
        <v>5</v>
      </c>
      <c r="B365" s="6">
        <v>364</v>
      </c>
      <c r="C365" s="7">
        <v>45736</v>
      </c>
      <c r="D365" s="6">
        <v>4</v>
      </c>
      <c r="E365" s="8">
        <v>37</v>
      </c>
      <c r="F365" s="8">
        <v>0.22</v>
      </c>
      <c r="G365" s="8">
        <v>1.9690000000000001</v>
      </c>
      <c r="H365" s="8">
        <v>12.6</v>
      </c>
    </row>
    <row r="366" spans="1:9" ht="18.75" customHeight="1" x14ac:dyDescent="0.25">
      <c r="A366" s="6">
        <v>6</v>
      </c>
      <c r="B366" s="6">
        <v>365</v>
      </c>
      <c r="C366" s="7">
        <v>45737</v>
      </c>
      <c r="D366" s="6">
        <v>23</v>
      </c>
      <c r="E366" s="8">
        <v>41.9</v>
      </c>
      <c r="F366" s="8">
        <v>0</v>
      </c>
      <c r="G366" s="8">
        <v>0</v>
      </c>
      <c r="H366" s="8">
        <v>15.3</v>
      </c>
      <c r="I366" s="36" t="s">
        <v>10</v>
      </c>
    </row>
    <row r="367" spans="1:9" ht="18.75" customHeight="1" x14ac:dyDescent="0.25">
      <c r="A367" s="6">
        <v>7</v>
      </c>
      <c r="B367" s="6">
        <v>366</v>
      </c>
      <c r="C367" s="7">
        <v>45738</v>
      </c>
      <c r="D367" s="6">
        <v>66</v>
      </c>
      <c r="E367" s="8">
        <v>44.6</v>
      </c>
      <c r="F367" s="8">
        <v>0</v>
      </c>
      <c r="G367" s="8">
        <v>0</v>
      </c>
      <c r="H367" s="8">
        <v>10.3</v>
      </c>
    </row>
    <row r="368" spans="1:9" ht="18.75" customHeight="1" x14ac:dyDescent="0.25">
      <c r="A368" s="6">
        <v>1</v>
      </c>
      <c r="B368" s="6">
        <v>367</v>
      </c>
      <c r="C368" s="7">
        <v>45739</v>
      </c>
      <c r="D368" s="6">
        <v>23</v>
      </c>
      <c r="E368" s="8">
        <v>39.9</v>
      </c>
      <c r="F368" s="8">
        <v>0.22</v>
      </c>
      <c r="G368" s="8">
        <v>0</v>
      </c>
      <c r="H368" s="8">
        <v>14.3</v>
      </c>
    </row>
    <row r="369" spans="1:9" ht="18.75" customHeight="1" x14ac:dyDescent="0.25">
      <c r="A369" s="6">
        <v>2</v>
      </c>
      <c r="B369" s="6">
        <v>368</v>
      </c>
      <c r="C369" s="7">
        <v>45740</v>
      </c>
      <c r="D369" s="6">
        <v>9</v>
      </c>
      <c r="E369" s="8">
        <v>39.4</v>
      </c>
      <c r="F369" s="8">
        <v>0</v>
      </c>
      <c r="G369" s="8">
        <v>0</v>
      </c>
      <c r="H369" s="8">
        <v>15.9</v>
      </c>
    </row>
    <row r="370" spans="1:9" ht="18.75" customHeight="1" x14ac:dyDescent="0.25">
      <c r="A370" s="6">
        <v>3</v>
      </c>
      <c r="B370" s="6">
        <v>369</v>
      </c>
      <c r="C370" s="7">
        <v>45741</v>
      </c>
      <c r="D370" s="6">
        <v>11</v>
      </c>
      <c r="E370" s="8">
        <v>39.700000000000003</v>
      </c>
      <c r="F370" s="8">
        <v>2.8000000000000001E-2</v>
      </c>
      <c r="G370" s="8">
        <v>0</v>
      </c>
      <c r="H370" s="8">
        <v>8</v>
      </c>
    </row>
    <row r="371" spans="1:9" ht="18.75" customHeight="1" x14ac:dyDescent="0.25">
      <c r="A371" s="6">
        <v>4</v>
      </c>
      <c r="B371" s="6">
        <v>370</v>
      </c>
      <c r="C371" s="7">
        <v>45742</v>
      </c>
      <c r="D371" s="6">
        <v>15</v>
      </c>
      <c r="E371" s="8">
        <v>41.2</v>
      </c>
      <c r="F371" s="8">
        <v>0</v>
      </c>
      <c r="G371" s="8">
        <v>0</v>
      </c>
      <c r="H371" s="8">
        <v>4.3</v>
      </c>
    </row>
    <row r="372" spans="1:9" ht="18.75" customHeight="1" x14ac:dyDescent="0.25">
      <c r="A372" s="6">
        <v>5</v>
      </c>
      <c r="B372" s="6">
        <v>371</v>
      </c>
      <c r="C372" s="7">
        <v>45743</v>
      </c>
      <c r="D372" s="6">
        <v>29</v>
      </c>
      <c r="E372" s="8">
        <v>48.7</v>
      </c>
      <c r="F372" s="8">
        <v>0</v>
      </c>
      <c r="G372" s="8">
        <v>0</v>
      </c>
      <c r="H372" s="8">
        <v>7.6</v>
      </c>
    </row>
    <row r="373" spans="1:9" ht="18.75" customHeight="1" x14ac:dyDescent="0.25">
      <c r="A373" s="6">
        <v>6</v>
      </c>
      <c r="B373" s="6">
        <v>372</v>
      </c>
      <c r="C373" s="7">
        <v>45744</v>
      </c>
      <c r="D373" s="6">
        <v>18</v>
      </c>
      <c r="E373" s="8">
        <v>63.5</v>
      </c>
      <c r="F373" s="8">
        <v>0</v>
      </c>
      <c r="G373" s="8">
        <v>0</v>
      </c>
      <c r="H373" s="8">
        <v>14.2</v>
      </c>
      <c r="I373" s="36" t="s">
        <v>10</v>
      </c>
    </row>
    <row r="374" spans="1:9" ht="18.75" customHeight="1" x14ac:dyDescent="0.25">
      <c r="A374" s="6">
        <v>7</v>
      </c>
      <c r="B374" s="6">
        <v>373</v>
      </c>
      <c r="C374" s="7">
        <v>45745</v>
      </c>
      <c r="D374" s="6">
        <v>20</v>
      </c>
      <c r="E374" s="8">
        <v>59.5</v>
      </c>
      <c r="F374" s="8">
        <v>2.8000000000000001E-2</v>
      </c>
      <c r="G374" s="8">
        <v>0</v>
      </c>
      <c r="H374" s="8">
        <v>12.1</v>
      </c>
    </row>
    <row r="375" spans="1:9" ht="18.75" customHeight="1" x14ac:dyDescent="0.25">
      <c r="A375" s="6">
        <v>1</v>
      </c>
      <c r="B375" s="6">
        <v>374</v>
      </c>
      <c r="C375" s="7">
        <v>45746</v>
      </c>
      <c r="D375" s="6">
        <v>20</v>
      </c>
      <c r="E375" s="8">
        <v>55.4</v>
      </c>
      <c r="F375" s="8">
        <v>0.81499999999999995</v>
      </c>
      <c r="G375" s="8">
        <v>0</v>
      </c>
      <c r="H375" s="8">
        <v>12.2</v>
      </c>
    </row>
    <row r="376" spans="1:9" ht="18.75" customHeight="1" x14ac:dyDescent="0.25">
      <c r="A376" s="6">
        <v>2</v>
      </c>
      <c r="B376" s="6">
        <v>375</v>
      </c>
      <c r="C376" s="7">
        <v>45747</v>
      </c>
      <c r="D376" s="6">
        <v>21</v>
      </c>
      <c r="E376" s="8">
        <v>39.700000000000003</v>
      </c>
      <c r="F376" s="8">
        <v>4.0000000000000001E-3</v>
      </c>
      <c r="G376" s="8">
        <v>0</v>
      </c>
      <c r="H376" s="8">
        <v>11.1</v>
      </c>
    </row>
    <row r="377" spans="1:9" ht="18.75" customHeight="1" x14ac:dyDescent="0.25">
      <c r="A377" s="6">
        <v>3</v>
      </c>
      <c r="B377" s="6">
        <v>376</v>
      </c>
      <c r="C377" s="7">
        <v>45748</v>
      </c>
      <c r="D377" s="6">
        <v>9</v>
      </c>
      <c r="E377" s="8">
        <v>37.799999999999997</v>
      </c>
      <c r="F377" s="8">
        <v>4.0000000000000001E-3</v>
      </c>
      <c r="G377" s="8">
        <v>0</v>
      </c>
      <c r="H377" s="8">
        <v>13.2</v>
      </c>
    </row>
    <row r="378" spans="1:9" ht="18.75" customHeight="1" x14ac:dyDescent="0.25">
      <c r="A378" s="6">
        <v>4</v>
      </c>
      <c r="B378" s="6">
        <v>377</v>
      </c>
      <c r="C378" s="7">
        <v>45749</v>
      </c>
      <c r="D378" s="6">
        <v>3</v>
      </c>
      <c r="E378" s="8">
        <v>46</v>
      </c>
      <c r="F378" s="8">
        <v>1.252</v>
      </c>
      <c r="G378" s="8">
        <v>0</v>
      </c>
      <c r="H378" s="8">
        <v>14.3</v>
      </c>
    </row>
    <row r="379" spans="1:9" ht="18.75" customHeight="1" x14ac:dyDescent="0.25">
      <c r="A379" s="6">
        <v>5</v>
      </c>
      <c r="B379" s="6">
        <v>378</v>
      </c>
      <c r="C379" s="7">
        <v>45750</v>
      </c>
      <c r="D379" s="6">
        <v>14</v>
      </c>
      <c r="E379" s="8">
        <v>52.5</v>
      </c>
      <c r="F379" s="8">
        <v>0</v>
      </c>
      <c r="G379" s="8">
        <v>0</v>
      </c>
      <c r="H379" s="8">
        <v>12.9</v>
      </c>
    </row>
    <row r="380" spans="1:9" ht="18.75" customHeight="1" x14ac:dyDescent="0.25">
      <c r="A380" s="6">
        <v>6</v>
      </c>
      <c r="B380" s="6">
        <v>379</v>
      </c>
      <c r="C380" s="7">
        <v>45751</v>
      </c>
      <c r="D380" s="6">
        <v>10</v>
      </c>
      <c r="E380" s="8">
        <v>44.1</v>
      </c>
      <c r="F380" s="8">
        <v>0.35</v>
      </c>
      <c r="G380" s="8">
        <v>0</v>
      </c>
      <c r="H380" s="8">
        <v>10.8</v>
      </c>
      <c r="I380" s="36" t="s">
        <v>10</v>
      </c>
    </row>
    <row r="381" spans="1:9" ht="18.75" customHeight="1" x14ac:dyDescent="0.25">
      <c r="A381" s="6">
        <v>7</v>
      </c>
      <c r="B381" s="6">
        <v>380</v>
      </c>
      <c r="C381" s="7">
        <v>45752</v>
      </c>
      <c r="D381" s="6">
        <v>23</v>
      </c>
      <c r="E381" s="8">
        <v>45.9</v>
      </c>
      <c r="F381" s="8">
        <v>1.2E-2</v>
      </c>
      <c r="G381" s="8">
        <v>0</v>
      </c>
      <c r="H381" s="8">
        <v>10.9</v>
      </c>
    </row>
    <row r="382" spans="1:9" ht="18.75" customHeight="1" x14ac:dyDescent="0.25">
      <c r="A382" s="6">
        <v>1</v>
      </c>
      <c r="B382" s="6">
        <v>381</v>
      </c>
      <c r="C382" s="7">
        <v>45753</v>
      </c>
      <c r="D382" s="6">
        <v>24</v>
      </c>
      <c r="E382" s="8">
        <v>41.9</v>
      </c>
      <c r="F382" s="8">
        <v>0</v>
      </c>
      <c r="G382" s="8">
        <v>0</v>
      </c>
      <c r="H382" s="8">
        <v>8.6</v>
      </c>
    </row>
    <row r="383" spans="1:9" ht="18.75" customHeight="1" x14ac:dyDescent="0.25">
      <c r="A383" s="6">
        <v>2</v>
      </c>
      <c r="B383" s="6">
        <v>382</v>
      </c>
      <c r="C383" s="7">
        <v>45754</v>
      </c>
      <c r="D383" s="6">
        <v>0</v>
      </c>
      <c r="E383" s="8">
        <v>37.4</v>
      </c>
      <c r="F383" s="8">
        <v>0.02</v>
      </c>
      <c r="G383" s="8">
        <v>0</v>
      </c>
      <c r="H383" s="8">
        <v>15.4</v>
      </c>
    </row>
    <row r="384" spans="1:9" ht="18.75" customHeight="1" x14ac:dyDescent="0.25">
      <c r="A384" s="6">
        <v>3</v>
      </c>
      <c r="B384" s="6">
        <v>383</v>
      </c>
      <c r="C384" s="7">
        <v>45755</v>
      </c>
      <c r="D384" s="6">
        <v>39</v>
      </c>
      <c r="E384" s="8">
        <v>33.799999999999997</v>
      </c>
      <c r="F384" s="8">
        <v>0</v>
      </c>
      <c r="G384" s="8">
        <v>0</v>
      </c>
      <c r="H384" s="8">
        <v>7.9</v>
      </c>
    </row>
    <row r="385" spans="1:9" ht="18.75" customHeight="1" x14ac:dyDescent="0.25">
      <c r="A385" s="6">
        <v>4</v>
      </c>
      <c r="B385" s="6">
        <v>384</v>
      </c>
      <c r="C385" s="7">
        <v>45756</v>
      </c>
      <c r="D385" s="6">
        <v>16</v>
      </c>
      <c r="E385" s="8">
        <v>39.700000000000003</v>
      </c>
      <c r="F385" s="8">
        <v>7.0999999999999994E-2</v>
      </c>
      <c r="G385" s="8">
        <v>0</v>
      </c>
      <c r="H385" s="8">
        <v>9.4</v>
      </c>
    </row>
    <row r="386" spans="1:9" ht="18.75" customHeight="1" x14ac:dyDescent="0.25">
      <c r="A386" s="6">
        <v>5</v>
      </c>
      <c r="B386" s="6">
        <v>385</v>
      </c>
      <c r="C386" s="7">
        <v>45757</v>
      </c>
      <c r="D386" s="6">
        <v>11</v>
      </c>
      <c r="E386" s="8">
        <v>39.9</v>
      </c>
      <c r="F386" s="8">
        <v>0.12</v>
      </c>
      <c r="G386" s="8">
        <v>0</v>
      </c>
      <c r="H386" s="8">
        <v>10.3</v>
      </c>
    </row>
    <row r="387" spans="1:9" ht="18.75" customHeight="1" x14ac:dyDescent="0.25">
      <c r="A387" s="6">
        <v>6</v>
      </c>
      <c r="B387" s="6">
        <v>386</v>
      </c>
      <c r="C387" s="7">
        <v>45758</v>
      </c>
      <c r="D387" s="6">
        <v>37</v>
      </c>
      <c r="E387" s="8">
        <v>44.1</v>
      </c>
      <c r="F387" s="8">
        <v>0</v>
      </c>
      <c r="G387" s="8">
        <v>0</v>
      </c>
      <c r="H387" s="8">
        <v>8.3000000000000007</v>
      </c>
      <c r="I387" s="36" t="s">
        <v>10</v>
      </c>
    </row>
    <row r="388" spans="1:9" ht="18.75" customHeight="1" x14ac:dyDescent="0.25">
      <c r="A388" s="6">
        <v>7</v>
      </c>
      <c r="B388" s="6">
        <v>387</v>
      </c>
      <c r="C388" s="7">
        <v>45759</v>
      </c>
      <c r="D388" s="6">
        <v>26</v>
      </c>
      <c r="E388" s="8">
        <v>47.8</v>
      </c>
      <c r="F388" s="8">
        <v>0</v>
      </c>
      <c r="G388" s="8">
        <v>0</v>
      </c>
      <c r="H388" s="8">
        <v>6.2</v>
      </c>
    </row>
    <row r="389" spans="1:9" ht="18.75" customHeight="1" x14ac:dyDescent="0.25">
      <c r="A389" s="6">
        <v>1</v>
      </c>
      <c r="B389" s="6">
        <v>388</v>
      </c>
      <c r="C389" s="7">
        <v>45760</v>
      </c>
      <c r="D389" s="6">
        <v>59</v>
      </c>
      <c r="E389" s="8">
        <v>55.8</v>
      </c>
      <c r="F389" s="8">
        <v>0</v>
      </c>
      <c r="G389" s="8">
        <v>0</v>
      </c>
      <c r="H389" s="8">
        <v>12.8</v>
      </c>
    </row>
    <row r="390" spans="1:9" ht="18.75" customHeight="1" x14ac:dyDescent="0.25">
      <c r="A390" s="6">
        <v>2</v>
      </c>
      <c r="B390" s="6">
        <v>389</v>
      </c>
      <c r="C390" s="7">
        <v>45761</v>
      </c>
      <c r="D390" s="6">
        <v>12</v>
      </c>
      <c r="E390" s="8">
        <v>59.7</v>
      </c>
      <c r="F390" s="8">
        <v>0</v>
      </c>
      <c r="G390" s="8">
        <v>0</v>
      </c>
      <c r="H390" s="8">
        <v>14.7</v>
      </c>
    </row>
    <row r="391" spans="1:9" ht="18.75" customHeight="1" x14ac:dyDescent="0.25">
      <c r="A391" s="6">
        <v>3</v>
      </c>
      <c r="B391" s="6">
        <v>390</v>
      </c>
      <c r="C391" s="7">
        <v>45762</v>
      </c>
      <c r="D391" s="6">
        <v>34</v>
      </c>
      <c r="E391" s="8">
        <v>49.3</v>
      </c>
      <c r="F391" s="8">
        <v>1.6E-2</v>
      </c>
      <c r="G391" s="8">
        <v>0</v>
      </c>
      <c r="H391" s="8">
        <v>14.3</v>
      </c>
    </row>
    <row r="392" spans="1:9" ht="18.75" customHeight="1" x14ac:dyDescent="0.25">
      <c r="A392" s="6">
        <v>4</v>
      </c>
      <c r="B392" s="6">
        <v>391</v>
      </c>
      <c r="C392" s="7">
        <v>45763</v>
      </c>
      <c r="D392" s="6">
        <v>39</v>
      </c>
      <c r="E392" s="8">
        <v>44.2</v>
      </c>
      <c r="F392" s="8">
        <v>0</v>
      </c>
      <c r="G392" s="8">
        <v>0</v>
      </c>
      <c r="H392" s="8">
        <v>7.4</v>
      </c>
    </row>
    <row r="393" spans="1:9" ht="18.75" customHeight="1" x14ac:dyDescent="0.25">
      <c r="A393" s="6">
        <v>5</v>
      </c>
      <c r="B393" s="6">
        <v>392</v>
      </c>
      <c r="C393" s="7">
        <v>45764</v>
      </c>
      <c r="D393" s="6">
        <v>20</v>
      </c>
      <c r="E393" s="8">
        <v>48.9</v>
      </c>
      <c r="F393" s="8">
        <v>5.0999999999999997E-2</v>
      </c>
      <c r="G393" s="8">
        <v>0</v>
      </c>
      <c r="H393" s="8">
        <v>14.3</v>
      </c>
    </row>
    <row r="394" spans="1:9" ht="18.75" customHeight="1" x14ac:dyDescent="0.25">
      <c r="A394" s="6">
        <v>6</v>
      </c>
      <c r="B394" s="6">
        <v>393</v>
      </c>
      <c r="C394" s="7">
        <v>45765</v>
      </c>
      <c r="D394" s="6">
        <v>6</v>
      </c>
      <c r="E394" s="8">
        <v>65.8</v>
      </c>
      <c r="F394" s="8">
        <v>5.8999999999999997E-2</v>
      </c>
      <c r="G394" s="8">
        <v>0</v>
      </c>
      <c r="H394" s="8">
        <v>16.100000000000001</v>
      </c>
      <c r="I394" s="36" t="s">
        <v>11</v>
      </c>
    </row>
    <row r="395" spans="1:9" ht="18.75" customHeight="1" x14ac:dyDescent="0.25">
      <c r="A395" s="6">
        <v>7</v>
      </c>
      <c r="B395" s="6">
        <v>394</v>
      </c>
      <c r="C395" s="7">
        <v>45766</v>
      </c>
      <c r="D395" s="6">
        <v>60</v>
      </c>
      <c r="E395" s="8">
        <v>56.5</v>
      </c>
      <c r="F395" s="8">
        <v>0</v>
      </c>
      <c r="G395" s="8">
        <v>0</v>
      </c>
      <c r="H395" s="8">
        <v>7</v>
      </c>
    </row>
    <row r="396" spans="1:9" ht="18.75" customHeight="1" x14ac:dyDescent="0.25">
      <c r="A396" s="6">
        <v>1</v>
      </c>
      <c r="B396" s="6">
        <v>395</v>
      </c>
      <c r="C396" s="7">
        <v>45767</v>
      </c>
      <c r="D396" s="6">
        <v>122</v>
      </c>
      <c r="E396" s="8">
        <v>50.7</v>
      </c>
      <c r="F396" s="8">
        <v>0.35</v>
      </c>
      <c r="G396" s="8">
        <v>0</v>
      </c>
      <c r="H396" s="8">
        <v>11.7</v>
      </c>
      <c r="I396" s="36" t="s">
        <v>12</v>
      </c>
    </row>
    <row r="397" spans="1:9" ht="18.75" customHeight="1" x14ac:dyDescent="0.25">
      <c r="A397" s="6">
        <v>2</v>
      </c>
      <c r="B397" s="6">
        <v>396</v>
      </c>
      <c r="C397" s="7">
        <v>45768</v>
      </c>
      <c r="D397" s="6">
        <v>7</v>
      </c>
      <c r="E397" s="8">
        <v>57.2</v>
      </c>
      <c r="F397" s="8">
        <v>0.4</v>
      </c>
      <c r="G397" s="8">
        <v>0</v>
      </c>
      <c r="H397" s="8">
        <v>11.1</v>
      </c>
    </row>
    <row r="398" spans="1:9" ht="18.75" customHeight="1" x14ac:dyDescent="0.25">
      <c r="A398" s="6">
        <v>3</v>
      </c>
      <c r="B398" s="6">
        <v>397</v>
      </c>
      <c r="C398" s="7">
        <v>45769</v>
      </c>
      <c r="D398" s="6">
        <v>5</v>
      </c>
      <c r="E398" s="8">
        <v>58.6</v>
      </c>
      <c r="F398" s="8">
        <v>0.13800000000000001</v>
      </c>
      <c r="G398" s="8">
        <v>0</v>
      </c>
      <c r="H398" s="8">
        <v>8.3000000000000007</v>
      </c>
    </row>
    <row r="399" spans="1:9" ht="18.75" customHeight="1" x14ac:dyDescent="0.25">
      <c r="A399" s="6">
        <v>4</v>
      </c>
      <c r="B399" s="6">
        <v>398</v>
      </c>
      <c r="C399" s="7">
        <v>45770</v>
      </c>
      <c r="D399" s="6">
        <v>56</v>
      </c>
      <c r="E399" s="8">
        <v>64.8</v>
      </c>
      <c r="F399" s="8">
        <v>5.8999999999999997E-2</v>
      </c>
      <c r="G399" s="8">
        <v>0</v>
      </c>
      <c r="H399" s="8">
        <v>6.7</v>
      </c>
    </row>
    <row r="400" spans="1:9" ht="18.75" customHeight="1" x14ac:dyDescent="0.25">
      <c r="A400" s="6">
        <v>5</v>
      </c>
      <c r="B400" s="6">
        <v>399</v>
      </c>
      <c r="C400" s="7">
        <v>45771</v>
      </c>
      <c r="D400" s="6">
        <v>44</v>
      </c>
      <c r="E400" s="8">
        <v>59.7</v>
      </c>
      <c r="F400" s="8">
        <v>0</v>
      </c>
      <c r="G400" s="8">
        <v>0</v>
      </c>
      <c r="H400" s="8">
        <v>8.1999999999999993</v>
      </c>
    </row>
    <row r="401" spans="1:9" ht="18.75" customHeight="1" x14ac:dyDescent="0.25">
      <c r="A401" s="6">
        <v>6</v>
      </c>
      <c r="B401" s="6">
        <v>400</v>
      </c>
      <c r="C401" s="7">
        <v>45772</v>
      </c>
      <c r="D401" s="6">
        <v>15</v>
      </c>
      <c r="E401" s="8">
        <v>52</v>
      </c>
      <c r="F401" s="8">
        <v>0.13</v>
      </c>
      <c r="G401" s="8">
        <v>0</v>
      </c>
      <c r="H401" s="8">
        <v>13</v>
      </c>
    </row>
    <row r="402" spans="1:9" ht="18.75" customHeight="1" x14ac:dyDescent="0.25">
      <c r="A402" s="6">
        <v>7</v>
      </c>
      <c r="B402" s="6">
        <v>401</v>
      </c>
      <c r="C402" s="7">
        <v>45773</v>
      </c>
      <c r="D402" s="6">
        <v>44</v>
      </c>
      <c r="E402" s="8">
        <v>48.2</v>
      </c>
      <c r="F402" s="8">
        <v>0</v>
      </c>
      <c r="G402" s="8">
        <v>0</v>
      </c>
      <c r="H402" s="8">
        <v>12.7</v>
      </c>
    </row>
    <row r="403" spans="1:9" ht="18.75" customHeight="1" x14ac:dyDescent="0.25">
      <c r="A403" s="6">
        <v>1</v>
      </c>
      <c r="B403" s="6">
        <v>402</v>
      </c>
      <c r="C403" s="7">
        <v>45774</v>
      </c>
      <c r="D403" s="6">
        <v>38</v>
      </c>
      <c r="E403" s="8">
        <v>53.6</v>
      </c>
      <c r="F403" s="8">
        <v>0</v>
      </c>
      <c r="G403" s="8">
        <v>0</v>
      </c>
      <c r="H403" s="8">
        <v>7.4</v>
      </c>
    </row>
    <row r="404" spans="1:9" ht="18.75" customHeight="1" x14ac:dyDescent="0.25">
      <c r="A404" s="6">
        <v>2</v>
      </c>
      <c r="B404" s="6">
        <v>403</v>
      </c>
      <c r="C404" s="7">
        <v>45775</v>
      </c>
      <c r="D404" s="6">
        <v>10</v>
      </c>
      <c r="E404" s="8">
        <v>69.400000000000006</v>
      </c>
      <c r="F404" s="8">
        <v>8.0000000000000002E-3</v>
      </c>
      <c r="G404" s="8">
        <v>0</v>
      </c>
      <c r="H404" s="8">
        <v>15.2</v>
      </c>
    </row>
    <row r="405" spans="1:9" ht="18.75" customHeight="1" x14ac:dyDescent="0.25">
      <c r="A405" s="6">
        <v>3</v>
      </c>
      <c r="B405" s="6">
        <v>404</v>
      </c>
      <c r="C405" s="7">
        <v>45776</v>
      </c>
      <c r="D405" s="6">
        <v>11</v>
      </c>
      <c r="E405" s="8">
        <v>66.2</v>
      </c>
      <c r="F405" s="8">
        <v>0.28699999999999998</v>
      </c>
      <c r="G405" s="8">
        <v>0</v>
      </c>
      <c r="H405" s="8">
        <v>15</v>
      </c>
    </row>
    <row r="406" spans="1:9" ht="18.75" customHeight="1" x14ac:dyDescent="0.25">
      <c r="A406" s="6">
        <v>4</v>
      </c>
      <c r="B406" s="6">
        <v>405</v>
      </c>
      <c r="C406" s="7">
        <v>45777</v>
      </c>
      <c r="D406" s="6">
        <v>15</v>
      </c>
      <c r="E406" s="8">
        <v>54.1</v>
      </c>
      <c r="F406" s="8">
        <v>3.9E-2</v>
      </c>
      <c r="G406" s="8">
        <v>0</v>
      </c>
      <c r="H406" s="8">
        <v>8.1</v>
      </c>
    </row>
    <row r="407" spans="1:9" ht="18.75" customHeight="1" x14ac:dyDescent="0.25">
      <c r="A407" s="6">
        <v>5</v>
      </c>
      <c r="B407" s="6">
        <v>406</v>
      </c>
      <c r="C407" s="7">
        <v>45778</v>
      </c>
      <c r="D407" s="6">
        <v>22</v>
      </c>
      <c r="E407" s="8">
        <v>56.7</v>
      </c>
      <c r="F407" s="8">
        <v>2.1000000000000001E-2</v>
      </c>
      <c r="G407" s="8">
        <v>0</v>
      </c>
      <c r="H407" s="8">
        <v>9.8000000000000007</v>
      </c>
    </row>
    <row r="408" spans="1:9" ht="18.75" customHeight="1" x14ac:dyDescent="0.25">
      <c r="A408" s="6">
        <v>6</v>
      </c>
      <c r="B408" s="6">
        <v>407</v>
      </c>
      <c r="C408" s="7">
        <v>45779</v>
      </c>
      <c r="D408" s="6">
        <v>12</v>
      </c>
      <c r="E408" s="8">
        <v>59.4</v>
      </c>
      <c r="F408" s="8">
        <v>0</v>
      </c>
      <c r="G408" s="8">
        <v>0</v>
      </c>
      <c r="H408" s="8">
        <v>7.5</v>
      </c>
    </row>
    <row r="409" spans="1:9" ht="18.75" customHeight="1" x14ac:dyDescent="0.25">
      <c r="A409" s="6">
        <v>7</v>
      </c>
      <c r="B409" s="6">
        <v>408</v>
      </c>
      <c r="C409" s="7">
        <v>45780</v>
      </c>
      <c r="D409" s="6">
        <v>28</v>
      </c>
      <c r="E409" s="8">
        <v>48.6</v>
      </c>
      <c r="F409" s="8">
        <v>1.6E-2</v>
      </c>
      <c r="G409" s="8">
        <v>0</v>
      </c>
      <c r="H409" s="8">
        <v>15.1</v>
      </c>
    </row>
    <row r="410" spans="1:9" ht="18.75" customHeight="1" x14ac:dyDescent="0.25">
      <c r="A410" s="6">
        <v>1</v>
      </c>
      <c r="B410" s="6">
        <v>409</v>
      </c>
      <c r="C410" s="7">
        <v>45781</v>
      </c>
      <c r="D410" s="6">
        <v>53</v>
      </c>
      <c r="E410" s="8">
        <v>49.5</v>
      </c>
      <c r="F410" s="8">
        <v>0.185</v>
      </c>
      <c r="G410" s="8">
        <v>0</v>
      </c>
      <c r="H410" s="8">
        <v>14.9</v>
      </c>
    </row>
    <row r="411" spans="1:9" ht="18.75" customHeight="1" x14ac:dyDescent="0.25">
      <c r="A411" s="6">
        <v>2</v>
      </c>
      <c r="B411" s="6">
        <v>410</v>
      </c>
      <c r="C411" s="7">
        <v>45782</v>
      </c>
      <c r="D411" s="6">
        <v>58</v>
      </c>
      <c r="E411" s="8">
        <v>52.7</v>
      </c>
      <c r="F411" s="8">
        <v>5.0999999999999997E-2</v>
      </c>
      <c r="G411" s="8">
        <v>0</v>
      </c>
      <c r="H411" s="8">
        <v>9.6999999999999993</v>
      </c>
      <c r="I411" s="36" t="s">
        <v>13</v>
      </c>
    </row>
    <row r="412" spans="1:9" ht="18.75" customHeight="1" x14ac:dyDescent="0.25">
      <c r="A412" s="6">
        <v>3</v>
      </c>
      <c r="B412" s="6">
        <v>411</v>
      </c>
      <c r="C412" s="7">
        <v>45783</v>
      </c>
      <c r="D412" s="6">
        <v>11</v>
      </c>
      <c r="E412" s="8">
        <v>61.7</v>
      </c>
      <c r="F412" s="8">
        <v>0</v>
      </c>
      <c r="G412" s="8">
        <v>0</v>
      </c>
      <c r="H412" s="8">
        <v>6.9</v>
      </c>
    </row>
    <row r="413" spans="1:9" ht="18.75" customHeight="1" x14ac:dyDescent="0.25">
      <c r="A413" s="6">
        <v>4</v>
      </c>
      <c r="B413" s="6">
        <v>412</v>
      </c>
      <c r="C413" s="7">
        <v>45784</v>
      </c>
      <c r="D413" s="6">
        <v>15</v>
      </c>
      <c r="E413" s="8">
        <v>57.7</v>
      </c>
      <c r="F413" s="8">
        <v>0</v>
      </c>
      <c r="G413" s="8">
        <v>0</v>
      </c>
      <c r="H413" s="8">
        <v>12.4</v>
      </c>
    </row>
    <row r="414" spans="1:9" ht="18.75" customHeight="1" x14ac:dyDescent="0.25">
      <c r="A414" s="6">
        <v>5</v>
      </c>
      <c r="B414" s="6">
        <v>413</v>
      </c>
      <c r="C414" s="7">
        <v>45785</v>
      </c>
      <c r="D414" s="6">
        <v>17</v>
      </c>
      <c r="E414" s="8">
        <v>50.2</v>
      </c>
      <c r="F414" s="8">
        <v>0</v>
      </c>
      <c r="G414" s="8">
        <v>0</v>
      </c>
      <c r="H414" s="8">
        <v>17.5</v>
      </c>
    </row>
    <row r="415" spans="1:9" ht="18.75" customHeight="1" x14ac:dyDescent="0.25">
      <c r="A415" s="6">
        <v>6</v>
      </c>
      <c r="B415" s="6">
        <v>414</v>
      </c>
      <c r="C415" s="7">
        <v>45786</v>
      </c>
      <c r="D415" s="6">
        <v>14</v>
      </c>
      <c r="E415" s="8">
        <v>53.2</v>
      </c>
      <c r="F415" s="8">
        <v>0</v>
      </c>
      <c r="G415" s="8">
        <v>0</v>
      </c>
      <c r="H415" s="8">
        <v>6.3</v>
      </c>
    </row>
    <row r="416" spans="1:9" ht="18.75" customHeight="1" x14ac:dyDescent="0.25">
      <c r="A416" s="6">
        <v>7</v>
      </c>
      <c r="B416" s="6">
        <v>415</v>
      </c>
      <c r="C416" s="7">
        <v>45787</v>
      </c>
      <c r="D416" s="6">
        <v>81</v>
      </c>
      <c r="E416" s="8">
        <v>56.7</v>
      </c>
      <c r="F416" s="8">
        <v>0</v>
      </c>
      <c r="G416" s="8">
        <v>0</v>
      </c>
      <c r="H416" s="8">
        <v>12.8</v>
      </c>
    </row>
    <row r="417" spans="1:9" ht="18.75" customHeight="1" x14ac:dyDescent="0.25">
      <c r="A417" s="6">
        <v>1</v>
      </c>
      <c r="B417" s="6">
        <v>416</v>
      </c>
      <c r="C417" s="7">
        <v>45788</v>
      </c>
      <c r="D417" s="6">
        <v>232</v>
      </c>
      <c r="E417" s="8">
        <v>58.1</v>
      </c>
      <c r="F417" s="8">
        <v>0</v>
      </c>
      <c r="G417" s="8">
        <v>0</v>
      </c>
      <c r="H417" s="8">
        <v>8.4</v>
      </c>
      <c r="I417" s="36" t="s">
        <v>14</v>
      </c>
    </row>
    <row r="418" spans="1:9" ht="18.75" customHeight="1" x14ac:dyDescent="0.25">
      <c r="A418" s="6">
        <v>2</v>
      </c>
      <c r="B418" s="6">
        <v>417</v>
      </c>
      <c r="C418" s="7">
        <v>45789</v>
      </c>
      <c r="D418" s="6">
        <v>34</v>
      </c>
      <c r="E418" s="8">
        <v>64.900000000000006</v>
      </c>
      <c r="F418" s="8">
        <v>0</v>
      </c>
      <c r="G418" s="8">
        <v>0</v>
      </c>
      <c r="H418" s="8">
        <v>6.6</v>
      </c>
    </row>
    <row r="419" spans="1:9" ht="18.75" customHeight="1" x14ac:dyDescent="0.25">
      <c r="A419" s="6">
        <v>3</v>
      </c>
      <c r="B419" s="6">
        <v>418</v>
      </c>
      <c r="C419" s="7">
        <v>45790</v>
      </c>
      <c r="D419" s="6">
        <v>17</v>
      </c>
      <c r="E419" s="8">
        <v>68.5</v>
      </c>
      <c r="F419" s="8">
        <v>0</v>
      </c>
      <c r="G419" s="8">
        <v>0</v>
      </c>
      <c r="H419" s="8">
        <v>8.3000000000000007</v>
      </c>
    </row>
    <row r="420" spans="1:9" ht="18.75" customHeight="1" x14ac:dyDescent="0.25">
      <c r="A420" s="6">
        <v>4</v>
      </c>
      <c r="B420" s="6">
        <v>419</v>
      </c>
      <c r="C420" s="7">
        <v>45791</v>
      </c>
      <c r="D420" s="6">
        <v>56</v>
      </c>
      <c r="E420" s="8">
        <v>66.900000000000006</v>
      </c>
      <c r="F420" s="8">
        <v>0</v>
      </c>
      <c r="G420" s="8">
        <v>0</v>
      </c>
      <c r="H420" s="8">
        <v>6.8</v>
      </c>
    </row>
    <row r="421" spans="1:9" ht="18.75" customHeight="1" x14ac:dyDescent="0.25">
      <c r="A421" s="6">
        <v>5</v>
      </c>
      <c r="B421" s="6">
        <v>420</v>
      </c>
      <c r="C421" s="7">
        <v>45792</v>
      </c>
      <c r="D421" s="6">
        <v>9</v>
      </c>
      <c r="E421" s="8">
        <v>72.7</v>
      </c>
      <c r="F421" s="8">
        <v>0.51600000000000001</v>
      </c>
      <c r="G421" s="8">
        <v>0</v>
      </c>
      <c r="H421" s="8">
        <v>11.4</v>
      </c>
    </row>
    <row r="422" spans="1:9" ht="18.75" customHeight="1" x14ac:dyDescent="0.25">
      <c r="A422" s="6">
        <v>6</v>
      </c>
      <c r="B422" s="6">
        <v>421</v>
      </c>
      <c r="C422" s="7">
        <v>45793</v>
      </c>
      <c r="D422" s="6">
        <v>31</v>
      </c>
      <c r="E422" s="8">
        <v>77.400000000000006</v>
      </c>
      <c r="F422" s="8">
        <v>4.7E-2</v>
      </c>
      <c r="G422" s="8">
        <v>0</v>
      </c>
      <c r="H422" s="8">
        <v>15.9</v>
      </c>
    </row>
    <row r="423" spans="1:9" ht="18.75" customHeight="1" x14ac:dyDescent="0.25">
      <c r="A423" s="6">
        <v>7</v>
      </c>
      <c r="B423" s="6">
        <v>422</v>
      </c>
      <c r="C423" s="7">
        <v>45794</v>
      </c>
      <c r="D423" s="6">
        <v>65</v>
      </c>
      <c r="E423" s="8">
        <v>63.3</v>
      </c>
      <c r="F423" s="8">
        <v>0</v>
      </c>
      <c r="G423" s="8">
        <v>0</v>
      </c>
      <c r="H423" s="8">
        <v>15.7</v>
      </c>
    </row>
    <row r="424" spans="1:9" ht="18.75" customHeight="1" x14ac:dyDescent="0.25">
      <c r="A424" s="6">
        <v>1</v>
      </c>
      <c r="B424" s="6">
        <v>423</v>
      </c>
      <c r="C424" s="7">
        <v>45795</v>
      </c>
      <c r="D424" s="6">
        <v>44</v>
      </c>
      <c r="E424" s="8">
        <v>59</v>
      </c>
      <c r="F424" s="8">
        <v>8.0000000000000002E-3</v>
      </c>
      <c r="G424" s="8">
        <v>0</v>
      </c>
      <c r="H424" s="8">
        <v>9.1999999999999993</v>
      </c>
    </row>
    <row r="425" spans="1:9" ht="18.75" customHeight="1" x14ac:dyDescent="0.25">
      <c r="A425" s="6">
        <v>2</v>
      </c>
      <c r="B425" s="6">
        <v>424</v>
      </c>
      <c r="C425" s="7">
        <v>45796</v>
      </c>
      <c r="D425" s="6">
        <v>17</v>
      </c>
      <c r="E425" s="8">
        <v>47.5</v>
      </c>
      <c r="F425" s="8">
        <v>0</v>
      </c>
      <c r="G425" s="8">
        <v>0</v>
      </c>
      <c r="H425" s="8">
        <v>15.2</v>
      </c>
    </row>
    <row r="426" spans="1:9" ht="18.75" customHeight="1" x14ac:dyDescent="0.25">
      <c r="A426" s="6">
        <v>3</v>
      </c>
      <c r="B426" s="6">
        <v>425</v>
      </c>
      <c r="C426" s="7">
        <v>45797</v>
      </c>
      <c r="D426" s="6">
        <v>15</v>
      </c>
      <c r="E426" s="8">
        <v>53.1</v>
      </c>
      <c r="F426" s="8">
        <v>0.61799999999999999</v>
      </c>
      <c r="G426" s="8">
        <v>0</v>
      </c>
      <c r="H426" s="8">
        <v>14.5</v>
      </c>
    </row>
    <row r="427" spans="1:9" ht="18.75" customHeight="1" x14ac:dyDescent="0.25">
      <c r="A427" s="6">
        <v>4</v>
      </c>
      <c r="B427" s="6">
        <v>426</v>
      </c>
      <c r="C427" s="7">
        <v>45798</v>
      </c>
      <c r="D427" s="6">
        <v>17</v>
      </c>
      <c r="E427" s="8">
        <v>50</v>
      </c>
      <c r="F427" s="8">
        <v>8.6999999999999994E-2</v>
      </c>
      <c r="G427" s="8">
        <v>0</v>
      </c>
      <c r="H427" s="8">
        <v>10</v>
      </c>
    </row>
    <row r="428" spans="1:9" ht="18.75" customHeight="1" x14ac:dyDescent="0.25">
      <c r="A428" s="6">
        <v>5</v>
      </c>
      <c r="B428" s="6">
        <v>427</v>
      </c>
      <c r="C428" s="7">
        <v>45799</v>
      </c>
      <c r="D428" s="6">
        <v>5</v>
      </c>
      <c r="E428" s="8">
        <v>51.3</v>
      </c>
      <c r="F428" s="8">
        <v>6.3E-2</v>
      </c>
      <c r="G428" s="8">
        <v>0</v>
      </c>
      <c r="H428" s="8">
        <v>7.4</v>
      </c>
    </row>
    <row r="429" spans="1:9" ht="18.75" customHeight="1" x14ac:dyDescent="0.25">
      <c r="A429" s="6">
        <v>6</v>
      </c>
      <c r="B429" s="6">
        <v>428</v>
      </c>
      <c r="C429" s="7">
        <v>45800</v>
      </c>
      <c r="D429" s="6">
        <v>10</v>
      </c>
      <c r="E429" s="8">
        <v>52</v>
      </c>
      <c r="F429" s="8">
        <v>0</v>
      </c>
      <c r="G429" s="8">
        <v>0</v>
      </c>
      <c r="H429" s="8">
        <v>6.2</v>
      </c>
    </row>
    <row r="430" spans="1:9" ht="18.75" customHeight="1" x14ac:dyDescent="0.25">
      <c r="A430" s="6">
        <v>7</v>
      </c>
      <c r="B430" s="6">
        <v>429</v>
      </c>
      <c r="C430" s="7">
        <v>45801</v>
      </c>
      <c r="D430" s="6">
        <v>19</v>
      </c>
      <c r="E430" s="8">
        <v>55.4</v>
      </c>
      <c r="F430" s="8">
        <v>0</v>
      </c>
      <c r="G430" s="8">
        <v>0</v>
      </c>
      <c r="H430" s="8">
        <v>7.3</v>
      </c>
    </row>
    <row r="431" spans="1:9" ht="18.75" customHeight="1" x14ac:dyDescent="0.25">
      <c r="A431" s="6">
        <v>1</v>
      </c>
      <c r="B431" s="6">
        <v>430</v>
      </c>
      <c r="C431" s="7">
        <v>45802</v>
      </c>
      <c r="D431" s="6">
        <v>48</v>
      </c>
      <c r="E431" s="8">
        <v>57</v>
      </c>
      <c r="F431" s="8">
        <v>1.2E-2</v>
      </c>
      <c r="G431" s="8">
        <v>0</v>
      </c>
      <c r="H431" s="8">
        <v>7.6</v>
      </c>
    </row>
    <row r="432" spans="1:9" ht="18.75" customHeight="1" x14ac:dyDescent="0.25">
      <c r="A432" s="6">
        <v>2</v>
      </c>
      <c r="B432" s="6">
        <v>431</v>
      </c>
      <c r="C432" s="7">
        <v>45803</v>
      </c>
      <c r="D432" s="6">
        <v>0</v>
      </c>
      <c r="E432" s="8">
        <v>56.5</v>
      </c>
      <c r="F432" s="8">
        <v>0</v>
      </c>
      <c r="G432" s="8">
        <v>0</v>
      </c>
      <c r="H432" s="8">
        <v>10.5</v>
      </c>
      <c r="I432" s="36" t="s">
        <v>15</v>
      </c>
    </row>
    <row r="433" spans="1:11" ht="18.75" customHeight="1" x14ac:dyDescent="0.25">
      <c r="A433" s="6">
        <v>3</v>
      </c>
      <c r="B433" s="6">
        <v>432</v>
      </c>
      <c r="C433" s="7">
        <v>45804</v>
      </c>
      <c r="D433" s="6">
        <v>3</v>
      </c>
      <c r="E433" s="8">
        <v>59.2</v>
      </c>
      <c r="F433" s="8">
        <v>0</v>
      </c>
      <c r="G433" s="8">
        <v>0</v>
      </c>
      <c r="H433" s="8">
        <v>9.8000000000000007</v>
      </c>
      <c r="K433" s="11"/>
    </row>
    <row r="434" spans="1:11" ht="18.75" customHeight="1" x14ac:dyDescent="0.25">
      <c r="A434" s="6">
        <v>4</v>
      </c>
      <c r="B434" s="6">
        <v>433</v>
      </c>
      <c r="C434" s="7">
        <v>45805</v>
      </c>
      <c r="D434" s="12">
        <v>31</v>
      </c>
      <c r="E434" s="8">
        <v>57.9</v>
      </c>
      <c r="F434" s="8">
        <v>0.33100000000000002</v>
      </c>
      <c r="G434" s="8">
        <v>0</v>
      </c>
      <c r="H434" s="8">
        <v>7</v>
      </c>
      <c r="K434" s="11"/>
    </row>
    <row r="435" spans="1:11" ht="18.75" customHeight="1" x14ac:dyDescent="0.25">
      <c r="A435" s="6">
        <v>5</v>
      </c>
      <c r="B435" s="6">
        <v>434</v>
      </c>
      <c r="C435" s="7">
        <v>45806</v>
      </c>
      <c r="D435" s="6">
        <v>41</v>
      </c>
      <c r="E435" s="8">
        <v>60.1</v>
      </c>
      <c r="F435" s="8">
        <v>0</v>
      </c>
      <c r="G435" s="8">
        <v>0</v>
      </c>
      <c r="H435" s="8">
        <v>5.8</v>
      </c>
      <c r="J435" s="8"/>
      <c r="K435" s="11"/>
    </row>
    <row r="436" spans="1:11" ht="18.75" customHeight="1" x14ac:dyDescent="0.25">
      <c r="A436" s="6">
        <v>6</v>
      </c>
      <c r="B436" s="6">
        <v>435</v>
      </c>
      <c r="C436" s="7">
        <v>45807</v>
      </c>
      <c r="D436" s="6">
        <v>24</v>
      </c>
      <c r="E436" s="8">
        <v>64</v>
      </c>
      <c r="F436" s="8">
        <v>0</v>
      </c>
      <c r="G436" s="8">
        <v>0</v>
      </c>
      <c r="H436" s="8">
        <v>7.1</v>
      </c>
      <c r="J436" s="8"/>
      <c r="K436" s="11"/>
    </row>
    <row r="437" spans="1:11" ht="18.75" customHeight="1" x14ac:dyDescent="0.25">
      <c r="A437" s="6">
        <v>7</v>
      </c>
      <c r="B437" s="6">
        <v>436</v>
      </c>
      <c r="C437" s="7">
        <v>45808</v>
      </c>
      <c r="D437" s="6">
        <v>17</v>
      </c>
      <c r="E437" s="8">
        <v>60.6</v>
      </c>
      <c r="F437" s="8">
        <v>0</v>
      </c>
      <c r="G437" s="8">
        <v>0</v>
      </c>
      <c r="H437" s="8">
        <v>8.1</v>
      </c>
      <c r="J437" s="13"/>
      <c r="K437" s="11"/>
    </row>
    <row r="438" spans="1:11" ht="18.75" customHeight="1" x14ac:dyDescent="0.25">
      <c r="A438" s="6">
        <v>1</v>
      </c>
      <c r="B438" s="6">
        <v>437</v>
      </c>
      <c r="C438" s="7">
        <v>45809</v>
      </c>
      <c r="D438" s="6">
        <v>54</v>
      </c>
      <c r="E438" s="8">
        <v>57.6</v>
      </c>
      <c r="F438" s="8">
        <v>0</v>
      </c>
      <c r="G438" s="8">
        <v>0</v>
      </c>
      <c r="H438" s="8">
        <v>4.5</v>
      </c>
      <c r="J438" s="13"/>
      <c r="K438" s="11"/>
    </row>
    <row r="439" spans="1:11" ht="18.75" customHeight="1" x14ac:dyDescent="0.25">
      <c r="A439" s="6">
        <v>2</v>
      </c>
      <c r="B439" s="6">
        <v>438</v>
      </c>
      <c r="C439" s="7">
        <v>45810</v>
      </c>
      <c r="D439" s="6">
        <v>16</v>
      </c>
      <c r="E439" s="8">
        <v>64.599999999999994</v>
      </c>
      <c r="F439" s="8">
        <v>0</v>
      </c>
      <c r="G439" s="8">
        <v>0</v>
      </c>
      <c r="H439" s="8">
        <v>7.4</v>
      </c>
      <c r="J439" s="13"/>
      <c r="K439" s="11"/>
    </row>
    <row r="440" spans="1:11" ht="18.75" customHeight="1" x14ac:dyDescent="0.25">
      <c r="A440" s="6">
        <v>3</v>
      </c>
      <c r="B440" s="6">
        <v>439</v>
      </c>
      <c r="C440" s="7">
        <v>45811</v>
      </c>
      <c r="D440" s="6">
        <v>15</v>
      </c>
      <c r="E440" s="8">
        <v>76.8</v>
      </c>
      <c r="F440" s="8">
        <v>9.0999999999999998E-2</v>
      </c>
      <c r="G440" s="8">
        <v>0</v>
      </c>
      <c r="H440" s="8">
        <v>13.9</v>
      </c>
      <c r="J440" s="13"/>
      <c r="K440" s="11"/>
    </row>
    <row r="441" spans="1:11" ht="18.75" customHeight="1" x14ac:dyDescent="0.25">
      <c r="A441" s="6">
        <v>4</v>
      </c>
      <c r="B441" s="6">
        <v>440</v>
      </c>
      <c r="C441" s="7">
        <v>45812</v>
      </c>
      <c r="D441" s="6">
        <v>37</v>
      </c>
      <c r="E441" s="8">
        <v>68</v>
      </c>
      <c r="F441" s="8">
        <v>0.53900000000000003</v>
      </c>
      <c r="G441" s="8">
        <v>0</v>
      </c>
      <c r="H441" s="8">
        <v>8.6999999999999993</v>
      </c>
      <c r="J441" s="13"/>
      <c r="K441" s="11"/>
    </row>
    <row r="442" spans="1:11" ht="18.75" customHeight="1" x14ac:dyDescent="0.25">
      <c r="A442" s="6">
        <v>5</v>
      </c>
      <c r="B442" s="6">
        <v>441</v>
      </c>
      <c r="C442" s="7">
        <v>45813</v>
      </c>
      <c r="D442" s="6">
        <v>9</v>
      </c>
      <c r="E442" s="8">
        <v>63</v>
      </c>
      <c r="F442" s="8">
        <v>0</v>
      </c>
      <c r="G442" s="8">
        <v>0</v>
      </c>
      <c r="H442" s="8">
        <v>9.1999999999999993</v>
      </c>
      <c r="J442" s="13"/>
      <c r="K442" s="11"/>
    </row>
    <row r="443" spans="1:11" ht="18.75" customHeight="1" x14ac:dyDescent="0.25">
      <c r="A443" s="6">
        <v>6</v>
      </c>
      <c r="B443" s="6">
        <v>442</v>
      </c>
      <c r="C443" s="7">
        <v>45814</v>
      </c>
      <c r="D443" s="6">
        <v>41</v>
      </c>
      <c r="E443" s="8">
        <v>66.900000000000006</v>
      </c>
      <c r="F443" s="8">
        <v>0</v>
      </c>
      <c r="G443" s="8">
        <v>0</v>
      </c>
      <c r="H443" s="8">
        <v>8.3000000000000007</v>
      </c>
      <c r="J443" s="8"/>
      <c r="K443" s="11"/>
    </row>
    <row r="444" spans="1:11" ht="18.75" customHeight="1" x14ac:dyDescent="0.25">
      <c r="A444" s="6">
        <v>7</v>
      </c>
      <c r="B444" s="6">
        <v>443</v>
      </c>
      <c r="C444" s="7">
        <v>45815</v>
      </c>
      <c r="D444" s="6">
        <v>36</v>
      </c>
      <c r="E444" s="8">
        <v>66.400000000000006</v>
      </c>
      <c r="F444" s="8">
        <v>0.02</v>
      </c>
      <c r="G444" s="8">
        <v>0</v>
      </c>
      <c r="H444" s="8">
        <v>7.6</v>
      </c>
      <c r="J444" s="8"/>
      <c r="K444" s="11"/>
    </row>
    <row r="445" spans="1:11" ht="18.75" customHeight="1" x14ac:dyDescent="0.25">
      <c r="A445" s="6">
        <v>1</v>
      </c>
      <c r="B445" s="6">
        <v>444</v>
      </c>
      <c r="C445" s="7">
        <v>45816</v>
      </c>
      <c r="D445" s="6">
        <v>47</v>
      </c>
      <c r="E445" s="8">
        <v>67.599999999999994</v>
      </c>
      <c r="F445" s="8">
        <v>9.8000000000000004E-2</v>
      </c>
      <c r="G445" s="8">
        <v>0</v>
      </c>
      <c r="H445" s="8">
        <v>7.4</v>
      </c>
      <c r="J445" s="13"/>
      <c r="K445" s="11"/>
    </row>
    <row r="446" spans="1:11" ht="18.75" customHeight="1" x14ac:dyDescent="0.25">
      <c r="A446" s="6">
        <v>2</v>
      </c>
      <c r="B446" s="6">
        <v>445</v>
      </c>
      <c r="C446" s="7">
        <v>45817</v>
      </c>
      <c r="D446" s="6">
        <v>11</v>
      </c>
      <c r="E446" s="8">
        <v>63.7</v>
      </c>
      <c r="F446" s="8">
        <v>0</v>
      </c>
      <c r="G446" s="8">
        <v>0</v>
      </c>
      <c r="H446" s="8">
        <v>11.2</v>
      </c>
      <c r="J446" s="13"/>
      <c r="K446" s="11"/>
    </row>
    <row r="447" spans="1:11" ht="18.75" customHeight="1" x14ac:dyDescent="0.25">
      <c r="A447" s="6">
        <v>3</v>
      </c>
      <c r="B447" s="6">
        <v>446</v>
      </c>
      <c r="C447" s="7">
        <v>45818</v>
      </c>
      <c r="D447" s="6">
        <v>11</v>
      </c>
      <c r="E447" s="8">
        <v>65.099999999999994</v>
      </c>
      <c r="F447" s="8">
        <v>0</v>
      </c>
      <c r="G447" s="8">
        <v>0</v>
      </c>
      <c r="H447" s="8">
        <v>9.6</v>
      </c>
      <c r="J447" s="13"/>
      <c r="K447" s="11"/>
    </row>
    <row r="448" spans="1:11" ht="18.75" customHeight="1" x14ac:dyDescent="0.25">
      <c r="A448" s="6">
        <v>4</v>
      </c>
      <c r="B448" s="6">
        <v>447</v>
      </c>
      <c r="C448" s="7">
        <v>45819</v>
      </c>
      <c r="D448" s="6">
        <v>36</v>
      </c>
      <c r="E448">
        <v>74.099999999999994</v>
      </c>
      <c r="F448" s="8">
        <v>0</v>
      </c>
      <c r="G448" s="8">
        <v>0</v>
      </c>
      <c r="H448" s="8">
        <v>11.4</v>
      </c>
      <c r="J448" s="13"/>
      <c r="K448" s="11"/>
    </row>
    <row r="449" spans="1:11" ht="18.75" customHeight="1" x14ac:dyDescent="0.25">
      <c r="A449" s="6">
        <v>5</v>
      </c>
      <c r="B449" s="6">
        <v>448</v>
      </c>
      <c r="C449" s="7">
        <v>45820</v>
      </c>
      <c r="D449" s="6">
        <v>12</v>
      </c>
      <c r="E449" s="8">
        <v>74.099999999999994</v>
      </c>
      <c r="F449" s="8">
        <v>0</v>
      </c>
      <c r="G449" s="8">
        <v>0</v>
      </c>
      <c r="H449" s="8">
        <v>8.9</v>
      </c>
      <c r="J449" s="13"/>
      <c r="K449" s="11"/>
    </row>
    <row r="450" spans="1:11" ht="18.75" customHeight="1" x14ac:dyDescent="0.25">
      <c r="A450" s="6">
        <v>6</v>
      </c>
      <c r="B450" s="6">
        <v>449</v>
      </c>
      <c r="C450" s="7">
        <v>45821</v>
      </c>
      <c r="D450" s="6">
        <v>20</v>
      </c>
      <c r="E450" s="8">
        <v>64.900000000000006</v>
      </c>
      <c r="F450" s="8">
        <v>0.14199999999999999</v>
      </c>
      <c r="G450" s="8">
        <v>0</v>
      </c>
      <c r="H450" s="8">
        <v>7.4</v>
      </c>
      <c r="J450" s="8"/>
      <c r="K450" s="11"/>
    </row>
    <row r="451" spans="1:11" ht="18.75" customHeight="1" x14ac:dyDescent="0.25">
      <c r="A451" s="6">
        <v>7</v>
      </c>
      <c r="B451" s="6">
        <v>450</v>
      </c>
      <c r="C451" s="7">
        <v>45822</v>
      </c>
      <c r="D451" s="6">
        <v>49</v>
      </c>
      <c r="E451" s="8">
        <v>64.900000000000006</v>
      </c>
      <c r="F451" s="8">
        <v>0</v>
      </c>
      <c r="G451" s="8">
        <v>0</v>
      </c>
      <c r="H451" s="8">
        <v>9.4</v>
      </c>
      <c r="J451" s="8"/>
      <c r="K451" s="11"/>
    </row>
    <row r="452" spans="1:11" ht="18.75" customHeight="1" x14ac:dyDescent="0.25">
      <c r="A452" s="6">
        <v>1</v>
      </c>
      <c r="B452" s="6">
        <v>451</v>
      </c>
      <c r="C452" s="7">
        <v>45823</v>
      </c>
      <c r="D452" s="6">
        <v>141</v>
      </c>
      <c r="E452" s="8">
        <v>68.5</v>
      </c>
      <c r="F452" s="8">
        <v>0</v>
      </c>
      <c r="G452" s="8">
        <v>0</v>
      </c>
      <c r="H452" s="8">
        <v>7.1</v>
      </c>
      <c r="I452" s="36" t="s">
        <v>16</v>
      </c>
      <c r="J452" s="13"/>
      <c r="K452" s="11"/>
    </row>
    <row r="453" spans="1:11" ht="18.75" customHeight="1" x14ac:dyDescent="0.25">
      <c r="A453" s="6">
        <v>2</v>
      </c>
      <c r="B453" s="6">
        <v>452</v>
      </c>
      <c r="C453" s="7">
        <v>45824</v>
      </c>
      <c r="D453" s="6">
        <v>14</v>
      </c>
      <c r="E453" s="8">
        <v>73.400000000000006</v>
      </c>
      <c r="F453" s="8">
        <v>0</v>
      </c>
      <c r="G453" s="8">
        <v>0</v>
      </c>
      <c r="H453" s="8">
        <v>6.3</v>
      </c>
      <c r="J453" s="13"/>
      <c r="K453" s="11"/>
    </row>
    <row r="454" spans="1:11" ht="18.75" customHeight="1" x14ac:dyDescent="0.25">
      <c r="A454" s="6">
        <v>3</v>
      </c>
      <c r="B454" s="6">
        <v>453</v>
      </c>
      <c r="C454" s="7">
        <v>45825</v>
      </c>
      <c r="D454" s="6">
        <v>33</v>
      </c>
      <c r="E454" s="8">
        <v>80.099999999999994</v>
      </c>
      <c r="F454" s="8">
        <v>0.29899999999999999</v>
      </c>
      <c r="G454" s="8">
        <v>0</v>
      </c>
      <c r="H454" s="8">
        <v>10.8</v>
      </c>
      <c r="J454" s="13"/>
      <c r="K454" s="11"/>
    </row>
    <row r="455" spans="1:11" ht="18.75" customHeight="1" x14ac:dyDescent="0.25">
      <c r="A455" s="6">
        <v>4</v>
      </c>
      <c r="B455" s="6">
        <v>454</v>
      </c>
      <c r="C455" s="7">
        <v>45826</v>
      </c>
      <c r="D455" s="6">
        <v>21</v>
      </c>
      <c r="E455" s="8">
        <v>76.3</v>
      </c>
      <c r="F455" s="8">
        <v>1.8580000000000001</v>
      </c>
      <c r="G455" s="8">
        <v>0</v>
      </c>
      <c r="H455" s="8">
        <v>5.7</v>
      </c>
      <c r="J455" s="13"/>
      <c r="K455" s="11"/>
    </row>
    <row r="456" spans="1:11" ht="18.75" customHeight="1" x14ac:dyDescent="0.25">
      <c r="A456" s="6">
        <v>5</v>
      </c>
      <c r="B456" s="6">
        <v>455</v>
      </c>
      <c r="C456" s="7">
        <v>45827</v>
      </c>
      <c r="D456" s="6">
        <v>32</v>
      </c>
      <c r="E456" s="8">
        <v>72.099999999999994</v>
      </c>
      <c r="F456" s="8">
        <v>0</v>
      </c>
      <c r="G456" s="8">
        <v>0</v>
      </c>
      <c r="H456" s="8">
        <v>8</v>
      </c>
      <c r="I456" s="36" t="s">
        <v>17</v>
      </c>
      <c r="J456" s="13"/>
      <c r="K456" s="11"/>
    </row>
    <row r="457" spans="1:11" ht="18.75" customHeight="1" x14ac:dyDescent="0.25">
      <c r="A457" s="6">
        <v>6</v>
      </c>
      <c r="B457" s="6">
        <v>456</v>
      </c>
      <c r="C457" s="7">
        <v>45828</v>
      </c>
      <c r="D457" s="6">
        <v>40</v>
      </c>
      <c r="E457" s="8">
        <v>73.599999999999994</v>
      </c>
      <c r="F457" s="8">
        <v>2.4E-2</v>
      </c>
      <c r="G457" s="8">
        <v>0</v>
      </c>
      <c r="H457" s="8">
        <v>10.4</v>
      </c>
      <c r="J457" s="8"/>
      <c r="K457" s="11"/>
    </row>
    <row r="458" spans="1:11" ht="18.75" customHeight="1" x14ac:dyDescent="0.25">
      <c r="A458" s="6">
        <v>7</v>
      </c>
      <c r="B458" s="6">
        <v>457</v>
      </c>
      <c r="C458" s="7">
        <v>45829</v>
      </c>
      <c r="D458" s="6">
        <v>51</v>
      </c>
      <c r="E458" s="8">
        <v>86</v>
      </c>
      <c r="F458" s="8">
        <v>0</v>
      </c>
      <c r="G458" s="8">
        <v>0</v>
      </c>
      <c r="H458" s="8">
        <v>16.8</v>
      </c>
      <c r="J458" s="8"/>
      <c r="K458" s="11"/>
    </row>
    <row r="459" spans="1:11" ht="18.75" customHeight="1" x14ac:dyDescent="0.25">
      <c r="A459" s="6">
        <v>1</v>
      </c>
      <c r="B459" s="6">
        <v>458</v>
      </c>
      <c r="C459" s="7">
        <v>45830</v>
      </c>
      <c r="D459" s="6">
        <v>19</v>
      </c>
      <c r="E459" s="8">
        <v>87.1</v>
      </c>
      <c r="F459" s="8">
        <v>0</v>
      </c>
      <c r="G459" s="8">
        <v>0</v>
      </c>
      <c r="H459" s="8">
        <v>14.4</v>
      </c>
      <c r="J459" s="13"/>
      <c r="K459" s="11"/>
    </row>
    <row r="460" spans="1:11" ht="18.75" customHeight="1" x14ac:dyDescent="0.25">
      <c r="A460" s="6">
        <v>2</v>
      </c>
      <c r="B460" s="6">
        <v>459</v>
      </c>
      <c r="C460" s="7">
        <v>45831</v>
      </c>
      <c r="D460" s="6">
        <v>28</v>
      </c>
      <c r="E460" s="8">
        <v>87.3</v>
      </c>
      <c r="F460" s="8">
        <v>0</v>
      </c>
      <c r="G460" s="8">
        <v>0</v>
      </c>
      <c r="H460" s="8">
        <v>12.9</v>
      </c>
      <c r="J460" s="13"/>
      <c r="K460" s="11"/>
    </row>
    <row r="461" spans="1:11" ht="18.75" customHeight="1" x14ac:dyDescent="0.25">
      <c r="A461" s="6">
        <v>3</v>
      </c>
      <c r="B461" s="6">
        <v>460</v>
      </c>
      <c r="C461" s="7">
        <v>45832</v>
      </c>
      <c r="D461" s="6">
        <v>0</v>
      </c>
      <c r="E461" s="8">
        <v>82.9</v>
      </c>
      <c r="F461" s="8">
        <v>0.622</v>
      </c>
      <c r="G461" s="8">
        <v>0</v>
      </c>
      <c r="H461" s="8">
        <v>7.1</v>
      </c>
      <c r="J461" s="13"/>
      <c r="K461" s="11"/>
    </row>
    <row r="462" spans="1:11" ht="18.75" customHeight="1" x14ac:dyDescent="0.25">
      <c r="A462" s="6">
        <v>4</v>
      </c>
      <c r="B462" s="6">
        <v>461</v>
      </c>
      <c r="C462" s="7">
        <v>45833</v>
      </c>
      <c r="D462" s="6">
        <v>11</v>
      </c>
      <c r="E462" s="8">
        <v>77.5</v>
      </c>
      <c r="F462" s="8">
        <v>0.48</v>
      </c>
      <c r="G462" s="8">
        <v>0</v>
      </c>
      <c r="H462" s="8">
        <v>5.6</v>
      </c>
      <c r="J462" s="13"/>
      <c r="K462" s="11"/>
    </row>
    <row r="463" spans="1:11" ht="18.75" customHeight="1" x14ac:dyDescent="0.25">
      <c r="A463" s="6">
        <v>5</v>
      </c>
      <c r="B463" s="6">
        <v>462</v>
      </c>
      <c r="C463" s="7">
        <v>45834</v>
      </c>
      <c r="D463" s="6">
        <v>21</v>
      </c>
      <c r="E463" s="8">
        <v>82.8</v>
      </c>
      <c r="F463" s="8">
        <v>0</v>
      </c>
      <c r="G463" s="8">
        <v>0</v>
      </c>
      <c r="H463" s="8">
        <v>8.3000000000000007</v>
      </c>
      <c r="J463" s="13"/>
      <c r="K463" s="11"/>
    </row>
    <row r="464" spans="1:11" ht="18.75" customHeight="1" x14ac:dyDescent="0.25">
      <c r="A464" s="6">
        <v>6</v>
      </c>
      <c r="B464" s="6">
        <v>463</v>
      </c>
      <c r="C464" s="7">
        <v>45835</v>
      </c>
      <c r="D464" s="6">
        <v>18</v>
      </c>
      <c r="E464" s="8">
        <v>82.6</v>
      </c>
      <c r="F464" s="8">
        <v>0</v>
      </c>
      <c r="G464" s="8">
        <v>0</v>
      </c>
      <c r="H464" s="8">
        <v>10.9</v>
      </c>
      <c r="J464" s="8"/>
      <c r="K464" s="11"/>
    </row>
    <row r="465" spans="1:11" ht="18.75" customHeight="1" x14ac:dyDescent="0.25">
      <c r="A465" s="6">
        <v>7</v>
      </c>
      <c r="B465" s="6">
        <v>464</v>
      </c>
      <c r="C465" s="7">
        <v>45836</v>
      </c>
      <c r="D465" s="6">
        <v>31</v>
      </c>
      <c r="E465" s="8">
        <v>77.5</v>
      </c>
      <c r="F465" s="8">
        <v>0</v>
      </c>
      <c r="G465" s="8">
        <v>0</v>
      </c>
      <c r="H465" s="8">
        <v>5.8</v>
      </c>
      <c r="J465" s="8"/>
      <c r="K465" s="11"/>
    </row>
    <row r="466" spans="1:11" ht="18.75" customHeight="1" x14ac:dyDescent="0.25">
      <c r="A466" s="6">
        <v>1</v>
      </c>
      <c r="B466" s="6">
        <v>465</v>
      </c>
      <c r="C466" s="7">
        <v>45837</v>
      </c>
      <c r="D466" s="6">
        <v>45</v>
      </c>
      <c r="E466" s="8">
        <v>81.7</v>
      </c>
      <c r="F466" s="8">
        <v>3.1E-2</v>
      </c>
      <c r="G466" s="8">
        <v>0</v>
      </c>
      <c r="H466" s="8">
        <v>7.6</v>
      </c>
      <c r="J466" s="13"/>
      <c r="K466" s="11"/>
    </row>
    <row r="467" spans="1:11" ht="18.75" customHeight="1" x14ac:dyDescent="0.25">
      <c r="A467" s="6">
        <v>2</v>
      </c>
      <c r="B467" s="6">
        <v>466</v>
      </c>
      <c r="C467" s="7">
        <v>45838</v>
      </c>
      <c r="D467" s="6">
        <v>13</v>
      </c>
      <c r="E467" s="8">
        <v>81.900000000000006</v>
      </c>
      <c r="F467" s="8">
        <v>0</v>
      </c>
      <c r="G467" s="8">
        <v>0</v>
      </c>
      <c r="H467" s="8">
        <v>7.9</v>
      </c>
      <c r="J467" s="13"/>
      <c r="K467" s="11"/>
    </row>
    <row r="468" spans="1:11" x14ac:dyDescent="0.25">
      <c r="A468" s="6">
        <v>3</v>
      </c>
      <c r="B468" s="6">
        <v>467</v>
      </c>
      <c r="C468" s="7">
        <v>45839</v>
      </c>
      <c r="D468">
        <v>10</v>
      </c>
      <c r="E468" s="9">
        <v>79.7</v>
      </c>
      <c r="F468" s="9">
        <v>0</v>
      </c>
      <c r="G468" s="8">
        <v>0</v>
      </c>
      <c r="H468" s="9">
        <v>7.6</v>
      </c>
    </row>
    <row r="469" spans="1:11" x14ac:dyDescent="0.25">
      <c r="A469" s="6">
        <v>4</v>
      </c>
      <c r="B469" s="6">
        <v>468</v>
      </c>
      <c r="C469" s="7">
        <v>45840</v>
      </c>
      <c r="D469">
        <v>25</v>
      </c>
      <c r="E469" s="9">
        <v>80.599999999999994</v>
      </c>
      <c r="F469" s="9">
        <v>0</v>
      </c>
      <c r="G469" s="8">
        <v>0</v>
      </c>
      <c r="H469" s="9">
        <v>7.2</v>
      </c>
    </row>
    <row r="470" spans="1:11" x14ac:dyDescent="0.25">
      <c r="A470" s="6">
        <v>5</v>
      </c>
      <c r="B470" s="6">
        <v>469</v>
      </c>
      <c r="C470" s="7">
        <v>45841</v>
      </c>
      <c r="D470">
        <v>6</v>
      </c>
      <c r="E470" s="9">
        <v>80.8</v>
      </c>
      <c r="F470" s="9">
        <v>0</v>
      </c>
      <c r="G470" s="8">
        <v>0</v>
      </c>
      <c r="H470" s="9">
        <v>5.2</v>
      </c>
    </row>
    <row r="471" spans="1:11" x14ac:dyDescent="0.25">
      <c r="A471" s="6">
        <v>6</v>
      </c>
      <c r="B471" s="6">
        <v>470</v>
      </c>
      <c r="C471" s="7">
        <v>45842</v>
      </c>
      <c r="D471">
        <v>0</v>
      </c>
      <c r="E471" s="9">
        <v>82</v>
      </c>
      <c r="F471" s="9">
        <v>0.02</v>
      </c>
      <c r="G471" s="8">
        <v>0</v>
      </c>
      <c r="H471" s="9">
        <v>7.2</v>
      </c>
      <c r="I471" s="36" t="s">
        <v>18</v>
      </c>
    </row>
    <row r="472" spans="1:11" x14ac:dyDescent="0.25">
      <c r="A472" s="6">
        <v>7</v>
      </c>
      <c r="B472" s="6">
        <v>471</v>
      </c>
      <c r="C472" s="7">
        <v>45843</v>
      </c>
      <c r="D472">
        <v>10</v>
      </c>
      <c r="E472" s="9">
        <v>85.5</v>
      </c>
      <c r="F472" s="9">
        <v>0</v>
      </c>
      <c r="G472" s="8">
        <v>0</v>
      </c>
      <c r="H472" s="9">
        <v>11.5</v>
      </c>
    </row>
    <row r="473" spans="1:11" x14ac:dyDescent="0.25">
      <c r="A473" s="6">
        <v>1</v>
      </c>
      <c r="B473" s="6">
        <v>472</v>
      </c>
      <c r="C473" s="7">
        <v>45844</v>
      </c>
      <c r="D473">
        <v>50</v>
      </c>
      <c r="E473" s="9">
        <v>76.099999999999994</v>
      </c>
      <c r="F473" s="9">
        <v>0.30299999999999999</v>
      </c>
      <c r="G473" s="9">
        <v>0</v>
      </c>
      <c r="H473" s="9">
        <v>11.6</v>
      </c>
    </row>
    <row r="474" spans="1:11" x14ac:dyDescent="0.25">
      <c r="A474" s="6">
        <v>2</v>
      </c>
      <c r="B474" s="6">
        <v>473</v>
      </c>
      <c r="C474" s="7">
        <v>45845</v>
      </c>
      <c r="D474" s="14">
        <v>13</v>
      </c>
      <c r="E474" s="9">
        <v>72.900000000000006</v>
      </c>
      <c r="F474" s="9">
        <v>0</v>
      </c>
      <c r="G474" s="9">
        <v>0</v>
      </c>
      <c r="H474" s="9">
        <v>8.8000000000000007</v>
      </c>
    </row>
    <row r="475" spans="1:11" x14ac:dyDescent="0.25">
      <c r="A475" s="6">
        <v>3</v>
      </c>
      <c r="B475" s="6">
        <v>474</v>
      </c>
      <c r="C475" s="7">
        <v>45846</v>
      </c>
      <c r="D475" s="14">
        <v>12</v>
      </c>
      <c r="E475" s="9">
        <v>76.099999999999994</v>
      </c>
      <c r="F475" s="9">
        <v>0.38200000000000001</v>
      </c>
      <c r="G475" s="9">
        <v>0</v>
      </c>
      <c r="H475" s="9">
        <v>7.2</v>
      </c>
    </row>
    <row r="476" spans="1:11" x14ac:dyDescent="0.25">
      <c r="A476" s="6">
        <v>4</v>
      </c>
      <c r="B476" s="6">
        <v>475</v>
      </c>
      <c r="C476" s="7">
        <v>45847</v>
      </c>
      <c r="D476" s="14">
        <v>10</v>
      </c>
      <c r="E476" s="9">
        <v>75.7</v>
      </c>
      <c r="F476" s="9">
        <v>0.122</v>
      </c>
      <c r="G476" s="9">
        <v>0</v>
      </c>
      <c r="H476" s="9">
        <v>7.3</v>
      </c>
    </row>
    <row r="477" spans="1:11" x14ac:dyDescent="0.25">
      <c r="A477" s="6">
        <v>5</v>
      </c>
      <c r="B477" s="6">
        <v>476</v>
      </c>
      <c r="C477" s="7">
        <v>45848</v>
      </c>
      <c r="D477" s="14">
        <v>25</v>
      </c>
      <c r="E477" s="9">
        <v>74.8</v>
      </c>
      <c r="F477" s="9">
        <v>1.2010000000000001</v>
      </c>
      <c r="G477" s="9">
        <v>0</v>
      </c>
      <c r="H477" s="9">
        <v>6.7</v>
      </c>
    </row>
    <row r="478" spans="1:11" x14ac:dyDescent="0.25">
      <c r="A478" s="6">
        <v>6</v>
      </c>
      <c r="B478" s="6">
        <v>477</v>
      </c>
      <c r="C478" s="7">
        <v>45849</v>
      </c>
      <c r="D478" s="14">
        <v>29</v>
      </c>
      <c r="E478" s="9">
        <v>76.8</v>
      </c>
      <c r="F478" s="29">
        <v>0.98799999999999999</v>
      </c>
      <c r="G478" s="9">
        <v>0</v>
      </c>
      <c r="H478" s="9">
        <v>7.6</v>
      </c>
    </row>
    <row r="479" spans="1:11" x14ac:dyDescent="0.25">
      <c r="A479" s="6">
        <v>7</v>
      </c>
      <c r="B479" s="6">
        <v>478</v>
      </c>
      <c r="C479" s="7">
        <v>45850</v>
      </c>
      <c r="D479" s="14">
        <v>43</v>
      </c>
      <c r="E479" s="9">
        <v>76.599999999999994</v>
      </c>
      <c r="F479" s="30">
        <v>0</v>
      </c>
      <c r="G479" s="9">
        <v>0</v>
      </c>
      <c r="H479" s="9">
        <v>8.5</v>
      </c>
    </row>
    <row r="480" spans="1:11" x14ac:dyDescent="0.25">
      <c r="A480" s="6">
        <v>1</v>
      </c>
      <c r="B480" s="6">
        <v>479</v>
      </c>
      <c r="C480" s="7">
        <v>45851</v>
      </c>
      <c r="D480" s="14">
        <v>32</v>
      </c>
      <c r="E480" s="9">
        <v>75.900000000000006</v>
      </c>
      <c r="F480" s="30">
        <v>0</v>
      </c>
      <c r="G480" s="9">
        <v>0</v>
      </c>
      <c r="H480" s="9">
        <v>5.3</v>
      </c>
    </row>
    <row r="481" spans="1:8" x14ac:dyDescent="0.25">
      <c r="A481" s="6">
        <v>2</v>
      </c>
      <c r="B481" s="6">
        <v>480</v>
      </c>
      <c r="C481" s="7">
        <v>45852</v>
      </c>
      <c r="D481" s="14">
        <v>20</v>
      </c>
      <c r="E481" s="9">
        <v>75.900000000000006</v>
      </c>
      <c r="F481" s="30">
        <v>0</v>
      </c>
      <c r="G481" s="9">
        <v>0</v>
      </c>
      <c r="H481" s="9">
        <v>3.1</v>
      </c>
    </row>
    <row r="482" spans="1:8" x14ac:dyDescent="0.25">
      <c r="A482" s="6">
        <v>3</v>
      </c>
      <c r="B482" s="6">
        <v>481</v>
      </c>
      <c r="C482" s="7">
        <v>45853</v>
      </c>
      <c r="D482" s="14">
        <v>11</v>
      </c>
      <c r="E482" s="9">
        <v>80.2</v>
      </c>
      <c r="F482" s="30">
        <v>0</v>
      </c>
      <c r="G482" s="9">
        <v>0</v>
      </c>
      <c r="H482" s="9">
        <v>5.8</v>
      </c>
    </row>
    <row r="483" spans="1:8" x14ac:dyDescent="0.25">
      <c r="A483" s="6">
        <v>4</v>
      </c>
      <c r="B483" s="6">
        <v>482</v>
      </c>
      <c r="C483" s="7">
        <v>45854</v>
      </c>
      <c r="D483" s="14">
        <v>27</v>
      </c>
      <c r="E483" s="9">
        <v>81.099999999999994</v>
      </c>
      <c r="F483" s="30">
        <v>0.35799999999999998</v>
      </c>
      <c r="G483" s="9">
        <v>0</v>
      </c>
      <c r="H483" s="9">
        <v>9.6</v>
      </c>
    </row>
    <row r="484" spans="1:8" x14ac:dyDescent="0.25">
      <c r="A484" s="6">
        <v>5</v>
      </c>
      <c r="B484" s="6">
        <v>483</v>
      </c>
      <c r="C484" s="7">
        <v>45855</v>
      </c>
      <c r="D484" s="14">
        <v>15</v>
      </c>
      <c r="E484" s="9">
        <v>70.3</v>
      </c>
      <c r="F484" s="30">
        <v>0</v>
      </c>
      <c r="G484" s="9">
        <v>0</v>
      </c>
      <c r="H484" s="9">
        <v>10.5</v>
      </c>
    </row>
    <row r="485" spans="1:8" x14ac:dyDescent="0.25">
      <c r="A485" s="6">
        <v>6</v>
      </c>
      <c r="B485" s="6">
        <v>484</v>
      </c>
      <c r="C485" s="7">
        <v>45856</v>
      </c>
      <c r="D485" s="14">
        <v>27</v>
      </c>
      <c r="E485" s="9">
        <v>67.5</v>
      </c>
      <c r="F485" s="30">
        <v>0</v>
      </c>
      <c r="G485" s="9">
        <v>0</v>
      </c>
      <c r="H485" s="9">
        <v>5.2</v>
      </c>
    </row>
    <row r="486" spans="1:8" x14ac:dyDescent="0.25">
      <c r="A486" s="6">
        <v>7</v>
      </c>
      <c r="B486" s="6">
        <v>485</v>
      </c>
      <c r="C486" s="7">
        <v>45857</v>
      </c>
      <c r="D486" s="14">
        <v>35</v>
      </c>
      <c r="E486" s="9">
        <v>75.900000000000006</v>
      </c>
      <c r="F486" s="30">
        <v>0.189</v>
      </c>
      <c r="G486" s="9">
        <v>0</v>
      </c>
      <c r="H486" s="9">
        <v>7</v>
      </c>
    </row>
    <row r="487" spans="1:8" x14ac:dyDescent="0.25">
      <c r="A487" s="6">
        <v>1</v>
      </c>
      <c r="B487" s="6">
        <v>486</v>
      </c>
      <c r="C487" s="7">
        <v>45858</v>
      </c>
      <c r="D487" s="14">
        <v>20</v>
      </c>
      <c r="E487" s="9">
        <v>73.2</v>
      </c>
      <c r="F487" s="29">
        <v>0</v>
      </c>
      <c r="G487" s="9">
        <v>0</v>
      </c>
      <c r="H487" s="9">
        <v>10.8</v>
      </c>
    </row>
    <row r="488" spans="1:8" x14ac:dyDescent="0.25">
      <c r="A488" s="6">
        <v>2</v>
      </c>
      <c r="B488" s="6">
        <v>487</v>
      </c>
      <c r="C488" s="7">
        <v>45859</v>
      </c>
      <c r="D488" s="14">
        <v>12</v>
      </c>
      <c r="E488" s="9">
        <v>72.099999999999994</v>
      </c>
      <c r="F488" s="30">
        <v>0</v>
      </c>
      <c r="G488" s="9">
        <v>0</v>
      </c>
      <c r="H488" s="9">
        <v>8.6999999999999993</v>
      </c>
    </row>
    <row r="489" spans="1:8" x14ac:dyDescent="0.25">
      <c r="A489" s="6">
        <v>3</v>
      </c>
      <c r="B489" s="6">
        <v>488</v>
      </c>
      <c r="C489" s="7">
        <v>45860</v>
      </c>
      <c r="D489" s="14">
        <v>14</v>
      </c>
      <c r="E489" s="9">
        <v>76.3</v>
      </c>
      <c r="F489" s="9">
        <v>0</v>
      </c>
      <c r="G489" s="9">
        <v>0</v>
      </c>
      <c r="H489" s="9">
        <v>8.9</v>
      </c>
    </row>
    <row r="490" spans="1:8" x14ac:dyDescent="0.25">
      <c r="A490" s="6">
        <v>4</v>
      </c>
      <c r="B490" s="6">
        <v>489</v>
      </c>
      <c r="C490" s="7">
        <v>45861</v>
      </c>
      <c r="D490" s="14">
        <v>31</v>
      </c>
      <c r="E490" s="9">
        <v>81.3</v>
      </c>
      <c r="F490" s="9">
        <v>0</v>
      </c>
      <c r="G490" s="9">
        <v>0</v>
      </c>
      <c r="H490" s="9">
        <v>11.4</v>
      </c>
    </row>
    <row r="491" spans="1:8" x14ac:dyDescent="0.25">
      <c r="A491" s="6">
        <v>5</v>
      </c>
      <c r="B491" s="6">
        <v>490</v>
      </c>
      <c r="C491" s="7">
        <v>45862</v>
      </c>
      <c r="D491" s="14">
        <v>24</v>
      </c>
      <c r="E491" s="9">
        <v>86</v>
      </c>
      <c r="F491" s="9">
        <v>3.1E-2</v>
      </c>
      <c r="G491" s="9">
        <v>0</v>
      </c>
      <c r="H491" s="9">
        <v>9.5</v>
      </c>
    </row>
    <row r="492" spans="1:8" x14ac:dyDescent="0.25">
      <c r="A492" s="6">
        <v>6</v>
      </c>
      <c r="B492" s="6">
        <v>491</v>
      </c>
      <c r="C492" s="7">
        <v>45863</v>
      </c>
      <c r="D492" s="14">
        <v>21</v>
      </c>
      <c r="E492" s="9">
        <v>78.8</v>
      </c>
      <c r="F492" s="9">
        <v>1.2E-2</v>
      </c>
      <c r="G492" s="9">
        <v>0</v>
      </c>
      <c r="H492" s="9">
        <v>6</v>
      </c>
    </row>
    <row r="493" spans="1:8" x14ac:dyDescent="0.25">
      <c r="A493" s="6">
        <v>7</v>
      </c>
      <c r="B493" s="6">
        <v>492</v>
      </c>
      <c r="C493" s="7">
        <v>45864</v>
      </c>
      <c r="D493" s="14">
        <v>35</v>
      </c>
      <c r="E493" s="9">
        <v>76.099999999999994</v>
      </c>
      <c r="F493" s="9">
        <v>0.02</v>
      </c>
      <c r="G493" s="9">
        <v>0</v>
      </c>
      <c r="H493" s="9">
        <v>5.8</v>
      </c>
    </row>
    <row r="494" spans="1:8" x14ac:dyDescent="0.25">
      <c r="A494" s="6">
        <v>1</v>
      </c>
      <c r="B494" s="6">
        <v>493</v>
      </c>
      <c r="C494" s="7">
        <v>45865</v>
      </c>
      <c r="D494" s="14">
        <v>31</v>
      </c>
      <c r="E494" s="9">
        <v>79.900000000000006</v>
      </c>
      <c r="F494" s="9">
        <v>3.9E-2</v>
      </c>
      <c r="G494" s="9">
        <v>0</v>
      </c>
      <c r="H494" s="9">
        <v>3.4</v>
      </c>
    </row>
    <row r="495" spans="1:8" x14ac:dyDescent="0.25">
      <c r="A495" s="6">
        <v>2</v>
      </c>
      <c r="B495" s="6">
        <v>494</v>
      </c>
      <c r="C495" s="7">
        <v>45866</v>
      </c>
      <c r="D495" s="14">
        <v>11</v>
      </c>
      <c r="E495" s="9">
        <v>81.900000000000006</v>
      </c>
      <c r="F495" s="9">
        <v>3.1E-2</v>
      </c>
      <c r="G495" s="9">
        <v>0</v>
      </c>
      <c r="H495" s="9">
        <v>5.2</v>
      </c>
    </row>
    <row r="496" spans="1:8" x14ac:dyDescent="0.25">
      <c r="A496" s="6">
        <v>3</v>
      </c>
      <c r="B496" s="6">
        <v>495</v>
      </c>
      <c r="C496" s="7">
        <v>45867</v>
      </c>
      <c r="D496" s="14">
        <v>4</v>
      </c>
      <c r="E496" s="9">
        <v>82.4</v>
      </c>
      <c r="F496" s="9">
        <v>0</v>
      </c>
      <c r="G496" s="9">
        <v>0</v>
      </c>
      <c r="H496" s="9">
        <v>6</v>
      </c>
    </row>
    <row r="497" spans="1:8" x14ac:dyDescent="0.25">
      <c r="A497" s="6">
        <v>4</v>
      </c>
      <c r="B497" s="6">
        <v>496</v>
      </c>
      <c r="C497" s="7">
        <v>45868</v>
      </c>
      <c r="D497" s="14">
        <v>14</v>
      </c>
      <c r="E497" s="9">
        <v>81.7</v>
      </c>
      <c r="F497" s="9">
        <v>0.80300000000000005</v>
      </c>
      <c r="G497" s="9">
        <v>0</v>
      </c>
      <c r="H497" s="9">
        <v>11.2</v>
      </c>
    </row>
    <row r="498" spans="1:8" x14ac:dyDescent="0.25">
      <c r="A498" s="6">
        <v>5</v>
      </c>
      <c r="B498" s="6">
        <v>497</v>
      </c>
      <c r="C498" s="7">
        <v>45869</v>
      </c>
      <c r="D498" s="14">
        <v>41</v>
      </c>
      <c r="E498" s="9">
        <v>70.7</v>
      </c>
      <c r="F498" s="9">
        <v>4.7E-2</v>
      </c>
      <c r="G498" s="9">
        <v>0</v>
      </c>
      <c r="H498" s="9">
        <v>16.7</v>
      </c>
    </row>
    <row r="499" spans="1:8" x14ac:dyDescent="0.25">
      <c r="A499" s="6">
        <v>6</v>
      </c>
      <c r="B499" s="6">
        <v>498</v>
      </c>
      <c r="C499" s="7">
        <v>45870</v>
      </c>
      <c r="D499">
        <v>24</v>
      </c>
      <c r="E499" s="9">
        <v>69.400000000000006</v>
      </c>
      <c r="F499" s="9">
        <v>0</v>
      </c>
      <c r="G499" s="9">
        <v>0</v>
      </c>
      <c r="H499" s="9">
        <v>10.1</v>
      </c>
    </row>
    <row r="500" spans="1:8" x14ac:dyDescent="0.25">
      <c r="A500" s="6">
        <v>7</v>
      </c>
      <c r="B500" s="6">
        <v>499</v>
      </c>
      <c r="C500" s="7">
        <v>45871</v>
      </c>
      <c r="D500">
        <v>87</v>
      </c>
      <c r="E500" s="9">
        <v>68.900000000000006</v>
      </c>
      <c r="F500" s="9">
        <v>0</v>
      </c>
      <c r="G500" s="9">
        <v>0</v>
      </c>
      <c r="H500" s="9">
        <v>6.7</v>
      </c>
    </row>
    <row r="501" spans="1:8" x14ac:dyDescent="0.25">
      <c r="A501" s="6">
        <v>1</v>
      </c>
      <c r="B501" s="6">
        <v>500</v>
      </c>
      <c r="C501" s="7">
        <v>45872</v>
      </c>
      <c r="D501">
        <v>34</v>
      </c>
      <c r="E501" s="9">
        <v>70.5</v>
      </c>
      <c r="F501" s="9">
        <v>0</v>
      </c>
      <c r="G501" s="9">
        <v>0</v>
      </c>
      <c r="H501" s="9">
        <v>6.7</v>
      </c>
    </row>
    <row r="502" spans="1:8" x14ac:dyDescent="0.25">
      <c r="A502" s="6">
        <v>2</v>
      </c>
      <c r="B502" s="6">
        <v>501</v>
      </c>
      <c r="C502" s="7">
        <v>45873</v>
      </c>
      <c r="D502">
        <v>16</v>
      </c>
      <c r="E502" s="9">
        <v>72.3</v>
      </c>
      <c r="F502" s="9">
        <v>0</v>
      </c>
      <c r="G502" s="9">
        <v>0</v>
      </c>
      <c r="H502" s="9">
        <v>7</v>
      </c>
    </row>
    <row r="503" spans="1:8" x14ac:dyDescent="0.25">
      <c r="A503" s="6">
        <v>3</v>
      </c>
      <c r="B503" s="6">
        <v>502</v>
      </c>
      <c r="C503" s="7">
        <v>45874</v>
      </c>
      <c r="D503">
        <v>10</v>
      </c>
      <c r="E503" s="9">
        <v>74.7</v>
      </c>
      <c r="F503" s="9">
        <v>0</v>
      </c>
      <c r="G503" s="9">
        <v>0</v>
      </c>
      <c r="H503" s="9">
        <v>8.3000000000000007</v>
      </c>
    </row>
    <row r="504" spans="1:8" x14ac:dyDescent="0.25">
      <c r="A504" s="6">
        <v>4</v>
      </c>
      <c r="B504" s="6">
        <v>503</v>
      </c>
      <c r="C504" s="7">
        <v>45875</v>
      </c>
      <c r="D504">
        <v>23</v>
      </c>
      <c r="E504" s="9">
        <v>75.900000000000006</v>
      </c>
      <c r="F504" s="9">
        <v>0</v>
      </c>
      <c r="G504" s="9">
        <v>0</v>
      </c>
      <c r="H504" s="9">
        <v>6.3</v>
      </c>
    </row>
    <row r="505" spans="1:8" x14ac:dyDescent="0.25">
      <c r="A505" s="6">
        <v>5</v>
      </c>
      <c r="B505" s="6">
        <v>504</v>
      </c>
      <c r="C505" s="7">
        <v>45876</v>
      </c>
      <c r="D505">
        <v>24</v>
      </c>
      <c r="E505" s="9">
        <v>81</v>
      </c>
      <c r="F505" s="9">
        <v>0</v>
      </c>
      <c r="G505" s="9">
        <v>0</v>
      </c>
      <c r="H505" s="9">
        <v>7.8</v>
      </c>
    </row>
    <row r="506" spans="1:8" x14ac:dyDescent="0.25">
      <c r="A506" s="6">
        <v>6</v>
      </c>
      <c r="B506" s="6">
        <v>505</v>
      </c>
      <c r="C506" s="7">
        <v>45877</v>
      </c>
      <c r="D506">
        <v>32</v>
      </c>
      <c r="E506" s="9">
        <v>83.1</v>
      </c>
      <c r="F506" s="9">
        <v>0</v>
      </c>
      <c r="G506" s="9">
        <v>0</v>
      </c>
      <c r="H506" s="9">
        <v>10.1</v>
      </c>
    </row>
    <row r="507" spans="1:8" x14ac:dyDescent="0.25">
      <c r="A507" s="6">
        <v>7</v>
      </c>
      <c r="B507" s="6">
        <v>506</v>
      </c>
      <c r="C507" s="7">
        <v>45878</v>
      </c>
      <c r="D507">
        <v>33</v>
      </c>
      <c r="E507" s="9">
        <v>84.4</v>
      </c>
      <c r="F507" s="9">
        <v>0</v>
      </c>
      <c r="G507" s="9">
        <v>0</v>
      </c>
      <c r="H507" s="9">
        <v>11.9</v>
      </c>
    </row>
    <row r="508" spans="1:8" x14ac:dyDescent="0.25">
      <c r="A508" s="6">
        <v>1</v>
      </c>
      <c r="B508" s="6">
        <v>507</v>
      </c>
      <c r="C508" s="7">
        <v>45879</v>
      </c>
      <c r="D508">
        <v>52</v>
      </c>
      <c r="E508" s="9">
        <v>83.1</v>
      </c>
      <c r="F508" s="9">
        <v>5.8999999999999997E-2</v>
      </c>
      <c r="G508" s="9">
        <v>0</v>
      </c>
      <c r="H508" s="9">
        <v>9.8000000000000007</v>
      </c>
    </row>
    <row r="509" spans="1:8" x14ac:dyDescent="0.25">
      <c r="A509" s="6">
        <v>2</v>
      </c>
      <c r="B509" s="6">
        <v>508</v>
      </c>
      <c r="C509" s="7">
        <v>45880</v>
      </c>
      <c r="D509">
        <v>17</v>
      </c>
      <c r="E509" s="9">
        <v>81.7</v>
      </c>
      <c r="F509" s="9">
        <v>0.311</v>
      </c>
      <c r="G509" s="9">
        <v>0</v>
      </c>
      <c r="H509" s="9">
        <v>8.6999999999999993</v>
      </c>
    </row>
    <row r="510" spans="1:8" x14ac:dyDescent="0.25">
      <c r="A510" s="6">
        <v>3</v>
      </c>
      <c r="B510" s="6">
        <v>509</v>
      </c>
      <c r="C510" s="7">
        <v>45881</v>
      </c>
      <c r="D510">
        <v>11</v>
      </c>
      <c r="E510" s="9">
        <v>77.7</v>
      </c>
      <c r="F510" s="9">
        <v>0.15</v>
      </c>
      <c r="G510" s="9">
        <v>0</v>
      </c>
      <c r="H510" s="9">
        <v>7</v>
      </c>
    </row>
    <row r="511" spans="1:8" x14ac:dyDescent="0.25">
      <c r="A511" s="6">
        <v>4</v>
      </c>
      <c r="B511" s="6">
        <v>510</v>
      </c>
      <c r="C511" s="7">
        <v>45882</v>
      </c>
      <c r="D511">
        <v>25</v>
      </c>
      <c r="E511" s="9">
        <v>76.5</v>
      </c>
      <c r="F511" s="9">
        <v>0</v>
      </c>
      <c r="G511" s="9">
        <v>0</v>
      </c>
      <c r="H511" s="9">
        <v>6</v>
      </c>
    </row>
    <row r="512" spans="1:8" x14ac:dyDescent="0.25">
      <c r="A512" s="6">
        <v>5</v>
      </c>
      <c r="B512" s="6">
        <v>511</v>
      </c>
      <c r="C512" s="7">
        <v>45883</v>
      </c>
      <c r="D512">
        <v>36</v>
      </c>
      <c r="E512" s="9">
        <v>75.400000000000006</v>
      </c>
      <c r="F512" s="9">
        <v>0</v>
      </c>
      <c r="G512" s="9">
        <v>0</v>
      </c>
      <c r="H512" s="9">
        <v>5.2</v>
      </c>
    </row>
    <row r="513" spans="1:8" x14ac:dyDescent="0.25">
      <c r="A513" s="6">
        <v>6</v>
      </c>
      <c r="B513" s="6">
        <v>512</v>
      </c>
      <c r="C513" s="7">
        <v>45884</v>
      </c>
      <c r="D513">
        <v>46</v>
      </c>
      <c r="E513" s="9">
        <v>78.400000000000006</v>
      </c>
      <c r="F513" s="9">
        <v>0</v>
      </c>
      <c r="G513" s="9">
        <v>0</v>
      </c>
      <c r="H513" s="9">
        <v>5.2</v>
      </c>
    </row>
    <row r="514" spans="1:8" x14ac:dyDescent="0.25">
      <c r="A514" s="6">
        <v>7</v>
      </c>
      <c r="B514" s="6">
        <v>513</v>
      </c>
      <c r="C514" s="7">
        <v>45885</v>
      </c>
      <c r="D514">
        <v>23</v>
      </c>
      <c r="E514" s="9">
        <v>83.7</v>
      </c>
      <c r="F514" s="9">
        <v>0.59099999999999997</v>
      </c>
      <c r="G514" s="9">
        <v>0</v>
      </c>
      <c r="H514" s="9">
        <v>7.6</v>
      </c>
    </row>
    <row r="515" spans="1:8" x14ac:dyDescent="0.25">
      <c r="A515" s="6">
        <v>1</v>
      </c>
      <c r="B515" s="6">
        <v>514</v>
      </c>
      <c r="C515" s="7">
        <v>45886</v>
      </c>
      <c r="D515">
        <v>58</v>
      </c>
      <c r="E515" s="9">
        <v>75</v>
      </c>
      <c r="F515" s="9">
        <v>1.6890000000000001</v>
      </c>
      <c r="G515" s="9">
        <v>0</v>
      </c>
      <c r="H515" s="9">
        <v>8.3000000000000007</v>
      </c>
    </row>
    <row r="516" spans="1:8" x14ac:dyDescent="0.25">
      <c r="A516" s="6">
        <v>2</v>
      </c>
      <c r="B516" s="6">
        <v>515</v>
      </c>
      <c r="C516" s="7">
        <v>45887</v>
      </c>
      <c r="D516" s="14">
        <v>20</v>
      </c>
      <c r="E516" s="9">
        <v>75.900000000000006</v>
      </c>
      <c r="F516" s="9">
        <v>1.728</v>
      </c>
      <c r="G516" s="9">
        <v>0</v>
      </c>
      <c r="H516" s="9">
        <v>8.3000000000000007</v>
      </c>
    </row>
    <row r="517" spans="1:8" x14ac:dyDescent="0.25">
      <c r="A517" s="6">
        <v>3</v>
      </c>
      <c r="B517" s="6">
        <v>516</v>
      </c>
      <c r="C517" s="7">
        <v>45888</v>
      </c>
      <c r="D517" s="14">
        <v>11</v>
      </c>
      <c r="E517" s="9">
        <v>73.8</v>
      </c>
      <c r="F517" s="9">
        <v>0.15</v>
      </c>
      <c r="G517" s="9">
        <v>0</v>
      </c>
      <c r="H517" s="9">
        <v>6.7</v>
      </c>
    </row>
    <row r="518" spans="1:8" x14ac:dyDescent="0.25">
      <c r="A518" s="6">
        <v>4</v>
      </c>
      <c r="B518" s="6">
        <v>517</v>
      </c>
      <c r="C518" s="7">
        <v>45889</v>
      </c>
      <c r="D518" s="14">
        <v>8</v>
      </c>
      <c r="E518" s="9">
        <v>71.400000000000006</v>
      </c>
      <c r="F518" s="9">
        <v>0</v>
      </c>
      <c r="G518" s="9">
        <v>0</v>
      </c>
      <c r="H518" s="9">
        <v>13.2</v>
      </c>
    </row>
    <row r="519" spans="1:8" x14ac:dyDescent="0.25">
      <c r="A519" s="6">
        <v>5</v>
      </c>
      <c r="B519" s="6">
        <v>518</v>
      </c>
      <c r="C519" s="7">
        <v>45890</v>
      </c>
      <c r="D519" s="14">
        <v>10</v>
      </c>
      <c r="E519" s="9">
        <v>70.5</v>
      </c>
      <c r="F519" s="9">
        <v>0</v>
      </c>
      <c r="G519" s="9">
        <v>0</v>
      </c>
      <c r="H519" s="9">
        <v>8.5</v>
      </c>
    </row>
    <row r="520" spans="1:8" x14ac:dyDescent="0.25">
      <c r="A520" s="6">
        <v>6</v>
      </c>
      <c r="B520" s="6">
        <v>519</v>
      </c>
      <c r="C520" s="7">
        <v>45891</v>
      </c>
      <c r="D520" s="14">
        <v>41</v>
      </c>
      <c r="E520" s="9">
        <v>72</v>
      </c>
      <c r="F520" s="9">
        <v>0</v>
      </c>
      <c r="G520" s="9">
        <v>0</v>
      </c>
      <c r="H520" s="9">
        <v>3.8</v>
      </c>
    </row>
    <row r="521" spans="1:8" x14ac:dyDescent="0.25">
      <c r="A521" s="6">
        <v>7</v>
      </c>
      <c r="B521" s="6">
        <v>520</v>
      </c>
      <c r="C521" s="7">
        <v>45892</v>
      </c>
      <c r="D521" s="14">
        <v>42</v>
      </c>
      <c r="E521" s="9">
        <v>74.7</v>
      </c>
      <c r="F521" s="9">
        <v>0</v>
      </c>
      <c r="G521" s="9">
        <v>0</v>
      </c>
      <c r="H521" s="9">
        <v>9.8000000000000007</v>
      </c>
    </row>
    <row r="522" spans="1:8" x14ac:dyDescent="0.25">
      <c r="A522" s="6">
        <v>1</v>
      </c>
      <c r="B522" s="6">
        <v>521</v>
      </c>
      <c r="C522" s="7">
        <v>45893</v>
      </c>
      <c r="D522" s="14">
        <v>78</v>
      </c>
      <c r="E522" s="9">
        <v>66.599999999999994</v>
      </c>
      <c r="F522" s="9">
        <v>0</v>
      </c>
      <c r="G522" s="9">
        <v>0</v>
      </c>
      <c r="H522" s="9">
        <v>10.1</v>
      </c>
    </row>
    <row r="523" spans="1:8" x14ac:dyDescent="0.25">
      <c r="A523" s="6">
        <v>2</v>
      </c>
      <c r="B523" s="6">
        <v>522</v>
      </c>
      <c r="C523" s="7">
        <v>45894</v>
      </c>
      <c r="D523" s="14">
        <v>11</v>
      </c>
      <c r="E523" s="9">
        <v>59.7</v>
      </c>
      <c r="F523" s="9">
        <v>0</v>
      </c>
      <c r="G523" s="9">
        <v>0</v>
      </c>
      <c r="H523" s="9">
        <v>9.3000000000000007</v>
      </c>
    </row>
    <row r="524" spans="1:8" x14ac:dyDescent="0.25">
      <c r="A524" s="6">
        <v>3</v>
      </c>
      <c r="B524" s="6">
        <v>523</v>
      </c>
      <c r="C524" s="7">
        <v>45895</v>
      </c>
      <c r="D524" s="14">
        <v>19</v>
      </c>
      <c r="E524" s="9">
        <v>63.9</v>
      </c>
      <c r="F524" s="9">
        <v>0</v>
      </c>
      <c r="G524" s="9">
        <v>0</v>
      </c>
      <c r="H524" s="9">
        <v>7.7</v>
      </c>
    </row>
    <row r="525" spans="1:8" x14ac:dyDescent="0.25">
      <c r="A525" s="6">
        <v>4</v>
      </c>
      <c r="B525" s="6">
        <v>524</v>
      </c>
      <c r="C525" s="7">
        <v>45896</v>
      </c>
      <c r="D525" s="14">
        <v>27</v>
      </c>
      <c r="E525" s="9">
        <v>66.2</v>
      </c>
      <c r="F525" s="9">
        <v>0</v>
      </c>
      <c r="G525" s="9">
        <v>0</v>
      </c>
      <c r="H525" s="9">
        <v>6.2</v>
      </c>
    </row>
    <row r="526" spans="1:8" x14ac:dyDescent="0.25">
      <c r="A526" s="6">
        <v>5</v>
      </c>
      <c r="B526" s="6">
        <v>525</v>
      </c>
      <c r="C526" s="7">
        <v>45897</v>
      </c>
      <c r="D526" s="14">
        <v>43</v>
      </c>
      <c r="E526" s="9">
        <v>66.900000000000006</v>
      </c>
      <c r="F526" s="9">
        <v>0.13800000000000001</v>
      </c>
      <c r="G526" s="9">
        <v>0</v>
      </c>
      <c r="H526" s="9">
        <v>9.3000000000000007</v>
      </c>
    </row>
    <row r="527" spans="1:8" x14ac:dyDescent="0.25">
      <c r="A527" s="6">
        <v>6</v>
      </c>
      <c r="B527" s="6">
        <v>526</v>
      </c>
      <c r="C527" s="7">
        <v>45898</v>
      </c>
      <c r="D527" s="14">
        <v>51</v>
      </c>
      <c r="E527" s="9">
        <v>63.9</v>
      </c>
      <c r="F527" s="9">
        <v>2.8000000000000001E-2</v>
      </c>
      <c r="G527" s="9">
        <v>0</v>
      </c>
      <c r="H527" s="9">
        <v>7.7</v>
      </c>
    </row>
    <row r="528" spans="1:8" x14ac:dyDescent="0.25">
      <c r="A528" s="6">
        <v>7</v>
      </c>
      <c r="B528" s="6">
        <v>527</v>
      </c>
      <c r="C528" s="7">
        <v>45899</v>
      </c>
      <c r="D528" s="14">
        <v>45</v>
      </c>
      <c r="E528" s="9">
        <v>66.900000000000006</v>
      </c>
      <c r="F528" s="9">
        <v>0.22</v>
      </c>
      <c r="G528" s="9">
        <v>0</v>
      </c>
      <c r="H528" s="9">
        <v>6.8</v>
      </c>
    </row>
    <row r="529" spans="1:10" x14ac:dyDescent="0.25">
      <c r="A529" s="6">
        <v>1</v>
      </c>
      <c r="B529" s="6">
        <v>528</v>
      </c>
      <c r="C529" s="7">
        <v>45900</v>
      </c>
      <c r="D529" s="14">
        <v>62</v>
      </c>
      <c r="E529" s="9">
        <v>65.5</v>
      </c>
      <c r="F529" s="9">
        <v>0</v>
      </c>
      <c r="G529" s="9">
        <v>0</v>
      </c>
      <c r="H529" s="9">
        <v>5.3</v>
      </c>
    </row>
    <row r="530" spans="1:10" x14ac:dyDescent="0.25">
      <c r="A530" s="6">
        <v>2</v>
      </c>
      <c r="B530" s="6">
        <v>529</v>
      </c>
      <c r="C530" s="7">
        <v>45901</v>
      </c>
      <c r="D530" s="14">
        <v>0</v>
      </c>
      <c r="E530" s="9">
        <v>67.8</v>
      </c>
      <c r="F530" s="9">
        <v>0</v>
      </c>
      <c r="G530" s="9">
        <v>0</v>
      </c>
      <c r="H530" s="9">
        <v>4.8</v>
      </c>
      <c r="I530" s="36" t="s">
        <v>19</v>
      </c>
    </row>
    <row r="531" spans="1:10" x14ac:dyDescent="0.25">
      <c r="A531" s="6">
        <v>3</v>
      </c>
      <c r="B531" s="6">
        <v>530</v>
      </c>
      <c r="C531" s="7">
        <v>45902</v>
      </c>
      <c r="D531" s="14">
        <v>13</v>
      </c>
      <c r="E531" s="9">
        <v>69.8</v>
      </c>
      <c r="F531" s="9">
        <v>0</v>
      </c>
      <c r="G531" s="9">
        <v>0</v>
      </c>
      <c r="H531" s="9">
        <v>3.2</v>
      </c>
      <c r="J531" s="35"/>
    </row>
    <row r="532" spans="1:10" x14ac:dyDescent="0.25">
      <c r="A532" s="6">
        <v>4</v>
      </c>
      <c r="B532" s="6">
        <v>531</v>
      </c>
      <c r="C532" s="7">
        <v>45903</v>
      </c>
      <c r="D532" s="14">
        <v>12</v>
      </c>
      <c r="E532" s="9">
        <v>65.5</v>
      </c>
      <c r="F532" s="9">
        <v>0.217</v>
      </c>
      <c r="G532" s="9">
        <v>0</v>
      </c>
      <c r="H532" s="9">
        <v>9.3000000000000007</v>
      </c>
      <c r="J532" s="35"/>
    </row>
    <row r="533" spans="1:10" x14ac:dyDescent="0.25">
      <c r="A533" s="6">
        <v>5</v>
      </c>
      <c r="B533" s="6">
        <v>532</v>
      </c>
      <c r="C533" s="7">
        <v>45904</v>
      </c>
      <c r="D533" s="14">
        <v>19</v>
      </c>
      <c r="E533" s="9">
        <v>58.3</v>
      </c>
      <c r="F533" s="9">
        <v>0</v>
      </c>
      <c r="G533" s="9">
        <v>0</v>
      </c>
      <c r="H533" s="9">
        <v>8.6</v>
      </c>
      <c r="J533" s="35"/>
    </row>
    <row r="534" spans="1:10" x14ac:dyDescent="0.25">
      <c r="A534" s="6">
        <v>6</v>
      </c>
      <c r="B534" s="6">
        <v>533</v>
      </c>
      <c r="C534" s="7">
        <v>45905</v>
      </c>
      <c r="D534" s="14">
        <v>8</v>
      </c>
      <c r="E534" s="9">
        <v>61.2</v>
      </c>
      <c r="F534" s="9">
        <v>0</v>
      </c>
      <c r="G534" s="9">
        <v>0</v>
      </c>
      <c r="H534" s="9">
        <v>13</v>
      </c>
      <c r="J534" s="35"/>
    </row>
    <row r="535" spans="1:10" x14ac:dyDescent="0.25">
      <c r="A535" s="6">
        <v>7</v>
      </c>
      <c r="B535" s="6">
        <v>534</v>
      </c>
      <c r="C535" s="7">
        <v>45906</v>
      </c>
      <c r="D535" s="14">
        <v>15</v>
      </c>
      <c r="E535" s="9">
        <v>57.2</v>
      </c>
      <c r="F535" s="9">
        <v>0</v>
      </c>
      <c r="G535" s="9">
        <v>0</v>
      </c>
      <c r="H535" s="9">
        <v>8.3000000000000007</v>
      </c>
      <c r="J535" s="35"/>
    </row>
    <row r="536" spans="1:10" x14ac:dyDescent="0.25">
      <c r="A536" s="6">
        <v>1</v>
      </c>
      <c r="B536" s="6">
        <v>535</v>
      </c>
      <c r="C536" s="7">
        <v>45907</v>
      </c>
      <c r="D536" s="14">
        <v>51</v>
      </c>
      <c r="E536" s="9">
        <v>57.9</v>
      </c>
      <c r="F536" s="9">
        <v>0</v>
      </c>
      <c r="G536" s="9">
        <v>0</v>
      </c>
      <c r="H536" s="9">
        <v>6.2</v>
      </c>
      <c r="J536" s="35"/>
    </row>
    <row r="537" spans="1:10" x14ac:dyDescent="0.25">
      <c r="A537" s="6">
        <v>2</v>
      </c>
      <c r="B537" s="6">
        <v>536</v>
      </c>
      <c r="C537" s="7">
        <v>45908</v>
      </c>
      <c r="D537" s="14">
        <v>24</v>
      </c>
      <c r="E537" s="9">
        <v>61.5</v>
      </c>
      <c r="F537" s="9">
        <v>0</v>
      </c>
      <c r="G537" s="9">
        <v>0</v>
      </c>
      <c r="H537" s="9">
        <v>6</v>
      </c>
      <c r="J537" s="35"/>
    </row>
    <row r="538" spans="1:10" x14ac:dyDescent="0.25">
      <c r="A538" s="6">
        <v>3</v>
      </c>
      <c r="B538" s="6">
        <v>537</v>
      </c>
      <c r="C538" s="7">
        <v>45909</v>
      </c>
      <c r="D538" s="14">
        <v>29</v>
      </c>
      <c r="E538" s="9">
        <v>64.8</v>
      </c>
      <c r="F538" s="9">
        <v>0</v>
      </c>
      <c r="G538" s="9">
        <v>0</v>
      </c>
      <c r="H538" s="9">
        <v>6.2</v>
      </c>
      <c r="J538" s="35"/>
    </row>
    <row r="539" spans="1:10" x14ac:dyDescent="0.25">
      <c r="A539" s="6">
        <v>4</v>
      </c>
      <c r="B539" s="6">
        <v>538</v>
      </c>
      <c r="C539" s="7">
        <v>45910</v>
      </c>
      <c r="D539" s="14">
        <v>48</v>
      </c>
      <c r="E539" s="9">
        <v>70.7</v>
      </c>
      <c r="F539" s="9">
        <v>0</v>
      </c>
      <c r="G539" s="9">
        <v>0</v>
      </c>
      <c r="H539" s="9">
        <v>5.2</v>
      </c>
      <c r="J539" s="35"/>
    </row>
    <row r="540" spans="1:10" x14ac:dyDescent="0.25">
      <c r="A540" s="6">
        <v>5</v>
      </c>
      <c r="B540" s="6">
        <v>539</v>
      </c>
      <c r="C540" s="7">
        <v>45911</v>
      </c>
      <c r="D540" s="14">
        <v>41</v>
      </c>
      <c r="E540" s="9">
        <v>68.900000000000006</v>
      </c>
      <c r="F540" s="9">
        <v>0</v>
      </c>
      <c r="G540" s="9">
        <v>0</v>
      </c>
      <c r="H540" s="9">
        <v>8.3000000000000007</v>
      </c>
      <c r="J540" s="35"/>
    </row>
    <row r="541" spans="1:10" x14ac:dyDescent="0.25">
      <c r="A541" s="6">
        <v>6</v>
      </c>
      <c r="B541" s="6">
        <v>540</v>
      </c>
      <c r="C541" s="7">
        <v>45912</v>
      </c>
      <c r="D541" s="14">
        <v>45</v>
      </c>
      <c r="E541" s="9">
        <v>72.099999999999994</v>
      </c>
      <c r="F541" s="9">
        <v>0</v>
      </c>
      <c r="G541" s="9">
        <v>0</v>
      </c>
      <c r="H541" s="9">
        <v>6.5</v>
      </c>
      <c r="J541" s="35"/>
    </row>
    <row r="542" spans="1:10" x14ac:dyDescent="0.25">
      <c r="A542" s="6">
        <v>7</v>
      </c>
      <c r="B542" s="6">
        <v>541</v>
      </c>
      <c r="C542" s="7">
        <v>45913</v>
      </c>
      <c r="D542" s="14">
        <v>36</v>
      </c>
      <c r="E542" s="9">
        <v>71.2</v>
      </c>
      <c r="F542" s="9">
        <v>0.58299999999999996</v>
      </c>
      <c r="G542" s="9">
        <v>0</v>
      </c>
      <c r="H542" s="9">
        <v>8.6</v>
      </c>
      <c r="J542" s="35"/>
    </row>
    <row r="543" spans="1:10" x14ac:dyDescent="0.25">
      <c r="A543" s="6">
        <v>1</v>
      </c>
      <c r="B543" s="6">
        <v>542</v>
      </c>
      <c r="C543" s="7">
        <v>45914</v>
      </c>
      <c r="D543" s="14">
        <v>41</v>
      </c>
      <c r="E543" s="9">
        <v>73</v>
      </c>
      <c r="F543" s="9">
        <v>0</v>
      </c>
      <c r="G543" s="9">
        <v>0</v>
      </c>
      <c r="H543" s="9">
        <v>7</v>
      </c>
      <c r="J543" s="35"/>
    </row>
    <row r="544" spans="1:10" x14ac:dyDescent="0.25">
      <c r="A544" s="6">
        <v>2</v>
      </c>
      <c r="B544" s="6">
        <v>543</v>
      </c>
      <c r="C544" s="7">
        <v>45915</v>
      </c>
      <c r="D544" s="14">
        <v>8</v>
      </c>
      <c r="E544" s="9">
        <v>73.599999999999994</v>
      </c>
      <c r="F544" s="9">
        <v>0</v>
      </c>
      <c r="G544" s="9">
        <v>0</v>
      </c>
      <c r="H544" s="9">
        <v>6.8</v>
      </c>
      <c r="J544" s="35"/>
    </row>
    <row r="545" spans="1:10" x14ac:dyDescent="0.25">
      <c r="A545" s="6">
        <v>3</v>
      </c>
      <c r="B545" s="6">
        <v>544</v>
      </c>
      <c r="C545" s="7">
        <v>45916</v>
      </c>
      <c r="D545" s="14">
        <v>50</v>
      </c>
      <c r="E545" s="9">
        <v>72.099999999999994</v>
      </c>
      <c r="F545" s="9">
        <v>0</v>
      </c>
      <c r="G545" s="9">
        <v>0</v>
      </c>
      <c r="H545" s="9">
        <v>4.3</v>
      </c>
      <c r="J545" s="35"/>
    </row>
    <row r="546" spans="1:10" x14ac:dyDescent="0.25">
      <c r="A546" s="6">
        <v>4</v>
      </c>
      <c r="B546" s="6">
        <v>545</v>
      </c>
      <c r="C546" s="7">
        <v>45917</v>
      </c>
      <c r="D546" s="14">
        <v>13</v>
      </c>
      <c r="E546" s="9">
        <v>72</v>
      </c>
      <c r="F546" s="9">
        <v>0</v>
      </c>
      <c r="G546" s="9">
        <v>0</v>
      </c>
      <c r="H546" s="9">
        <v>4.5</v>
      </c>
      <c r="J546" s="35"/>
    </row>
    <row r="547" spans="1:10" x14ac:dyDescent="0.25">
      <c r="A547" s="6">
        <v>5</v>
      </c>
      <c r="B547" s="6">
        <v>546</v>
      </c>
      <c r="C547" s="7">
        <v>45918</v>
      </c>
      <c r="D547" s="14">
        <v>18</v>
      </c>
      <c r="E547" s="9">
        <v>73.400000000000006</v>
      </c>
      <c r="F547" s="9">
        <v>0</v>
      </c>
      <c r="G547" s="9">
        <v>0</v>
      </c>
      <c r="H547" s="9">
        <v>3.5</v>
      </c>
      <c r="J547" s="35"/>
    </row>
    <row r="548" spans="1:10" x14ac:dyDescent="0.25">
      <c r="A548" s="6">
        <v>6</v>
      </c>
      <c r="B548" s="6">
        <v>547</v>
      </c>
      <c r="C548" s="7">
        <v>45919</v>
      </c>
      <c r="D548" s="14">
        <v>37</v>
      </c>
      <c r="E548" s="9">
        <v>77</v>
      </c>
      <c r="F548" s="9">
        <v>0.02</v>
      </c>
      <c r="G548" s="9">
        <v>0</v>
      </c>
      <c r="H548" s="9">
        <v>5.2</v>
      </c>
      <c r="J548" s="35"/>
    </row>
    <row r="549" spans="1:10" x14ac:dyDescent="0.25">
      <c r="A549" s="6">
        <v>7</v>
      </c>
      <c r="B549" s="6">
        <v>548</v>
      </c>
      <c r="C549" s="7">
        <v>45920</v>
      </c>
      <c r="D549" s="14">
        <v>22</v>
      </c>
      <c r="E549" s="9">
        <v>70.7</v>
      </c>
      <c r="F549" s="9">
        <v>0.33100000000000002</v>
      </c>
      <c r="G549" s="9">
        <v>0</v>
      </c>
      <c r="H549" s="9">
        <v>5</v>
      </c>
    </row>
    <row r="550" spans="1:10" x14ac:dyDescent="0.25">
      <c r="A550" s="6">
        <v>1</v>
      </c>
      <c r="B550" s="6">
        <v>549</v>
      </c>
      <c r="C550" s="7">
        <v>45921</v>
      </c>
      <c r="D550" s="14">
        <v>24</v>
      </c>
      <c r="E550" s="9">
        <v>72.900000000000006</v>
      </c>
      <c r="F550" s="9">
        <v>0.64200000000000002</v>
      </c>
      <c r="G550" s="9">
        <v>0</v>
      </c>
      <c r="H550" s="9">
        <v>6.5</v>
      </c>
    </row>
    <row r="551" spans="1:10" x14ac:dyDescent="0.25">
      <c r="A551" s="6">
        <v>2</v>
      </c>
      <c r="B551" s="6">
        <v>550</v>
      </c>
      <c r="C551" s="7">
        <v>45922</v>
      </c>
      <c r="D551" s="14">
        <v>12</v>
      </c>
      <c r="E551" s="9">
        <v>73.599999999999994</v>
      </c>
      <c r="F551" s="9">
        <v>1.2E-2</v>
      </c>
      <c r="G551" s="9">
        <v>0</v>
      </c>
      <c r="H551" s="9">
        <v>7.2</v>
      </c>
    </row>
    <row r="552" spans="1:10" x14ac:dyDescent="0.25">
      <c r="A552" s="6">
        <v>3</v>
      </c>
      <c r="B552" s="6">
        <v>551</v>
      </c>
      <c r="C552" s="7">
        <v>45923</v>
      </c>
      <c r="D552" s="14">
        <v>11</v>
      </c>
      <c r="E552" s="9">
        <v>69.8</v>
      </c>
      <c r="F552" s="9">
        <v>4.2999999999999997E-2</v>
      </c>
      <c r="G552" s="9">
        <v>0</v>
      </c>
      <c r="H552" s="9">
        <v>8.3000000000000007</v>
      </c>
    </row>
    <row r="553" spans="1:10" x14ac:dyDescent="0.25">
      <c r="A553" s="6">
        <v>4</v>
      </c>
      <c r="B553" s="6">
        <v>552</v>
      </c>
      <c r="C553" s="7">
        <v>45924</v>
      </c>
      <c r="D553" s="14">
        <v>33</v>
      </c>
      <c r="E553" s="9">
        <v>65.8</v>
      </c>
      <c r="F553" s="9">
        <v>0</v>
      </c>
      <c r="G553" s="9">
        <v>0</v>
      </c>
      <c r="H553" s="9">
        <v>11.5</v>
      </c>
    </row>
    <row r="554" spans="1:10" x14ac:dyDescent="0.25">
      <c r="A554" s="6">
        <v>5</v>
      </c>
      <c r="B554" s="6">
        <v>553</v>
      </c>
      <c r="C554" s="7">
        <v>45925</v>
      </c>
      <c r="D554" s="14">
        <v>21</v>
      </c>
      <c r="E554" s="9">
        <v>65.8</v>
      </c>
      <c r="F554" s="9">
        <v>0</v>
      </c>
      <c r="G554" s="9">
        <v>0</v>
      </c>
      <c r="H554" s="9">
        <v>6.7</v>
      </c>
    </row>
    <row r="555" spans="1:10" x14ac:dyDescent="0.25">
      <c r="A555" s="6">
        <v>6</v>
      </c>
      <c r="B555" s="6">
        <v>554</v>
      </c>
      <c r="C555" s="7">
        <v>45926</v>
      </c>
      <c r="D555" s="14">
        <v>27</v>
      </c>
      <c r="E555" s="9">
        <v>70.3</v>
      </c>
      <c r="F555" s="9">
        <v>0</v>
      </c>
      <c r="G555" s="9">
        <v>0</v>
      </c>
      <c r="H555" s="9">
        <v>7.3</v>
      </c>
    </row>
    <row r="556" spans="1:10" x14ac:dyDescent="0.25">
      <c r="A556" s="6">
        <v>7</v>
      </c>
      <c r="B556" s="6">
        <v>555</v>
      </c>
      <c r="C556" s="7">
        <v>45927</v>
      </c>
      <c r="D556" s="14">
        <v>37</v>
      </c>
      <c r="E556" s="9">
        <v>74.099999999999994</v>
      </c>
      <c r="F556" s="9">
        <v>0</v>
      </c>
      <c r="G556" s="9">
        <v>0</v>
      </c>
      <c r="H556" s="9">
        <v>6.5</v>
      </c>
    </row>
    <row r="557" spans="1:10" x14ac:dyDescent="0.25">
      <c r="A557" s="6">
        <v>1</v>
      </c>
      <c r="B557" s="6">
        <v>556</v>
      </c>
      <c r="C557" s="7">
        <v>45928</v>
      </c>
      <c r="D557" s="14">
        <v>58</v>
      </c>
      <c r="E557" s="9">
        <v>70.7</v>
      </c>
      <c r="F557" s="9">
        <v>0</v>
      </c>
      <c r="G557" s="9">
        <v>0</v>
      </c>
      <c r="H557" s="9">
        <v>6.5</v>
      </c>
    </row>
    <row r="558" spans="1:10" x14ac:dyDescent="0.25">
      <c r="A558" s="6">
        <v>2</v>
      </c>
      <c r="B558" s="6">
        <v>557</v>
      </c>
      <c r="C558" s="7">
        <v>45929</v>
      </c>
      <c r="D558" s="14">
        <v>16</v>
      </c>
      <c r="E558" s="9">
        <v>73.8</v>
      </c>
      <c r="F558" s="9">
        <v>0</v>
      </c>
      <c r="G558" s="9">
        <v>0</v>
      </c>
      <c r="H558" s="9">
        <v>3.3</v>
      </c>
    </row>
    <row r="559" spans="1:10" x14ac:dyDescent="0.25">
      <c r="A559" s="6">
        <v>3</v>
      </c>
      <c r="B559" s="6">
        <v>558</v>
      </c>
      <c r="C559" s="7">
        <v>45930</v>
      </c>
      <c r="D559" s="14">
        <v>18</v>
      </c>
      <c r="E559" s="9">
        <v>71.599999999999994</v>
      </c>
      <c r="F559" s="9">
        <v>0</v>
      </c>
      <c r="G559" s="9">
        <v>0</v>
      </c>
      <c r="H559" s="9">
        <v>6.6</v>
      </c>
    </row>
    <row r="560" spans="1:10" x14ac:dyDescent="0.25">
      <c r="A560" s="6">
        <v>4</v>
      </c>
      <c r="B560" s="6">
        <v>559</v>
      </c>
      <c r="C560" s="7">
        <v>45931</v>
      </c>
      <c r="D560" s="14">
        <v>23</v>
      </c>
      <c r="E560" s="9">
        <v>69.400000000000006</v>
      </c>
      <c r="F560" s="9">
        <v>0</v>
      </c>
      <c r="G560" s="9">
        <v>0</v>
      </c>
      <c r="H560" s="9">
        <v>8.6</v>
      </c>
    </row>
    <row r="561" spans="1:9" x14ac:dyDescent="0.25">
      <c r="A561" s="6">
        <v>5</v>
      </c>
      <c r="B561" s="6">
        <v>560</v>
      </c>
      <c r="C561" s="7">
        <v>45932</v>
      </c>
      <c r="D561" s="14">
        <v>23</v>
      </c>
      <c r="E561" s="9">
        <v>70.5</v>
      </c>
      <c r="F561" s="9">
        <v>0</v>
      </c>
      <c r="G561" s="9">
        <v>0</v>
      </c>
      <c r="H561" s="9">
        <v>6</v>
      </c>
      <c r="I561" s="36" t="s">
        <v>20</v>
      </c>
    </row>
    <row r="562" spans="1:9" x14ac:dyDescent="0.25">
      <c r="A562" s="6">
        <v>6</v>
      </c>
      <c r="B562" s="6">
        <v>561</v>
      </c>
      <c r="C562" s="7">
        <v>45933</v>
      </c>
      <c r="D562" s="14">
        <v>34</v>
      </c>
      <c r="E562" s="9">
        <v>76.3</v>
      </c>
      <c r="F562" s="9">
        <v>0</v>
      </c>
      <c r="G562" s="9">
        <v>0</v>
      </c>
      <c r="H562" s="9">
        <v>5.4</v>
      </c>
    </row>
    <row r="563" spans="1:9" x14ac:dyDescent="0.25">
      <c r="A563" s="6">
        <v>7</v>
      </c>
      <c r="B563" s="6">
        <v>562</v>
      </c>
      <c r="C563" s="7">
        <v>45934</v>
      </c>
      <c r="D563" s="14">
        <v>42</v>
      </c>
      <c r="E563" s="9">
        <v>77</v>
      </c>
      <c r="F563" s="9">
        <v>0</v>
      </c>
      <c r="G563" s="9">
        <v>0</v>
      </c>
      <c r="H563" s="9">
        <v>8.5</v>
      </c>
    </row>
    <row r="564" spans="1:9" x14ac:dyDescent="0.25">
      <c r="A564" s="6">
        <v>1</v>
      </c>
      <c r="B564" s="6">
        <v>563</v>
      </c>
      <c r="C564" s="7">
        <v>45935</v>
      </c>
      <c r="D564" s="14">
        <v>50</v>
      </c>
      <c r="E564" s="9">
        <v>74.7</v>
      </c>
      <c r="F564" s="9">
        <v>0</v>
      </c>
      <c r="G564" s="9">
        <v>0</v>
      </c>
      <c r="H564" s="9">
        <v>10.4</v>
      </c>
    </row>
    <row r="565" spans="1:9" x14ac:dyDescent="0.25">
      <c r="A565" s="6">
        <v>2</v>
      </c>
      <c r="B565" s="6">
        <v>564</v>
      </c>
      <c r="C565" s="7">
        <v>45936</v>
      </c>
      <c r="D565" s="14">
        <v>25</v>
      </c>
      <c r="E565" s="9">
        <v>72</v>
      </c>
      <c r="F565" s="9">
        <v>0.42499999999999999</v>
      </c>
      <c r="G565" s="9">
        <v>0</v>
      </c>
      <c r="H565" s="9">
        <v>9.4</v>
      </c>
    </row>
    <row r="566" spans="1:9" x14ac:dyDescent="0.25">
      <c r="A566" s="6">
        <v>3</v>
      </c>
      <c r="B566" s="6">
        <v>565</v>
      </c>
      <c r="C566" s="7">
        <v>45937</v>
      </c>
      <c r="D566" s="14">
        <v>21</v>
      </c>
      <c r="E566" s="9">
        <v>59.9</v>
      </c>
      <c r="F566" s="9">
        <v>0.73599999999999999</v>
      </c>
      <c r="G566" s="9">
        <v>0</v>
      </c>
      <c r="H566" s="9">
        <v>10.1</v>
      </c>
    </row>
    <row r="567" spans="1:9" x14ac:dyDescent="0.25">
      <c r="A567" s="6">
        <v>4</v>
      </c>
      <c r="B567" s="6">
        <v>566</v>
      </c>
      <c r="C567" s="7">
        <v>45938</v>
      </c>
      <c r="D567" s="14">
        <v>22</v>
      </c>
      <c r="E567" s="9">
        <v>55.4</v>
      </c>
      <c r="F567" s="9">
        <v>0</v>
      </c>
      <c r="G567" s="9">
        <v>0</v>
      </c>
      <c r="H567" s="9">
        <v>7.6</v>
      </c>
    </row>
    <row r="568" spans="1:9" x14ac:dyDescent="0.25">
      <c r="A568" s="6">
        <v>5</v>
      </c>
      <c r="B568" s="6">
        <v>567</v>
      </c>
      <c r="C568" s="7">
        <v>45939</v>
      </c>
      <c r="D568" s="14">
        <v>17</v>
      </c>
      <c r="E568" s="9">
        <v>55.2</v>
      </c>
      <c r="F568" s="9">
        <v>0</v>
      </c>
      <c r="G568" s="9">
        <v>0</v>
      </c>
      <c r="H568" s="9">
        <v>4.8</v>
      </c>
    </row>
    <row r="569" spans="1:9" x14ac:dyDescent="0.25">
      <c r="A569" s="6">
        <v>6</v>
      </c>
      <c r="B569" s="6">
        <v>568</v>
      </c>
      <c r="C569" s="7">
        <v>45940</v>
      </c>
      <c r="D569" s="14">
        <v>22</v>
      </c>
      <c r="E569" s="9">
        <v>56.7</v>
      </c>
      <c r="F569" s="9">
        <v>0</v>
      </c>
      <c r="G569" s="9">
        <v>0</v>
      </c>
      <c r="H569" s="9">
        <v>6.1</v>
      </c>
    </row>
    <row r="570" spans="1:9" x14ac:dyDescent="0.25">
      <c r="A570" s="6">
        <v>7</v>
      </c>
      <c r="B570" s="6">
        <v>569</v>
      </c>
      <c r="C570" s="7">
        <v>45941</v>
      </c>
      <c r="D570" s="14">
        <v>16</v>
      </c>
      <c r="E570" s="9">
        <v>58.1</v>
      </c>
      <c r="F570" s="9">
        <v>0</v>
      </c>
      <c r="G570" s="9">
        <v>0</v>
      </c>
      <c r="H570" s="9">
        <v>9.4</v>
      </c>
    </row>
    <row r="571" spans="1:9" x14ac:dyDescent="0.25">
      <c r="A571" s="6">
        <v>1</v>
      </c>
      <c r="B571" s="6">
        <v>570</v>
      </c>
      <c r="C571" s="7">
        <v>45942</v>
      </c>
      <c r="D571" s="14">
        <v>42</v>
      </c>
      <c r="E571" s="9">
        <v>58.8</v>
      </c>
      <c r="F571" s="9">
        <v>0</v>
      </c>
      <c r="G571" s="9">
        <v>0</v>
      </c>
      <c r="H571" s="9">
        <v>5.8</v>
      </c>
    </row>
    <row r="572" spans="1:9" x14ac:dyDescent="0.25">
      <c r="A572" s="6">
        <v>2</v>
      </c>
      <c r="B572" s="6">
        <v>571</v>
      </c>
      <c r="C572" s="7">
        <v>45943</v>
      </c>
      <c r="D572" s="14">
        <v>9</v>
      </c>
      <c r="E572" s="9">
        <v>61.7</v>
      </c>
      <c r="F572" s="9">
        <v>0</v>
      </c>
      <c r="G572" s="9">
        <v>0</v>
      </c>
      <c r="H572" s="9">
        <v>4.4000000000000004</v>
      </c>
      <c r="I572" t="s">
        <v>21</v>
      </c>
    </row>
    <row r="573" spans="1:9" x14ac:dyDescent="0.25">
      <c r="A573" s="6">
        <v>3</v>
      </c>
      <c r="B573" s="6">
        <v>572</v>
      </c>
      <c r="C573" s="7">
        <v>45944</v>
      </c>
      <c r="D573" s="14">
        <v>21</v>
      </c>
      <c r="E573" s="9">
        <v>61.3</v>
      </c>
      <c r="F573" s="9">
        <v>0</v>
      </c>
      <c r="G573" s="9">
        <v>0</v>
      </c>
      <c r="H573" s="9">
        <v>10.1</v>
      </c>
    </row>
    <row r="574" spans="1:9" x14ac:dyDescent="0.25">
      <c r="A574" s="6">
        <v>4</v>
      </c>
      <c r="B574" s="6">
        <v>573</v>
      </c>
      <c r="C574" s="7">
        <v>45945</v>
      </c>
      <c r="D574" s="14">
        <v>9</v>
      </c>
      <c r="E574" s="9">
        <v>57.7</v>
      </c>
      <c r="F574" s="9">
        <v>6.3E-2</v>
      </c>
      <c r="G574" s="9">
        <v>0</v>
      </c>
      <c r="H574" s="9">
        <v>10.3</v>
      </c>
    </row>
    <row r="575" spans="1:9" x14ac:dyDescent="0.25">
      <c r="A575" s="6">
        <v>5</v>
      </c>
      <c r="B575" s="6">
        <v>574</v>
      </c>
      <c r="C575" s="7">
        <v>45946</v>
      </c>
      <c r="D575" s="14">
        <v>28</v>
      </c>
      <c r="E575" s="9">
        <v>61.3</v>
      </c>
      <c r="F575" s="9">
        <v>0</v>
      </c>
      <c r="G575" s="9">
        <v>0</v>
      </c>
      <c r="H575" s="9">
        <v>6.8</v>
      </c>
    </row>
    <row r="576" spans="1:9" x14ac:dyDescent="0.25">
      <c r="A576" s="6">
        <v>6</v>
      </c>
      <c r="B576" s="6">
        <v>575</v>
      </c>
      <c r="C576" s="7">
        <v>45947</v>
      </c>
      <c r="D576" s="14">
        <v>31</v>
      </c>
      <c r="E576" s="9">
        <v>64.900000000000006</v>
      </c>
      <c r="F576" s="9">
        <v>0</v>
      </c>
      <c r="G576" s="9">
        <v>0</v>
      </c>
      <c r="H576" s="9">
        <v>10.3</v>
      </c>
    </row>
    <row r="577" spans="1:9" x14ac:dyDescent="0.25">
      <c r="A577" s="6">
        <v>7</v>
      </c>
      <c r="B577" s="6">
        <v>576</v>
      </c>
      <c r="C577" s="7">
        <v>45948</v>
      </c>
      <c r="D577" s="14">
        <v>44</v>
      </c>
      <c r="E577" s="9">
        <v>66.599999999999994</v>
      </c>
      <c r="F577" s="9">
        <v>0.122</v>
      </c>
      <c r="G577" s="9">
        <v>0</v>
      </c>
      <c r="H577" s="9">
        <v>10.1</v>
      </c>
    </row>
    <row r="578" spans="1:9" x14ac:dyDescent="0.25">
      <c r="A578" s="6">
        <v>1</v>
      </c>
      <c r="B578" s="6">
        <v>577</v>
      </c>
      <c r="C578" s="7">
        <v>45949</v>
      </c>
      <c r="D578" s="14">
        <v>33</v>
      </c>
      <c r="E578" s="9">
        <v>55.4</v>
      </c>
      <c r="F578" s="9">
        <v>1.48</v>
      </c>
      <c r="G578" s="9">
        <v>0</v>
      </c>
      <c r="H578" s="9">
        <v>13.1</v>
      </c>
    </row>
    <row r="579" spans="1:9" x14ac:dyDescent="0.25">
      <c r="A579" s="6">
        <v>2</v>
      </c>
      <c r="B579" s="6">
        <v>578</v>
      </c>
      <c r="C579" s="7">
        <v>45950</v>
      </c>
      <c r="D579" s="14">
        <v>11</v>
      </c>
      <c r="E579" s="9">
        <v>54.9</v>
      </c>
      <c r="F579" s="9">
        <v>0</v>
      </c>
      <c r="G579" s="9">
        <v>0</v>
      </c>
      <c r="H579" s="9">
        <v>10.6</v>
      </c>
      <c r="I579" t="s">
        <v>44</v>
      </c>
    </row>
    <row r="580" spans="1:9" x14ac:dyDescent="0.25">
      <c r="A580" s="6">
        <v>3</v>
      </c>
      <c r="B580" s="6">
        <v>579</v>
      </c>
      <c r="C580" s="7">
        <v>45951</v>
      </c>
      <c r="D580" s="14">
        <v>5</v>
      </c>
      <c r="E580" s="9">
        <v>49.3</v>
      </c>
      <c r="F580" s="9">
        <v>7.0999999999999994E-2</v>
      </c>
      <c r="G580" s="9">
        <v>0</v>
      </c>
      <c r="H580" s="9">
        <v>13.4</v>
      </c>
    </row>
    <row r="581" spans="1:9" x14ac:dyDescent="0.25">
      <c r="A581" s="6">
        <v>4</v>
      </c>
      <c r="B581" s="6">
        <v>580</v>
      </c>
      <c r="C581" s="7">
        <v>45952</v>
      </c>
      <c r="D581" s="14">
        <v>15</v>
      </c>
      <c r="E581" s="9">
        <v>47.3</v>
      </c>
      <c r="F581" s="9">
        <v>4.0000000000000001E-3</v>
      </c>
      <c r="G581" s="9">
        <v>0</v>
      </c>
      <c r="H581" s="9">
        <v>14.2</v>
      </c>
    </row>
    <row r="582" spans="1:9" x14ac:dyDescent="0.25">
      <c r="A582" s="6">
        <v>5</v>
      </c>
      <c r="B582" s="6">
        <v>581</v>
      </c>
      <c r="C582" s="7">
        <v>45953</v>
      </c>
      <c r="D582" s="14">
        <v>9</v>
      </c>
      <c r="E582" s="9">
        <v>45.5</v>
      </c>
      <c r="F582" s="9">
        <v>0</v>
      </c>
      <c r="G582" s="9">
        <v>0</v>
      </c>
      <c r="H582" s="9">
        <v>8.6</v>
      </c>
    </row>
    <row r="583" spans="1:9" x14ac:dyDescent="0.25">
      <c r="A583" s="6">
        <v>6</v>
      </c>
      <c r="B583" s="6">
        <v>582</v>
      </c>
      <c r="C583" s="7">
        <v>45954</v>
      </c>
      <c r="D583" s="14">
        <v>30</v>
      </c>
      <c r="E583" s="9">
        <v>43.7</v>
      </c>
      <c r="F583" s="9">
        <v>0</v>
      </c>
      <c r="G583" s="9">
        <v>0</v>
      </c>
      <c r="H583" s="9">
        <v>4.7</v>
      </c>
    </row>
    <row r="584" spans="1:9" x14ac:dyDescent="0.25">
      <c r="A584" s="6">
        <v>7</v>
      </c>
      <c r="B584" s="6">
        <v>583</v>
      </c>
      <c r="C584" s="7">
        <v>45955</v>
      </c>
      <c r="D584" s="14">
        <v>18</v>
      </c>
      <c r="E584" s="9">
        <v>46.6</v>
      </c>
      <c r="F584" s="9">
        <v>0.02</v>
      </c>
      <c r="G584" s="9">
        <v>0</v>
      </c>
      <c r="H584" s="9">
        <v>5</v>
      </c>
    </row>
    <row r="585" spans="1:9" x14ac:dyDescent="0.25">
      <c r="A585" s="6">
        <v>1</v>
      </c>
      <c r="B585" s="6">
        <v>584</v>
      </c>
      <c r="C585" s="7">
        <v>45956</v>
      </c>
      <c r="D585" s="14">
        <v>33</v>
      </c>
      <c r="E585" s="9">
        <v>52.2</v>
      </c>
      <c r="F585" s="9">
        <v>0</v>
      </c>
      <c r="G585" s="9">
        <v>0</v>
      </c>
      <c r="H585" s="9">
        <v>9.1</v>
      </c>
    </row>
    <row r="586" spans="1:9" x14ac:dyDescent="0.25">
      <c r="A586" s="6">
        <v>2</v>
      </c>
      <c r="B586" s="6">
        <v>585</v>
      </c>
      <c r="C586" s="7">
        <v>45957</v>
      </c>
      <c r="D586" s="14">
        <v>21</v>
      </c>
      <c r="E586" s="9">
        <v>51.8</v>
      </c>
      <c r="F586" s="9">
        <v>0</v>
      </c>
      <c r="G586" s="9">
        <v>0</v>
      </c>
      <c r="H586" s="9">
        <v>11</v>
      </c>
    </row>
    <row r="587" spans="1:9" x14ac:dyDescent="0.25">
      <c r="A587" s="6">
        <v>3</v>
      </c>
      <c r="B587" s="6">
        <v>586</v>
      </c>
      <c r="C587" s="7">
        <v>45958</v>
      </c>
      <c r="D587" s="14">
        <v>7</v>
      </c>
      <c r="E587" s="9">
        <v>52</v>
      </c>
      <c r="F587" s="9">
        <v>0</v>
      </c>
      <c r="G587" s="9">
        <v>0</v>
      </c>
      <c r="H587" s="9">
        <v>11.7</v>
      </c>
    </row>
    <row r="588" spans="1:9" x14ac:dyDescent="0.25">
      <c r="A588" s="6">
        <v>4</v>
      </c>
      <c r="B588" s="6">
        <v>587</v>
      </c>
      <c r="C588" s="7">
        <v>45959</v>
      </c>
      <c r="D588" s="14">
        <v>18</v>
      </c>
      <c r="E588" s="9">
        <v>50.9</v>
      </c>
      <c r="F588" s="9">
        <v>0</v>
      </c>
      <c r="G588" s="9">
        <v>0</v>
      </c>
      <c r="H588" s="9">
        <v>16.3</v>
      </c>
    </row>
    <row r="589" spans="1:9" x14ac:dyDescent="0.25">
      <c r="A589" s="6">
        <v>5</v>
      </c>
      <c r="B589" s="6">
        <v>588</v>
      </c>
      <c r="C589" s="7">
        <v>45960</v>
      </c>
      <c r="D589" s="14">
        <v>16</v>
      </c>
      <c r="E589" s="9">
        <v>47.8</v>
      </c>
      <c r="F589" s="9">
        <v>0</v>
      </c>
      <c r="G589" s="9">
        <v>0</v>
      </c>
      <c r="H589" s="9">
        <v>8.4</v>
      </c>
    </row>
    <row r="590" spans="1:9" x14ac:dyDescent="0.25">
      <c r="A590" s="6">
        <v>6</v>
      </c>
      <c r="B590" s="6">
        <v>589</v>
      </c>
      <c r="C590" s="7">
        <v>45961</v>
      </c>
      <c r="D590" s="14">
        <v>10</v>
      </c>
      <c r="E590" s="9">
        <v>46.4</v>
      </c>
      <c r="F590" s="9">
        <v>0</v>
      </c>
      <c r="G590" s="9">
        <v>0</v>
      </c>
      <c r="H590" s="9">
        <v>8.3000000000000007</v>
      </c>
      <c r="I590" t="s">
        <v>45</v>
      </c>
    </row>
    <row r="591" spans="1:9" x14ac:dyDescent="0.25">
      <c r="A591" s="6">
        <v>7</v>
      </c>
      <c r="B591" s="6">
        <v>590</v>
      </c>
      <c r="C591" s="7">
        <v>45962</v>
      </c>
      <c r="D591" s="14">
        <v>38</v>
      </c>
      <c r="E591" s="9">
        <v>44.8</v>
      </c>
      <c r="F591" s="9">
        <v>3.5000000000000003E-2</v>
      </c>
      <c r="G591" s="9">
        <v>0</v>
      </c>
      <c r="H591" s="9">
        <v>6.5</v>
      </c>
    </row>
    <row r="592" spans="1:9" x14ac:dyDescent="0.25">
      <c r="A592" s="6">
        <v>1</v>
      </c>
      <c r="B592" s="6">
        <v>591</v>
      </c>
      <c r="C592" s="7">
        <v>45963</v>
      </c>
      <c r="D592" s="14">
        <v>32</v>
      </c>
      <c r="E592" s="9">
        <v>46.8</v>
      </c>
      <c r="F592" s="9">
        <v>0.02</v>
      </c>
      <c r="G592" s="9">
        <v>0</v>
      </c>
      <c r="H592" s="9">
        <v>8</v>
      </c>
      <c r="I592" t="s">
        <v>52</v>
      </c>
    </row>
    <row r="593" spans="1:9" x14ac:dyDescent="0.25">
      <c r="A593" s="6">
        <v>2</v>
      </c>
      <c r="B593" s="6">
        <v>592</v>
      </c>
      <c r="C593" s="7">
        <v>45964</v>
      </c>
      <c r="D593" s="14">
        <v>7</v>
      </c>
      <c r="E593" s="9">
        <v>50.5</v>
      </c>
      <c r="F593" s="9">
        <v>7.0999999999999994E-2</v>
      </c>
      <c r="G593" s="9">
        <v>0</v>
      </c>
      <c r="H593" s="9">
        <v>11.4</v>
      </c>
    </row>
    <row r="594" spans="1:9" x14ac:dyDescent="0.25">
      <c r="A594" s="6">
        <v>3</v>
      </c>
      <c r="B594" s="6">
        <v>593</v>
      </c>
      <c r="C594" s="7">
        <v>45965</v>
      </c>
      <c r="D594" s="14">
        <v>14</v>
      </c>
      <c r="E594" s="9">
        <v>52.2</v>
      </c>
      <c r="F594" s="9">
        <v>0</v>
      </c>
      <c r="G594" s="9">
        <v>0</v>
      </c>
      <c r="H594" s="9">
        <v>8.3000000000000007</v>
      </c>
      <c r="I594" t="s">
        <v>23</v>
      </c>
    </row>
    <row r="595" spans="1:9" x14ac:dyDescent="0.25">
      <c r="A595" s="6">
        <v>4</v>
      </c>
      <c r="B595" s="6">
        <v>594</v>
      </c>
      <c r="C595" s="7">
        <v>45966</v>
      </c>
      <c r="D595" s="14">
        <v>13</v>
      </c>
      <c r="E595" s="9">
        <v>53.8</v>
      </c>
      <c r="F595" s="9">
        <v>0</v>
      </c>
      <c r="G595" s="9">
        <v>0</v>
      </c>
      <c r="H595" s="9">
        <v>10.9</v>
      </c>
    </row>
    <row r="596" spans="1:9" x14ac:dyDescent="0.25">
      <c r="A596" s="6">
        <v>5</v>
      </c>
      <c r="B596" s="6">
        <v>595</v>
      </c>
      <c r="C596" s="7">
        <v>45967</v>
      </c>
      <c r="D596" s="14">
        <v>17</v>
      </c>
      <c r="E596" s="9">
        <v>49.3</v>
      </c>
      <c r="F596" s="9">
        <v>0</v>
      </c>
      <c r="G596" s="9">
        <v>0</v>
      </c>
      <c r="H596" s="9">
        <v>8.1</v>
      </c>
    </row>
    <row r="597" spans="1:9" x14ac:dyDescent="0.25">
      <c r="A597" s="6">
        <v>6</v>
      </c>
      <c r="B597" s="6">
        <v>596</v>
      </c>
      <c r="C597" s="7">
        <v>45968</v>
      </c>
      <c r="D597" s="14">
        <v>46</v>
      </c>
      <c r="E597" s="9">
        <v>54</v>
      </c>
      <c r="F597" s="9">
        <v>0.224</v>
      </c>
      <c r="G597" s="9">
        <v>0</v>
      </c>
      <c r="H597" s="9">
        <v>11.4</v>
      </c>
    </row>
    <row r="598" spans="1:9" x14ac:dyDescent="0.25">
      <c r="A598" s="6">
        <v>7</v>
      </c>
      <c r="B598" s="6">
        <v>597</v>
      </c>
      <c r="C598" s="7">
        <v>45969</v>
      </c>
      <c r="D598" s="14">
        <v>8</v>
      </c>
      <c r="E598" s="9">
        <v>43.7</v>
      </c>
      <c r="F598" s="9">
        <v>0.378</v>
      </c>
      <c r="G598" s="9">
        <v>0</v>
      </c>
      <c r="H598" s="9">
        <v>11.2</v>
      </c>
    </row>
    <row r="599" spans="1:9" x14ac:dyDescent="0.25">
      <c r="A599" s="6">
        <v>1</v>
      </c>
      <c r="B599" s="6">
        <v>598</v>
      </c>
      <c r="C599" s="7">
        <v>45970</v>
      </c>
      <c r="D599" s="14">
        <v>19</v>
      </c>
      <c r="E599" s="9">
        <v>31.5</v>
      </c>
      <c r="F599" s="9">
        <v>0.24</v>
      </c>
      <c r="G599" s="9">
        <v>0.98399999999999999</v>
      </c>
      <c r="H599" s="9">
        <v>17.5</v>
      </c>
    </row>
    <row r="600" spans="1:9" x14ac:dyDescent="0.25">
      <c r="A600" s="6">
        <v>2</v>
      </c>
      <c r="B600" s="6">
        <v>599</v>
      </c>
      <c r="C600" s="7">
        <v>45971</v>
      </c>
      <c r="D600" s="14">
        <v>7</v>
      </c>
      <c r="E600" s="9">
        <v>28.8</v>
      </c>
      <c r="F600" s="9">
        <v>0.13800000000000001</v>
      </c>
      <c r="G600" s="9">
        <v>0</v>
      </c>
      <c r="H600" s="9">
        <v>13.9</v>
      </c>
    </row>
    <row r="601" spans="1:9" x14ac:dyDescent="0.25">
      <c r="A601" s="6">
        <v>3</v>
      </c>
      <c r="B601" s="6">
        <v>600</v>
      </c>
      <c r="C601" s="7">
        <v>45972</v>
      </c>
      <c r="D601" s="14">
        <v>23</v>
      </c>
      <c r="E601" s="9">
        <v>34.700000000000003</v>
      </c>
      <c r="F601" s="9">
        <v>0</v>
      </c>
      <c r="G601" s="9">
        <v>0</v>
      </c>
      <c r="H601" s="9">
        <v>11.8</v>
      </c>
      <c r="I601" t="s">
        <v>24</v>
      </c>
    </row>
    <row r="602" spans="1:9" x14ac:dyDescent="0.25">
      <c r="A602" s="6">
        <v>4</v>
      </c>
      <c r="B602" s="6">
        <v>601</v>
      </c>
      <c r="C602" s="7">
        <v>45973</v>
      </c>
      <c r="D602" s="14">
        <v>21</v>
      </c>
      <c r="E602" s="9">
        <v>45.3</v>
      </c>
      <c r="F602" s="9">
        <v>0</v>
      </c>
      <c r="G602" s="9">
        <v>0</v>
      </c>
      <c r="H602" s="9">
        <v>11</v>
      </c>
    </row>
    <row r="603" spans="1:9" x14ac:dyDescent="0.25">
      <c r="A603" s="6">
        <v>5</v>
      </c>
      <c r="B603" s="6">
        <v>602</v>
      </c>
      <c r="C603" s="7">
        <v>45974</v>
      </c>
      <c r="D603" s="14">
        <v>19</v>
      </c>
      <c r="E603" s="9">
        <v>45.3</v>
      </c>
      <c r="F603" s="9">
        <v>0</v>
      </c>
      <c r="G603" s="9">
        <v>0</v>
      </c>
      <c r="H603" s="9">
        <v>5.8</v>
      </c>
    </row>
    <row r="604" spans="1:9" x14ac:dyDescent="0.25">
      <c r="A604" s="6">
        <v>6</v>
      </c>
      <c r="B604" s="6">
        <v>603</v>
      </c>
      <c r="C604" s="7">
        <v>45975</v>
      </c>
      <c r="D604" s="14">
        <v>12</v>
      </c>
      <c r="E604" s="9">
        <v>55.9</v>
      </c>
      <c r="F604" s="9">
        <v>0</v>
      </c>
      <c r="G604" s="9">
        <v>0</v>
      </c>
      <c r="H604" s="9">
        <v>7.2</v>
      </c>
    </row>
    <row r="605" spans="1:9" x14ac:dyDescent="0.25">
      <c r="A605" s="6">
        <v>7</v>
      </c>
      <c r="B605" s="6">
        <v>604</v>
      </c>
      <c r="C605" s="7">
        <v>45976</v>
      </c>
      <c r="D605" s="14">
        <v>29</v>
      </c>
      <c r="E605" s="9">
        <v>61.3</v>
      </c>
      <c r="F605" s="9">
        <v>0</v>
      </c>
      <c r="G605" s="9">
        <v>0</v>
      </c>
      <c r="H605" s="9">
        <v>14</v>
      </c>
    </row>
    <row r="606" spans="1:9" x14ac:dyDescent="0.25">
      <c r="A606" s="6">
        <v>1</v>
      </c>
      <c r="B606" s="6">
        <v>605</v>
      </c>
      <c r="C606" s="7">
        <v>45977</v>
      </c>
      <c r="D606" s="14">
        <v>22</v>
      </c>
      <c r="E606" s="9">
        <v>42.4</v>
      </c>
      <c r="F606" s="9">
        <v>0</v>
      </c>
      <c r="G606" s="9">
        <v>0</v>
      </c>
      <c r="H606" s="9">
        <v>11.4</v>
      </c>
    </row>
    <row r="607" spans="1:9" x14ac:dyDescent="0.25">
      <c r="A607" s="6">
        <v>2</v>
      </c>
      <c r="B607" s="6">
        <v>606</v>
      </c>
      <c r="C607" s="7">
        <v>45978</v>
      </c>
      <c r="D607" s="14">
        <v>18</v>
      </c>
      <c r="E607" s="9">
        <v>40.299999999999997</v>
      </c>
      <c r="F607" s="9">
        <v>0</v>
      </c>
      <c r="G607" s="9">
        <v>0</v>
      </c>
      <c r="H607" s="9">
        <v>4.7</v>
      </c>
    </row>
    <row r="608" spans="1:9" x14ac:dyDescent="0.25">
      <c r="A608" s="6">
        <v>3</v>
      </c>
      <c r="B608" s="6">
        <v>607</v>
      </c>
      <c r="C608" s="7">
        <v>45979</v>
      </c>
      <c r="D608" s="14">
        <v>14</v>
      </c>
      <c r="E608" s="9">
        <v>41.7</v>
      </c>
      <c r="F608" s="9">
        <v>7.0999999999999994E-2</v>
      </c>
      <c r="G608" s="9">
        <v>0</v>
      </c>
      <c r="H608" s="9">
        <v>10.1</v>
      </c>
    </row>
    <row r="609" spans="1:9" x14ac:dyDescent="0.25">
      <c r="A609" s="6">
        <v>4</v>
      </c>
      <c r="B609" s="6">
        <v>608</v>
      </c>
      <c r="C609" s="7">
        <v>45980</v>
      </c>
      <c r="D609" s="14">
        <v>13</v>
      </c>
      <c r="E609" s="9">
        <v>43.5</v>
      </c>
      <c r="F609" s="9">
        <v>0</v>
      </c>
      <c r="G609" s="9">
        <v>0</v>
      </c>
      <c r="H609" s="9">
        <v>6.6</v>
      </c>
    </row>
    <row r="610" spans="1:9" x14ac:dyDescent="0.25">
      <c r="A610" s="6">
        <v>5</v>
      </c>
      <c r="B610" s="6">
        <v>609</v>
      </c>
      <c r="C610" s="7">
        <v>45981</v>
      </c>
      <c r="D610" s="14">
        <v>4</v>
      </c>
      <c r="E610" s="9">
        <v>45.1</v>
      </c>
      <c r="F610" s="9">
        <v>0</v>
      </c>
      <c r="G610" s="9">
        <v>0</v>
      </c>
      <c r="H610" s="9">
        <v>5.9</v>
      </c>
    </row>
    <row r="611" spans="1:9" x14ac:dyDescent="0.25">
      <c r="A611" s="6">
        <v>6</v>
      </c>
      <c r="B611" s="6">
        <v>610</v>
      </c>
      <c r="C611" s="7">
        <v>45982</v>
      </c>
      <c r="D611" s="14">
        <v>12</v>
      </c>
      <c r="E611" s="9">
        <v>44.2</v>
      </c>
      <c r="F611" s="9">
        <v>0</v>
      </c>
      <c r="G611" s="9">
        <v>0</v>
      </c>
      <c r="H611" s="9">
        <v>4.8</v>
      </c>
    </row>
    <row r="612" spans="1:9" x14ac:dyDescent="0.25">
      <c r="A612" s="6">
        <v>7</v>
      </c>
      <c r="B612" s="6">
        <v>611</v>
      </c>
      <c r="C612" s="7">
        <v>45983</v>
      </c>
      <c r="D612" s="14">
        <v>17</v>
      </c>
      <c r="E612" s="9">
        <v>41.7</v>
      </c>
      <c r="F612" s="9">
        <v>0</v>
      </c>
      <c r="G612" s="9">
        <v>0</v>
      </c>
      <c r="H612" s="9">
        <v>8.9</v>
      </c>
    </row>
    <row r="613" spans="1:9" x14ac:dyDescent="0.25">
      <c r="A613" s="6">
        <v>1</v>
      </c>
      <c r="B613" s="6">
        <v>612</v>
      </c>
      <c r="C613" s="7">
        <v>45984</v>
      </c>
      <c r="D613" s="14">
        <v>20</v>
      </c>
      <c r="E613" s="9">
        <v>44.6</v>
      </c>
      <c r="F613" s="9">
        <v>0</v>
      </c>
      <c r="G613" s="9">
        <v>0</v>
      </c>
      <c r="H613" s="9">
        <v>4.5</v>
      </c>
    </row>
    <row r="614" spans="1:9" x14ac:dyDescent="0.25">
      <c r="A614" s="6">
        <v>2</v>
      </c>
      <c r="B614" s="6">
        <v>613</v>
      </c>
      <c r="C614" s="7">
        <v>45985</v>
      </c>
      <c r="D614" s="14">
        <v>7</v>
      </c>
      <c r="E614" s="9">
        <v>44.1</v>
      </c>
      <c r="F614" s="9">
        <v>0.02</v>
      </c>
      <c r="G614" s="9">
        <v>0</v>
      </c>
      <c r="H614" s="9">
        <v>6.9</v>
      </c>
    </row>
    <row r="615" spans="1:9" x14ac:dyDescent="0.25">
      <c r="A615" s="6">
        <v>3</v>
      </c>
      <c r="B615" s="6">
        <v>614</v>
      </c>
      <c r="C615" s="7">
        <v>45986</v>
      </c>
      <c r="D615" s="14">
        <v>2</v>
      </c>
      <c r="E615" s="9">
        <v>48.4</v>
      </c>
      <c r="F615" s="9">
        <v>0.16500000000000001</v>
      </c>
      <c r="G615" s="9">
        <v>0</v>
      </c>
      <c r="H615" s="9">
        <v>6.6</v>
      </c>
    </row>
    <row r="616" spans="1:9" x14ac:dyDescent="0.25">
      <c r="A616" s="6">
        <v>4</v>
      </c>
      <c r="B616" s="6">
        <v>615</v>
      </c>
      <c r="C616" s="7">
        <v>45987</v>
      </c>
      <c r="D616" s="14">
        <v>17</v>
      </c>
      <c r="E616" s="9">
        <v>33.799999999999997</v>
      </c>
      <c r="F616" s="9">
        <v>0</v>
      </c>
      <c r="G616" s="9">
        <v>0</v>
      </c>
      <c r="H616" s="9">
        <v>20.100000000000001</v>
      </c>
    </row>
    <row r="617" spans="1:9" x14ac:dyDescent="0.25">
      <c r="A617" s="6">
        <v>5</v>
      </c>
      <c r="B617" s="6">
        <v>616</v>
      </c>
      <c r="C617" s="7">
        <v>45988</v>
      </c>
      <c r="D617" s="14">
        <v>35</v>
      </c>
      <c r="E617" s="9">
        <v>29.3</v>
      </c>
      <c r="F617" s="9">
        <v>0</v>
      </c>
      <c r="G617" s="9">
        <v>0</v>
      </c>
      <c r="H617" s="9">
        <v>14.6</v>
      </c>
      <c r="I617" s="36" t="s">
        <v>25</v>
      </c>
    </row>
    <row r="618" spans="1:9" x14ac:dyDescent="0.25">
      <c r="A618" s="6">
        <v>6</v>
      </c>
      <c r="B618" s="6">
        <v>617</v>
      </c>
      <c r="C618" s="7">
        <v>45989</v>
      </c>
      <c r="D618" s="14">
        <v>19</v>
      </c>
      <c r="E618" s="9">
        <v>26.1</v>
      </c>
      <c r="F618" s="9">
        <v>0</v>
      </c>
      <c r="G618" s="9">
        <v>0</v>
      </c>
      <c r="H618" s="9">
        <v>7.8</v>
      </c>
      <c r="I618" s="36" t="s">
        <v>26</v>
      </c>
    </row>
    <row r="619" spans="1:9" x14ac:dyDescent="0.25">
      <c r="A619" s="6">
        <v>7</v>
      </c>
      <c r="B619" s="6">
        <v>618</v>
      </c>
      <c r="C619" s="7">
        <v>45990</v>
      </c>
      <c r="D619" s="14">
        <v>17</v>
      </c>
      <c r="E619" s="9">
        <v>27.7</v>
      </c>
      <c r="F619" s="9">
        <v>0.66900000000000004</v>
      </c>
      <c r="G619" s="9">
        <v>9</v>
      </c>
      <c r="H619" s="9">
        <v>9.8000000000000007</v>
      </c>
    </row>
    <row r="620" spans="1:9" x14ac:dyDescent="0.25">
      <c r="A620" s="6">
        <v>1</v>
      </c>
      <c r="B620" s="6">
        <v>619</v>
      </c>
      <c r="C620" s="7">
        <v>45991</v>
      </c>
      <c r="D620" s="14">
        <v>20</v>
      </c>
      <c r="E620" s="9">
        <v>27.9</v>
      </c>
      <c r="F620" s="9">
        <v>0.114</v>
      </c>
      <c r="G620" s="9">
        <v>0</v>
      </c>
      <c r="H620" s="9">
        <v>11.1</v>
      </c>
    </row>
    <row r="621" spans="1:9" x14ac:dyDescent="0.25">
      <c r="A621" s="6">
        <v>2</v>
      </c>
      <c r="B621" s="6">
        <v>620</v>
      </c>
      <c r="C621" s="7">
        <v>45992</v>
      </c>
      <c r="D621" s="14">
        <v>18</v>
      </c>
      <c r="E621" s="9">
        <v>23.9</v>
      </c>
      <c r="F621" s="9">
        <v>0.13800000000000001</v>
      </c>
      <c r="G621" s="9">
        <v>5</v>
      </c>
      <c r="H621" s="9">
        <v>4.5</v>
      </c>
    </row>
    <row r="622" spans="1:9" x14ac:dyDescent="0.25">
      <c r="A622" s="6">
        <v>3</v>
      </c>
      <c r="B622" s="6">
        <v>621</v>
      </c>
      <c r="C622" s="7">
        <v>45993</v>
      </c>
      <c r="D622" s="14">
        <v>15</v>
      </c>
      <c r="E622" s="9">
        <v>19.399999999999999</v>
      </c>
      <c r="F622" s="9">
        <v>8.0000000000000002E-3</v>
      </c>
      <c r="G622" s="9">
        <v>5</v>
      </c>
      <c r="H622" s="9">
        <v>9.4</v>
      </c>
    </row>
    <row r="623" spans="1:9" x14ac:dyDescent="0.25">
      <c r="A623" s="6">
        <v>4</v>
      </c>
      <c r="B623" s="6">
        <v>622</v>
      </c>
      <c r="C623" s="7">
        <v>45994</v>
      </c>
      <c r="D623" s="14">
        <v>55</v>
      </c>
      <c r="E623" s="9">
        <v>25.2</v>
      </c>
      <c r="F623" s="9">
        <v>3.1E-2</v>
      </c>
      <c r="G623" s="9">
        <v>4.016</v>
      </c>
      <c r="H623" s="9">
        <v>11.2</v>
      </c>
    </row>
    <row r="624" spans="1:9" x14ac:dyDescent="0.25">
      <c r="A624" s="6">
        <v>5</v>
      </c>
      <c r="B624" s="6">
        <v>623</v>
      </c>
      <c r="C624" s="7">
        <v>45995</v>
      </c>
      <c r="D624" s="14">
        <v>19</v>
      </c>
      <c r="E624" s="9">
        <v>13.3</v>
      </c>
      <c r="F624" s="9">
        <v>0</v>
      </c>
      <c r="G624" s="9">
        <v>4.016</v>
      </c>
      <c r="H624" s="9">
        <v>5.3</v>
      </c>
    </row>
    <row r="625" spans="1:8" x14ac:dyDescent="0.25">
      <c r="A625" s="6">
        <v>6</v>
      </c>
      <c r="B625" s="6">
        <v>624</v>
      </c>
      <c r="C625" s="7">
        <v>45996</v>
      </c>
      <c r="D625" s="14">
        <v>10</v>
      </c>
      <c r="E625" s="9">
        <v>21</v>
      </c>
      <c r="F625" s="9">
        <v>0</v>
      </c>
      <c r="G625" s="9">
        <v>4.016</v>
      </c>
      <c r="H625" s="9">
        <v>10.8</v>
      </c>
    </row>
    <row r="626" spans="1:8" x14ac:dyDescent="0.25">
      <c r="A626" s="6">
        <v>7</v>
      </c>
      <c r="B626" s="6">
        <v>625</v>
      </c>
      <c r="C626" s="7">
        <v>45997</v>
      </c>
      <c r="D626" s="14">
        <v>30</v>
      </c>
      <c r="E626" s="9">
        <v>29.7</v>
      </c>
      <c r="F626" s="9">
        <v>4.0000000000000001E-3</v>
      </c>
      <c r="G626" s="9">
        <v>0</v>
      </c>
      <c r="H626" s="9">
        <v>5.2</v>
      </c>
    </row>
    <row r="627" spans="1:8" x14ac:dyDescent="0.25">
      <c r="A627" s="6">
        <v>1</v>
      </c>
      <c r="B627" s="6">
        <v>626</v>
      </c>
      <c r="C627" s="7">
        <v>45998</v>
      </c>
      <c r="D627" s="14">
        <v>22</v>
      </c>
      <c r="E627" s="9">
        <v>23.9</v>
      </c>
      <c r="F627" s="9">
        <v>0.26</v>
      </c>
      <c r="G627" s="9">
        <v>7.008</v>
      </c>
      <c r="H627" s="9">
        <v>10.9</v>
      </c>
    </row>
    <row r="628" spans="1:8" x14ac:dyDescent="0.25">
      <c r="A628" s="6">
        <v>2</v>
      </c>
      <c r="B628" s="6">
        <v>627</v>
      </c>
      <c r="C628" s="7">
        <v>45999</v>
      </c>
      <c r="D628" s="14">
        <v>28</v>
      </c>
      <c r="E628" s="9">
        <v>20.8</v>
      </c>
      <c r="F628" s="9">
        <v>0</v>
      </c>
      <c r="G628" s="9">
        <v>0.1</v>
      </c>
      <c r="H628" s="9">
        <v>7.2</v>
      </c>
    </row>
    <row r="629" spans="1:8" x14ac:dyDescent="0.25">
      <c r="A629" s="6">
        <v>3</v>
      </c>
      <c r="B629" s="6">
        <v>628</v>
      </c>
      <c r="C629" s="7">
        <v>46000</v>
      </c>
      <c r="D629" s="14">
        <v>11</v>
      </c>
      <c r="E629" s="9">
        <v>31.3</v>
      </c>
      <c r="F629" s="9">
        <v>9.4E-2</v>
      </c>
      <c r="G629" s="9">
        <v>0</v>
      </c>
      <c r="H629" s="9">
        <v>13.5</v>
      </c>
    </row>
    <row r="630" spans="1:8" x14ac:dyDescent="0.25">
      <c r="A630" s="6">
        <v>4</v>
      </c>
      <c r="B630" s="6">
        <v>629</v>
      </c>
      <c r="C630" s="7">
        <v>46001</v>
      </c>
      <c r="D630" s="14">
        <v>24</v>
      </c>
      <c r="E630" s="9">
        <v>32.4</v>
      </c>
      <c r="F630" s="9">
        <v>0.16500000000000001</v>
      </c>
      <c r="G630" s="9">
        <v>0.7</v>
      </c>
      <c r="H630" s="9">
        <v>15</v>
      </c>
    </row>
    <row r="631" spans="1:8" x14ac:dyDescent="0.25">
      <c r="A631" s="6">
        <v>5</v>
      </c>
      <c r="B631" s="6">
        <v>630</v>
      </c>
      <c r="C631" s="7">
        <v>46002</v>
      </c>
      <c r="D631" s="14">
        <v>14</v>
      </c>
      <c r="E631" s="9">
        <v>25.3</v>
      </c>
      <c r="F631" s="9">
        <v>0</v>
      </c>
      <c r="G631" s="9">
        <v>0</v>
      </c>
      <c r="H631" s="9">
        <v>6.4</v>
      </c>
    </row>
    <row r="632" spans="1:8" x14ac:dyDescent="0.25">
      <c r="A632" s="6">
        <v>6</v>
      </c>
      <c r="B632" s="6">
        <v>631</v>
      </c>
      <c r="C632" s="7">
        <v>46003</v>
      </c>
      <c r="D632" s="14">
        <v>20</v>
      </c>
      <c r="E632" s="9">
        <v>25.5</v>
      </c>
      <c r="F632" s="9">
        <v>4.0000000000000001E-3</v>
      </c>
      <c r="G632" s="9">
        <v>0</v>
      </c>
      <c r="H632" s="9">
        <v>7.3</v>
      </c>
    </row>
    <row r="633" spans="1:8" x14ac:dyDescent="0.25">
      <c r="A633" s="6">
        <v>7</v>
      </c>
      <c r="B633" s="6">
        <v>632</v>
      </c>
      <c r="C633" s="7">
        <v>46004</v>
      </c>
      <c r="D633" s="14">
        <v>31</v>
      </c>
      <c r="E633" s="9">
        <v>10.4</v>
      </c>
      <c r="F633" s="9">
        <v>0</v>
      </c>
      <c r="G633" s="9">
        <v>0</v>
      </c>
      <c r="H633" s="9">
        <v>11.9</v>
      </c>
    </row>
    <row r="634" spans="1:8" x14ac:dyDescent="0.25">
      <c r="A634" s="6">
        <v>1</v>
      </c>
      <c r="B634" s="6">
        <v>633</v>
      </c>
      <c r="C634" s="7">
        <v>46005</v>
      </c>
      <c r="D634" s="14">
        <v>72</v>
      </c>
      <c r="E634" s="9">
        <v>3.4</v>
      </c>
      <c r="F634" s="9">
        <v>0</v>
      </c>
      <c r="G634" s="9">
        <v>0</v>
      </c>
      <c r="H634" s="9">
        <v>10.6</v>
      </c>
    </row>
    <row r="635" spans="1:8" x14ac:dyDescent="0.25">
      <c r="A635" s="6">
        <v>2</v>
      </c>
      <c r="B635" s="6">
        <v>634</v>
      </c>
      <c r="C635" s="7">
        <v>46006</v>
      </c>
      <c r="D635" s="14">
        <v>8</v>
      </c>
      <c r="E635" s="9">
        <v>14.2</v>
      </c>
      <c r="F635" s="9">
        <v>0</v>
      </c>
      <c r="G635" s="9">
        <v>0</v>
      </c>
      <c r="H635" s="9">
        <v>10.3</v>
      </c>
    </row>
    <row r="636" spans="1:8" x14ac:dyDescent="0.25">
      <c r="A636" s="6">
        <v>3</v>
      </c>
      <c r="B636" s="6">
        <v>635</v>
      </c>
      <c r="C636" s="7">
        <v>46007</v>
      </c>
      <c r="D636" s="14">
        <v>13</v>
      </c>
      <c r="E636" s="9">
        <v>29.1</v>
      </c>
      <c r="F636" s="9">
        <v>0</v>
      </c>
      <c r="G636" s="9">
        <v>0</v>
      </c>
      <c r="H636" s="9">
        <v>10.7</v>
      </c>
    </row>
    <row r="637" spans="1:8" x14ac:dyDescent="0.25">
      <c r="A637" s="6">
        <v>4</v>
      </c>
      <c r="B637" s="6">
        <v>636</v>
      </c>
      <c r="C637" s="7">
        <v>46008</v>
      </c>
      <c r="D637" s="14">
        <v>43</v>
      </c>
      <c r="E637" s="9">
        <v>37.4</v>
      </c>
      <c r="F637" s="9">
        <v>0</v>
      </c>
      <c r="G637" s="9">
        <v>0</v>
      </c>
      <c r="H637" s="9">
        <v>7.5</v>
      </c>
    </row>
    <row r="638" spans="1:8" x14ac:dyDescent="0.25">
      <c r="A638" s="6">
        <v>5</v>
      </c>
      <c r="B638" s="6">
        <v>637</v>
      </c>
      <c r="C638" s="7">
        <v>46009</v>
      </c>
      <c r="D638" s="14">
        <v>56</v>
      </c>
      <c r="E638" s="9">
        <v>40.1</v>
      </c>
      <c r="F638" s="9">
        <v>0.44900000000000001</v>
      </c>
      <c r="G638" s="9">
        <v>0</v>
      </c>
      <c r="H638" s="9">
        <v>17.3</v>
      </c>
    </row>
    <row r="639" spans="1:8" x14ac:dyDescent="0.25">
      <c r="A639" s="6">
        <v>6</v>
      </c>
      <c r="B639" s="6">
        <v>638</v>
      </c>
      <c r="C639" s="7">
        <v>46010</v>
      </c>
      <c r="D639" s="14">
        <v>33</v>
      </c>
      <c r="E639" s="9">
        <v>16.3</v>
      </c>
      <c r="F639" s="9">
        <v>0</v>
      </c>
      <c r="G639" s="9">
        <v>0</v>
      </c>
      <c r="H639" s="9">
        <v>12.8</v>
      </c>
    </row>
    <row r="640" spans="1:8" x14ac:dyDescent="0.25">
      <c r="A640" s="6">
        <v>7</v>
      </c>
      <c r="B640" s="6">
        <v>639</v>
      </c>
      <c r="C640" s="7">
        <v>46011</v>
      </c>
      <c r="D640" s="14">
        <v>37</v>
      </c>
      <c r="E640" s="9">
        <v>32.700000000000003</v>
      </c>
      <c r="F640" s="9">
        <v>0</v>
      </c>
      <c r="G640" s="9">
        <v>0</v>
      </c>
      <c r="H640" s="9">
        <v>14.3</v>
      </c>
    </row>
    <row r="641" spans="1:9" x14ac:dyDescent="0.25">
      <c r="A641" s="6">
        <v>1</v>
      </c>
      <c r="B641" s="6">
        <v>640</v>
      </c>
      <c r="C641" s="7">
        <v>46012</v>
      </c>
      <c r="D641" s="14">
        <v>84</v>
      </c>
      <c r="E641" s="9">
        <v>23.2</v>
      </c>
      <c r="F641" s="9">
        <v>0</v>
      </c>
      <c r="G641" s="9">
        <v>0</v>
      </c>
      <c r="H641" s="9">
        <v>8.1</v>
      </c>
    </row>
    <row r="642" spans="1:9" x14ac:dyDescent="0.25">
      <c r="A642" s="6">
        <v>2</v>
      </c>
      <c r="B642" s="6">
        <v>641</v>
      </c>
      <c r="C642" s="7">
        <v>46013</v>
      </c>
      <c r="D642" s="14">
        <v>30</v>
      </c>
      <c r="E642" s="9">
        <v>38.299999999999997</v>
      </c>
      <c r="F642" s="9">
        <v>1.2E-2</v>
      </c>
      <c r="G642" s="9">
        <v>0</v>
      </c>
      <c r="H642" s="9">
        <v>8.4</v>
      </c>
    </row>
    <row r="643" spans="1:9" x14ac:dyDescent="0.25">
      <c r="A643" s="6">
        <v>3</v>
      </c>
      <c r="B643" s="6">
        <v>642</v>
      </c>
      <c r="C643" s="7">
        <v>46014</v>
      </c>
      <c r="D643" s="14">
        <v>10</v>
      </c>
      <c r="E643" s="9">
        <v>42.8</v>
      </c>
      <c r="F643" s="9">
        <v>0</v>
      </c>
      <c r="G643" s="9">
        <v>1.1000000000000001</v>
      </c>
      <c r="H643" s="9">
        <v>7.1</v>
      </c>
    </row>
    <row r="644" spans="1:9" x14ac:dyDescent="0.25">
      <c r="A644" s="6">
        <v>4</v>
      </c>
      <c r="B644" s="6">
        <v>643</v>
      </c>
      <c r="C644" s="7">
        <v>46015</v>
      </c>
      <c r="D644" s="14">
        <v>10</v>
      </c>
      <c r="E644" s="9">
        <v>39.9</v>
      </c>
      <c r="F644" s="9">
        <v>8.0000000000000002E-3</v>
      </c>
      <c r="G644" s="9">
        <v>0</v>
      </c>
      <c r="H644" s="9">
        <v>6.6</v>
      </c>
      <c r="I644" t="s">
        <v>27</v>
      </c>
    </row>
    <row r="645" spans="1:9" x14ac:dyDescent="0.25">
      <c r="A645" s="6">
        <v>5</v>
      </c>
      <c r="B645" s="6">
        <v>644</v>
      </c>
      <c r="C645" s="7">
        <v>46016</v>
      </c>
      <c r="D645" s="14">
        <v>0</v>
      </c>
      <c r="E645" s="9">
        <v>40.6</v>
      </c>
      <c r="F645" s="9">
        <v>0</v>
      </c>
      <c r="G645" s="9">
        <v>0</v>
      </c>
      <c r="H645" s="9">
        <v>12</v>
      </c>
      <c r="I645" t="s">
        <v>28</v>
      </c>
    </row>
    <row r="646" spans="1:9" x14ac:dyDescent="0.25">
      <c r="A646" s="6">
        <v>6</v>
      </c>
      <c r="B646" s="6">
        <v>645</v>
      </c>
      <c r="C646" s="7">
        <v>46017</v>
      </c>
      <c r="D646" s="14">
        <v>24</v>
      </c>
      <c r="E646" s="9">
        <v>42.3</v>
      </c>
      <c r="F646" s="9">
        <v>0.20100000000000001</v>
      </c>
      <c r="G646" s="9">
        <v>0</v>
      </c>
      <c r="H646" s="9">
        <v>8.1999999999999993</v>
      </c>
      <c r="I646" s="36" t="s">
        <v>29</v>
      </c>
    </row>
    <row r="647" spans="1:9" x14ac:dyDescent="0.25">
      <c r="A647" s="6">
        <v>7</v>
      </c>
      <c r="B647" s="6">
        <v>646</v>
      </c>
      <c r="C647" s="7">
        <v>46018</v>
      </c>
      <c r="D647" s="14">
        <v>65</v>
      </c>
      <c r="E647" s="9">
        <v>40.1</v>
      </c>
      <c r="F647" s="9">
        <v>0</v>
      </c>
      <c r="G647" s="9">
        <v>0</v>
      </c>
      <c r="H647" s="9">
        <v>8.5</v>
      </c>
    </row>
    <row r="648" spans="1:9" x14ac:dyDescent="0.25">
      <c r="A648" s="6">
        <v>1</v>
      </c>
      <c r="B648" s="6">
        <v>647</v>
      </c>
      <c r="C648" s="7">
        <v>46019</v>
      </c>
      <c r="D648" s="14">
        <v>68</v>
      </c>
      <c r="E648" s="9">
        <v>47.7</v>
      </c>
      <c r="F648" s="9">
        <v>0.96899999999999997</v>
      </c>
      <c r="G648" s="9">
        <v>0</v>
      </c>
      <c r="H648" s="9">
        <v>10.1</v>
      </c>
    </row>
    <row r="649" spans="1:9" x14ac:dyDescent="0.25">
      <c r="A649" s="6">
        <v>2</v>
      </c>
      <c r="B649" s="6">
        <v>648</v>
      </c>
      <c r="C649" s="7">
        <v>46020</v>
      </c>
      <c r="D649" s="14">
        <v>12</v>
      </c>
      <c r="E649" s="9">
        <v>22.6</v>
      </c>
      <c r="F649" s="9">
        <v>3.9E-2</v>
      </c>
      <c r="G649" s="9">
        <v>0.98399999999999999</v>
      </c>
      <c r="H649" s="9">
        <v>19</v>
      </c>
    </row>
    <row r="650" spans="1:9" x14ac:dyDescent="0.25">
      <c r="A650" s="6">
        <v>3</v>
      </c>
      <c r="B650" s="6">
        <v>649</v>
      </c>
      <c r="C650" s="7">
        <v>46021</v>
      </c>
      <c r="D650" s="14">
        <v>6</v>
      </c>
      <c r="E650" s="9">
        <v>16</v>
      </c>
      <c r="F650" s="9">
        <v>7.9000000000000001E-2</v>
      </c>
      <c r="G650" s="9">
        <v>0.98399999999999999</v>
      </c>
      <c r="H650" s="9">
        <v>9.8000000000000007</v>
      </c>
    </row>
    <row r="651" spans="1:9" x14ac:dyDescent="0.25">
      <c r="A651" s="6">
        <v>4</v>
      </c>
      <c r="B651" s="6">
        <v>650</v>
      </c>
      <c r="C651" s="7">
        <v>46022</v>
      </c>
      <c r="D651" s="14">
        <v>0</v>
      </c>
      <c r="E651" s="9">
        <v>29.3</v>
      </c>
      <c r="F651" s="9">
        <v>3.9E-2</v>
      </c>
      <c r="G651" s="9">
        <v>2.008</v>
      </c>
      <c r="H651" s="9">
        <v>12.3</v>
      </c>
      <c r="I651" s="36" t="s">
        <v>30</v>
      </c>
    </row>
    <row r="652" spans="1:9" x14ac:dyDescent="0.25">
      <c r="A652" s="6">
        <v>5</v>
      </c>
      <c r="B652" s="6">
        <v>651</v>
      </c>
      <c r="C652" s="7">
        <v>46023</v>
      </c>
      <c r="D652" s="14">
        <v>0</v>
      </c>
      <c r="E652" s="9">
        <v>15.3</v>
      </c>
      <c r="F652" s="9">
        <v>3.5000000000000003E-2</v>
      </c>
      <c r="G652" s="9">
        <v>0</v>
      </c>
      <c r="H652" s="9">
        <v>6.8</v>
      </c>
      <c r="I652" s="36" t="s">
        <v>31</v>
      </c>
    </row>
    <row r="653" spans="1:9" x14ac:dyDescent="0.25">
      <c r="A653" s="6">
        <v>6</v>
      </c>
      <c r="B653" s="6">
        <v>652</v>
      </c>
      <c r="C653" s="7">
        <v>46024</v>
      </c>
      <c r="D653" s="14">
        <v>6</v>
      </c>
      <c r="E653" s="9">
        <v>20.3</v>
      </c>
      <c r="F653" s="9">
        <v>0</v>
      </c>
      <c r="G653" s="9">
        <v>0</v>
      </c>
      <c r="H653" s="9">
        <v>7.1</v>
      </c>
    </row>
    <row r="654" spans="1:9" x14ac:dyDescent="0.25">
      <c r="A654" s="6">
        <v>7</v>
      </c>
      <c r="B654" s="6">
        <v>653</v>
      </c>
      <c r="C654" s="7">
        <v>46025</v>
      </c>
      <c r="D654" s="14">
        <v>13</v>
      </c>
      <c r="E654" s="9">
        <v>23.2</v>
      </c>
      <c r="F654" s="9">
        <v>0</v>
      </c>
      <c r="G654" s="9">
        <v>0</v>
      </c>
      <c r="H654" s="9">
        <v>5.0999999999999996</v>
      </c>
    </row>
    <row r="655" spans="1:9" x14ac:dyDescent="0.25">
      <c r="A655" s="6">
        <v>1</v>
      </c>
      <c r="B655" s="6">
        <v>654</v>
      </c>
      <c r="C655" s="7">
        <v>46026</v>
      </c>
      <c r="D655" s="14">
        <v>4</v>
      </c>
      <c r="E655" s="9">
        <v>28</v>
      </c>
      <c r="F655" s="9">
        <v>1.6E-2</v>
      </c>
      <c r="G655" s="9">
        <v>0</v>
      </c>
      <c r="H655" s="9">
        <v>8.9</v>
      </c>
    </row>
    <row r="656" spans="1:9" x14ac:dyDescent="0.25">
      <c r="A656" s="6">
        <v>2</v>
      </c>
      <c r="B656" s="6">
        <v>655</v>
      </c>
      <c r="C656" s="7">
        <v>46027</v>
      </c>
      <c r="D656" s="14">
        <v>1</v>
      </c>
      <c r="E656" s="9">
        <v>37</v>
      </c>
      <c r="F656" s="9">
        <v>0</v>
      </c>
      <c r="G656" s="9">
        <v>0</v>
      </c>
      <c r="H656" s="9">
        <v>7.2</v>
      </c>
    </row>
    <row r="657" spans="1:9" x14ac:dyDescent="0.25">
      <c r="A657" s="6">
        <v>3</v>
      </c>
      <c r="B657" s="6">
        <v>656</v>
      </c>
      <c r="C657" s="7">
        <v>46028</v>
      </c>
      <c r="D657" s="14">
        <v>19</v>
      </c>
      <c r="E657" s="9">
        <v>39.200000000000003</v>
      </c>
      <c r="F657" s="9">
        <v>5.8999999999999997E-2</v>
      </c>
      <c r="G657" s="9">
        <v>0</v>
      </c>
      <c r="H657" s="9">
        <v>7</v>
      </c>
    </row>
    <row r="658" spans="1:9" x14ac:dyDescent="0.25">
      <c r="A658" s="6">
        <v>4</v>
      </c>
      <c r="B658" s="6">
        <v>657</v>
      </c>
      <c r="C658" s="7">
        <v>46029</v>
      </c>
      <c r="D658" s="14">
        <v>6</v>
      </c>
      <c r="E658" s="9">
        <v>38.299999999999997</v>
      </c>
      <c r="F658" s="9">
        <v>0</v>
      </c>
      <c r="G658" s="9">
        <v>0</v>
      </c>
      <c r="H658" s="9">
        <v>8.6</v>
      </c>
    </row>
    <row r="659" spans="1:9" x14ac:dyDescent="0.25">
      <c r="A659" s="6">
        <v>5</v>
      </c>
      <c r="B659" s="6">
        <v>658</v>
      </c>
      <c r="C659" s="7">
        <v>46030</v>
      </c>
      <c r="D659" s="14">
        <v>9</v>
      </c>
      <c r="E659" s="9">
        <v>50.9</v>
      </c>
      <c r="F659" s="9">
        <v>1.1499999999999999</v>
      </c>
      <c r="G659" s="9">
        <v>0</v>
      </c>
      <c r="H659" s="9">
        <v>13.7</v>
      </c>
    </row>
    <row r="660" spans="1:9" x14ac:dyDescent="0.25">
      <c r="A660" s="6">
        <v>6</v>
      </c>
      <c r="B660" s="6">
        <v>659</v>
      </c>
      <c r="C660" s="7">
        <v>46031</v>
      </c>
      <c r="D660" s="14">
        <v>0</v>
      </c>
      <c r="E660" s="9">
        <v>45.7</v>
      </c>
      <c r="F660" s="9">
        <v>2.4E-2</v>
      </c>
      <c r="G660" s="9">
        <v>0</v>
      </c>
      <c r="H660" s="9">
        <v>13.6</v>
      </c>
    </row>
    <row r="661" spans="1:9" x14ac:dyDescent="0.25">
      <c r="A661" s="6">
        <v>7</v>
      </c>
      <c r="B661" s="6">
        <v>660</v>
      </c>
      <c r="C661" s="7">
        <v>46032</v>
      </c>
      <c r="D661" s="14">
        <v>23</v>
      </c>
      <c r="E661" s="9">
        <v>37.9</v>
      </c>
      <c r="F661" s="9">
        <v>0.18099999999999999</v>
      </c>
      <c r="G661" s="9">
        <v>0</v>
      </c>
      <c r="H661" s="9">
        <v>11.2</v>
      </c>
    </row>
    <row r="662" spans="1:9" x14ac:dyDescent="0.25">
      <c r="A662" s="6">
        <v>1</v>
      </c>
      <c r="B662" s="6">
        <v>661</v>
      </c>
      <c r="C662" s="7">
        <v>46033</v>
      </c>
      <c r="D662" s="14">
        <v>13</v>
      </c>
      <c r="E662" s="9">
        <v>27.9</v>
      </c>
      <c r="F662" s="9">
        <v>0</v>
      </c>
      <c r="G662" s="9">
        <v>0</v>
      </c>
      <c r="H662" s="9">
        <v>13.2</v>
      </c>
    </row>
    <row r="663" spans="1:9" x14ac:dyDescent="0.25">
      <c r="A663" s="6">
        <v>2</v>
      </c>
      <c r="B663" s="6">
        <v>662</v>
      </c>
      <c r="C663" s="7">
        <v>46034</v>
      </c>
      <c r="D663" s="14">
        <v>7</v>
      </c>
      <c r="E663" s="9">
        <v>31.5</v>
      </c>
      <c r="F663" s="9">
        <v>0</v>
      </c>
      <c r="G663" s="9">
        <v>0</v>
      </c>
      <c r="H663" s="9">
        <v>11.4</v>
      </c>
    </row>
    <row r="664" spans="1:9" x14ac:dyDescent="0.25">
      <c r="A664" s="6">
        <v>3</v>
      </c>
      <c r="B664" s="6">
        <v>663</v>
      </c>
      <c r="C664" s="7">
        <v>46035</v>
      </c>
      <c r="D664" s="14">
        <v>2</v>
      </c>
      <c r="E664" s="9">
        <v>40.1</v>
      </c>
      <c r="F664" s="9">
        <v>0</v>
      </c>
      <c r="G664" s="9">
        <v>0</v>
      </c>
      <c r="H664" s="9">
        <v>13.9</v>
      </c>
    </row>
    <row r="665" spans="1:9" x14ac:dyDescent="0.25">
      <c r="A665" s="6">
        <v>4</v>
      </c>
      <c r="B665" s="6">
        <v>664</v>
      </c>
      <c r="C665" s="7">
        <v>46036</v>
      </c>
      <c r="D665" s="14">
        <v>21</v>
      </c>
      <c r="E665" s="9">
        <v>32</v>
      </c>
      <c r="F665" s="9">
        <v>5.8999999999999997E-2</v>
      </c>
      <c r="G665" s="9">
        <v>0</v>
      </c>
      <c r="H665" s="9">
        <v>17</v>
      </c>
    </row>
    <row r="666" spans="1:9" x14ac:dyDescent="0.25">
      <c r="A666" s="6">
        <v>5</v>
      </c>
      <c r="B666" s="6">
        <v>665</v>
      </c>
      <c r="C666" s="7">
        <v>46037</v>
      </c>
      <c r="D666" s="14">
        <v>11</v>
      </c>
      <c r="E666" s="9">
        <v>18.100000000000001</v>
      </c>
      <c r="F666" s="9">
        <v>0</v>
      </c>
      <c r="G666" s="9">
        <v>0.98399999999999999</v>
      </c>
      <c r="H666" s="9">
        <v>11.9</v>
      </c>
    </row>
    <row r="667" spans="1:9" x14ac:dyDescent="0.25">
      <c r="A667" s="6">
        <v>6</v>
      </c>
      <c r="B667" s="6">
        <v>666</v>
      </c>
      <c r="C667" s="7">
        <v>46038</v>
      </c>
      <c r="D667" s="14">
        <v>0</v>
      </c>
      <c r="E667" s="9">
        <v>28</v>
      </c>
      <c r="F667" s="9">
        <v>7.0999999999999994E-2</v>
      </c>
      <c r="G667" s="9">
        <v>0.98399999999999999</v>
      </c>
      <c r="H667" s="9">
        <v>13.9</v>
      </c>
    </row>
    <row r="668" spans="1:9" x14ac:dyDescent="0.25">
      <c r="A668" s="6">
        <v>7</v>
      </c>
      <c r="B668" s="6">
        <v>667</v>
      </c>
      <c r="C668" s="7">
        <v>46039</v>
      </c>
      <c r="D668" s="14">
        <v>15</v>
      </c>
      <c r="E668" s="9">
        <v>18.7</v>
      </c>
      <c r="F668" s="9">
        <v>0</v>
      </c>
      <c r="G668" s="9">
        <v>0</v>
      </c>
      <c r="H668" s="9">
        <v>15</v>
      </c>
    </row>
    <row r="669" spans="1:9" x14ac:dyDescent="0.25">
      <c r="A669" s="6">
        <v>1</v>
      </c>
      <c r="B669" s="6">
        <v>668</v>
      </c>
      <c r="C669" s="7">
        <v>46040</v>
      </c>
      <c r="D669" s="14">
        <v>25</v>
      </c>
      <c r="E669" s="9">
        <v>12.6</v>
      </c>
      <c r="F669" s="9">
        <v>1.2E-2</v>
      </c>
      <c r="G669" s="9">
        <v>0</v>
      </c>
      <c r="H669" s="9">
        <v>11.6</v>
      </c>
    </row>
    <row r="670" spans="1:9" x14ac:dyDescent="0.25">
      <c r="A670" s="6">
        <v>2</v>
      </c>
      <c r="B670" s="6">
        <v>669</v>
      </c>
      <c r="C670" s="7">
        <v>46041</v>
      </c>
      <c r="D670" s="14">
        <v>21</v>
      </c>
      <c r="E670" s="9">
        <v>8.1999999999999993</v>
      </c>
      <c r="F670" s="9">
        <v>0</v>
      </c>
      <c r="G670" s="9">
        <v>0.98399999999999999</v>
      </c>
      <c r="H670" s="9">
        <v>14.3</v>
      </c>
      <c r="I670" t="s">
        <v>32</v>
      </c>
    </row>
    <row r="671" spans="1:9" x14ac:dyDescent="0.25">
      <c r="A671" s="6">
        <v>3</v>
      </c>
      <c r="B671" s="6">
        <v>670</v>
      </c>
      <c r="C671" s="7">
        <v>46042</v>
      </c>
      <c r="D671" s="14">
        <v>5</v>
      </c>
      <c r="E671" s="9">
        <v>7.7</v>
      </c>
      <c r="F671" s="9">
        <v>1.2E-2</v>
      </c>
      <c r="G671" s="9">
        <v>0.98399999999999999</v>
      </c>
      <c r="H671" s="9">
        <v>8.3000000000000007</v>
      </c>
    </row>
    <row r="672" spans="1:9" x14ac:dyDescent="0.25">
      <c r="A672" s="6">
        <v>4</v>
      </c>
      <c r="B672" s="6">
        <v>671</v>
      </c>
      <c r="C672" s="7">
        <v>46043</v>
      </c>
      <c r="D672" s="14">
        <v>18</v>
      </c>
      <c r="E672" s="9">
        <v>25.7</v>
      </c>
      <c r="F672" s="9">
        <v>3.9E-2</v>
      </c>
      <c r="G672" s="9">
        <v>0.98399999999999999</v>
      </c>
      <c r="H672" s="9">
        <v>10.9</v>
      </c>
    </row>
    <row r="673" spans="1:8" x14ac:dyDescent="0.25">
      <c r="A673" s="6">
        <v>5</v>
      </c>
      <c r="B673" s="6">
        <v>672</v>
      </c>
      <c r="C673" s="7">
        <v>46044</v>
      </c>
      <c r="D673" s="14">
        <v>12</v>
      </c>
      <c r="E673" s="9">
        <v>20.8</v>
      </c>
      <c r="F673" s="9">
        <v>0</v>
      </c>
      <c r="G673" s="9">
        <v>0.98399999999999999</v>
      </c>
      <c r="H673" s="9">
        <v>15.7</v>
      </c>
    </row>
    <row r="674" spans="1:8" x14ac:dyDescent="0.25">
      <c r="A674" s="6">
        <v>6</v>
      </c>
      <c r="B674" s="6">
        <v>673</v>
      </c>
      <c r="C674" s="7">
        <v>46045</v>
      </c>
      <c r="D674" s="14">
        <v>7</v>
      </c>
      <c r="E674" s="9">
        <v>-1.3</v>
      </c>
      <c r="F674" s="9">
        <v>0</v>
      </c>
      <c r="G674" s="9">
        <v>0.98399999999999999</v>
      </c>
      <c r="H674" s="9">
        <v>13.2</v>
      </c>
    </row>
    <row r="675" spans="1:8" x14ac:dyDescent="0.25">
      <c r="A675" s="6">
        <v>7</v>
      </c>
      <c r="B675" s="6">
        <v>674</v>
      </c>
      <c r="C675" s="7">
        <v>46046</v>
      </c>
      <c r="D675" s="14">
        <v>26</v>
      </c>
      <c r="E675" s="9">
        <v>-4.4000000000000004</v>
      </c>
      <c r="F675" s="9">
        <v>3.9E-2</v>
      </c>
      <c r="G675" s="9">
        <v>0.98399999999999999</v>
      </c>
      <c r="H675" s="9">
        <v>5.8</v>
      </c>
    </row>
    <row r="676" spans="1:8" x14ac:dyDescent="0.25">
      <c r="A676" s="6">
        <v>1</v>
      </c>
      <c r="B676" s="6">
        <v>675</v>
      </c>
      <c r="C676" s="7">
        <v>46047</v>
      </c>
      <c r="D676" s="14">
        <v>36</v>
      </c>
      <c r="E676" s="9">
        <v>8.1999999999999993</v>
      </c>
      <c r="F676" s="9">
        <v>9.8000000000000004E-2</v>
      </c>
      <c r="G676" s="9">
        <v>0.98399999999999999</v>
      </c>
      <c r="H676" s="9">
        <v>12.3</v>
      </c>
    </row>
    <row r="677" spans="1:8" x14ac:dyDescent="0.25">
      <c r="A677" s="6">
        <v>2</v>
      </c>
      <c r="B677" s="6">
        <v>676</v>
      </c>
      <c r="C677" s="7">
        <v>46048</v>
      </c>
      <c r="D677" s="14">
        <v>11</v>
      </c>
      <c r="E677" s="9">
        <v>4.5</v>
      </c>
      <c r="F677" s="9">
        <v>0</v>
      </c>
      <c r="G677" s="9">
        <v>5</v>
      </c>
      <c r="H677" s="9">
        <v>12.9</v>
      </c>
    </row>
    <row r="678" spans="1:8" x14ac:dyDescent="0.25">
      <c r="A678" s="6">
        <v>3</v>
      </c>
      <c r="B678" s="6">
        <v>677</v>
      </c>
      <c r="C678" s="7">
        <v>46049</v>
      </c>
      <c r="D678" s="14">
        <v>9</v>
      </c>
      <c r="E678" s="9">
        <v>11.1</v>
      </c>
      <c r="F678" s="9">
        <v>0</v>
      </c>
      <c r="G678" s="9">
        <v>2.992</v>
      </c>
      <c r="H678" s="9">
        <v>13.2</v>
      </c>
    </row>
    <row r="679" spans="1:8" x14ac:dyDescent="0.25">
      <c r="A679" s="6">
        <v>4</v>
      </c>
      <c r="B679" s="6">
        <v>678</v>
      </c>
      <c r="C679" s="7">
        <v>46050</v>
      </c>
      <c r="D679" s="14">
        <v>14</v>
      </c>
      <c r="E679" s="9">
        <v>8.1999999999999993</v>
      </c>
      <c r="F679" s="9">
        <v>0</v>
      </c>
      <c r="G679" s="9">
        <v>2.008</v>
      </c>
      <c r="H679" s="9">
        <v>9.1</v>
      </c>
    </row>
    <row r="680" spans="1:8" x14ac:dyDescent="0.25">
      <c r="A680" s="6">
        <v>5</v>
      </c>
      <c r="B680" s="6">
        <v>679</v>
      </c>
      <c r="C680" s="7">
        <v>46051</v>
      </c>
      <c r="D680" s="14">
        <v>10</v>
      </c>
      <c r="E680" s="9">
        <v>8.1999999999999993</v>
      </c>
      <c r="F680" s="9">
        <v>0</v>
      </c>
      <c r="G680" s="9">
        <v>2.008</v>
      </c>
      <c r="H680" s="9">
        <v>5.8</v>
      </c>
    </row>
    <row r="681" spans="1:8" x14ac:dyDescent="0.25">
      <c r="A681" s="6">
        <v>6</v>
      </c>
      <c r="B681" s="6">
        <v>680</v>
      </c>
      <c r="C681" s="7">
        <v>46052</v>
      </c>
      <c r="D681" s="14">
        <v>19</v>
      </c>
      <c r="E681" s="9">
        <v>12.6</v>
      </c>
      <c r="F681" s="9">
        <v>5.0999999999999997E-2</v>
      </c>
      <c r="G681" s="9">
        <v>2.008</v>
      </c>
      <c r="H681" s="9">
        <v>10.4</v>
      </c>
    </row>
    <row r="682" spans="1:8" x14ac:dyDescent="0.25">
      <c r="A682" s="6">
        <v>7</v>
      </c>
      <c r="B682" s="6">
        <v>681</v>
      </c>
      <c r="C682" s="7">
        <v>46053</v>
      </c>
      <c r="D682" s="14">
        <v>28</v>
      </c>
      <c r="E682" s="9">
        <v>18.100000000000001</v>
      </c>
      <c r="F682" s="9">
        <v>4.0000000000000001E-3</v>
      </c>
      <c r="G682" s="9">
        <v>2.992</v>
      </c>
      <c r="H682" s="9">
        <v>13.2</v>
      </c>
    </row>
    <row r="683" spans="1:8" x14ac:dyDescent="0.25">
      <c r="A683" s="6">
        <v>1</v>
      </c>
      <c r="B683" s="6">
        <v>682</v>
      </c>
      <c r="C683" s="7">
        <v>46054</v>
      </c>
      <c r="D683" s="14">
        <v>11</v>
      </c>
      <c r="E683" s="9">
        <v>19.600000000000001</v>
      </c>
      <c r="F683" s="9">
        <v>0</v>
      </c>
      <c r="G683" s="9">
        <v>0</v>
      </c>
      <c r="H683" s="9">
        <v>7.9</v>
      </c>
    </row>
    <row r="684" spans="1:8" x14ac:dyDescent="0.25">
      <c r="A684" s="6">
        <v>2</v>
      </c>
      <c r="B684" s="6">
        <v>683</v>
      </c>
      <c r="C684" s="7">
        <v>46055</v>
      </c>
      <c r="D684" s="14">
        <v>4</v>
      </c>
      <c r="E684" s="9">
        <v>23.7</v>
      </c>
      <c r="F684" s="9">
        <v>8.0000000000000002E-3</v>
      </c>
      <c r="G684" s="9">
        <v>2.008</v>
      </c>
      <c r="H684" s="9">
        <v>7</v>
      </c>
    </row>
    <row r="685" spans="1:8" x14ac:dyDescent="0.25">
      <c r="A685" s="6">
        <v>3</v>
      </c>
      <c r="B685" s="6">
        <v>684</v>
      </c>
      <c r="C685" s="7">
        <v>46056</v>
      </c>
      <c r="D685" s="14">
        <v>11</v>
      </c>
      <c r="E685" s="9">
        <v>21.6</v>
      </c>
      <c r="F685" s="9">
        <v>0</v>
      </c>
      <c r="G685" s="9">
        <v>2.008</v>
      </c>
      <c r="H685" s="9">
        <v>7.3</v>
      </c>
    </row>
    <row r="686" spans="1:8" x14ac:dyDescent="0.25">
      <c r="A686" s="6">
        <v>4</v>
      </c>
      <c r="B686" s="6">
        <v>685</v>
      </c>
      <c r="C686" s="7">
        <v>46057</v>
      </c>
      <c r="D686" s="14">
        <v>18</v>
      </c>
      <c r="E686" s="9">
        <v>21.6</v>
      </c>
      <c r="F686" s="9">
        <v>0</v>
      </c>
      <c r="G686" s="9">
        <v>0</v>
      </c>
      <c r="H686" s="9">
        <v>4.2</v>
      </c>
    </row>
    <row r="687" spans="1:8" x14ac:dyDescent="0.25">
      <c r="A687" s="6">
        <v>5</v>
      </c>
      <c r="B687" s="6">
        <v>686</v>
      </c>
      <c r="C687" s="7">
        <v>46058</v>
      </c>
      <c r="D687" s="14">
        <v>8</v>
      </c>
      <c r="E687" s="9">
        <v>24.4</v>
      </c>
      <c r="F687" s="9">
        <v>5.8999999999999997E-2</v>
      </c>
      <c r="G687" s="9">
        <v>0</v>
      </c>
      <c r="H687" s="9">
        <v>9.4</v>
      </c>
    </row>
    <row r="688" spans="1:8" x14ac:dyDescent="0.25">
      <c r="A688" s="6">
        <v>6</v>
      </c>
      <c r="B688" s="6">
        <v>687</v>
      </c>
      <c r="C688" s="7">
        <v>46059</v>
      </c>
      <c r="D688" s="14">
        <v>17</v>
      </c>
      <c r="E688" s="9">
        <v>31.1</v>
      </c>
      <c r="F688" s="9">
        <v>6.7000000000000004E-2</v>
      </c>
      <c r="G688" s="9">
        <v>0</v>
      </c>
      <c r="H688" s="9">
        <v>13.2</v>
      </c>
    </row>
    <row r="689" spans="1:9" x14ac:dyDescent="0.25">
      <c r="A689" s="6">
        <v>7</v>
      </c>
      <c r="B689" s="6">
        <v>688</v>
      </c>
      <c r="C689" s="7">
        <v>46060</v>
      </c>
      <c r="D689" s="14">
        <v>39</v>
      </c>
      <c r="E689" s="9">
        <v>18.899999999999999</v>
      </c>
      <c r="F689" s="9">
        <v>1.2E-2</v>
      </c>
      <c r="G689" s="9">
        <v>0</v>
      </c>
      <c r="H689" s="9">
        <v>7.4</v>
      </c>
    </row>
    <row r="690" spans="1:9" x14ac:dyDescent="0.25">
      <c r="A690" s="6">
        <v>1</v>
      </c>
      <c r="B690" s="6">
        <v>689</v>
      </c>
      <c r="C690" s="7">
        <v>46061</v>
      </c>
      <c r="D690" s="14">
        <v>16</v>
      </c>
      <c r="E690" s="9">
        <v>25.3</v>
      </c>
      <c r="F690" s="9">
        <v>1.6E-2</v>
      </c>
      <c r="G690" s="9">
        <v>0</v>
      </c>
      <c r="H690" s="9">
        <v>10.199999999999999</v>
      </c>
      <c r="I690" t="s">
        <v>33</v>
      </c>
    </row>
    <row r="691" spans="1:9" x14ac:dyDescent="0.25">
      <c r="A691" s="6">
        <v>2</v>
      </c>
      <c r="B691" s="6">
        <v>690</v>
      </c>
      <c r="C691" s="7">
        <v>46062</v>
      </c>
      <c r="D691" s="14">
        <v>2</v>
      </c>
      <c r="E691" s="9">
        <v>31.3</v>
      </c>
      <c r="F691" s="9">
        <v>0</v>
      </c>
      <c r="G691" s="9">
        <v>0</v>
      </c>
      <c r="H691" s="9">
        <v>7.5</v>
      </c>
    </row>
    <row r="692" spans="1:9" x14ac:dyDescent="0.25">
      <c r="A692" s="6">
        <v>3</v>
      </c>
      <c r="B692" s="6">
        <v>691</v>
      </c>
      <c r="C692" s="7">
        <v>46063</v>
      </c>
      <c r="D692" s="14">
        <v>19</v>
      </c>
      <c r="E692" s="9">
        <v>37.799999999999997</v>
      </c>
      <c r="F692" s="9">
        <v>0</v>
      </c>
      <c r="G692" s="9">
        <v>0</v>
      </c>
      <c r="H692" s="9">
        <v>11.1</v>
      </c>
    </row>
    <row r="693" spans="1:9" x14ac:dyDescent="0.25">
      <c r="A693" s="6">
        <v>4</v>
      </c>
      <c r="B693" s="6">
        <v>692</v>
      </c>
      <c r="C693" s="7">
        <v>46064</v>
      </c>
      <c r="D693" s="14">
        <v>5</v>
      </c>
      <c r="E693" s="9">
        <v>31.1</v>
      </c>
      <c r="F693" s="9">
        <v>0</v>
      </c>
      <c r="G693" s="9">
        <v>0</v>
      </c>
      <c r="H693" s="9">
        <v>9.5</v>
      </c>
    </row>
    <row r="694" spans="1:9" x14ac:dyDescent="0.25">
      <c r="A694" s="6">
        <v>5</v>
      </c>
      <c r="B694" s="6">
        <v>693</v>
      </c>
      <c r="C694" s="7">
        <v>46065</v>
      </c>
      <c r="D694" s="14">
        <v>2</v>
      </c>
      <c r="E694" s="9">
        <v>31.3</v>
      </c>
      <c r="F694" s="9">
        <v>0</v>
      </c>
      <c r="G694" s="9">
        <v>0</v>
      </c>
      <c r="H694" s="9">
        <v>4.7</v>
      </c>
    </row>
    <row r="695" spans="1:9" x14ac:dyDescent="0.25">
      <c r="A695" s="6">
        <v>6</v>
      </c>
      <c r="B695" s="6">
        <v>694</v>
      </c>
      <c r="C695" s="7">
        <v>46066</v>
      </c>
      <c r="D695" s="14">
        <v>31</v>
      </c>
      <c r="E695" s="9">
        <v>36.1</v>
      </c>
      <c r="F695" s="9">
        <v>0</v>
      </c>
      <c r="G695" s="9">
        <v>0</v>
      </c>
      <c r="H695" s="9">
        <v>7.6</v>
      </c>
    </row>
    <row r="696" spans="1:9" x14ac:dyDescent="0.25">
      <c r="A696" s="6">
        <v>7</v>
      </c>
      <c r="B696" s="6">
        <v>695</v>
      </c>
      <c r="C696" s="7">
        <v>46067</v>
      </c>
      <c r="D696" s="14">
        <v>78</v>
      </c>
      <c r="E696" s="9">
        <v>41.2</v>
      </c>
      <c r="F696" s="9">
        <v>0</v>
      </c>
      <c r="G696" s="9">
        <v>0</v>
      </c>
      <c r="H696" s="9">
        <v>3.4</v>
      </c>
      <c r="I696" s="36" t="s">
        <v>34</v>
      </c>
    </row>
    <row r="697" spans="1:9" x14ac:dyDescent="0.25">
      <c r="A697" s="6">
        <v>1</v>
      </c>
      <c r="B697" s="6">
        <v>696</v>
      </c>
      <c r="C697" s="7">
        <v>46068</v>
      </c>
      <c r="D697" s="14">
        <v>43</v>
      </c>
      <c r="E697" s="9">
        <v>42.8</v>
      </c>
      <c r="F697" s="9">
        <v>0</v>
      </c>
      <c r="G697" s="9">
        <v>0</v>
      </c>
      <c r="H697" s="9">
        <v>5.6</v>
      </c>
    </row>
    <row r="698" spans="1:9" x14ac:dyDescent="0.25">
      <c r="A698" s="6">
        <v>2</v>
      </c>
      <c r="B698" s="6">
        <v>697</v>
      </c>
      <c r="C698" s="7">
        <v>46069</v>
      </c>
      <c r="D698" s="14">
        <v>20</v>
      </c>
      <c r="E698" s="9">
        <v>47.7</v>
      </c>
      <c r="F698" s="9">
        <v>0</v>
      </c>
      <c r="G698" s="9">
        <v>0</v>
      </c>
      <c r="H698" s="9">
        <v>11.4</v>
      </c>
      <c r="I698" s="36" t="s">
        <v>35</v>
      </c>
    </row>
    <row r="699" spans="1:9" x14ac:dyDescent="0.25">
      <c r="A699" s="6">
        <v>3</v>
      </c>
      <c r="B699" s="6">
        <v>698</v>
      </c>
      <c r="C699" s="7">
        <v>46070</v>
      </c>
      <c r="D699" s="14">
        <v>12</v>
      </c>
      <c r="E699" s="9">
        <v>50.2</v>
      </c>
      <c r="F699" s="9">
        <v>3.9E-2</v>
      </c>
      <c r="G699" s="9">
        <v>0</v>
      </c>
      <c r="H699" s="9">
        <v>8.5</v>
      </c>
    </row>
    <row r="700" spans="1:9" x14ac:dyDescent="0.25">
      <c r="A700" s="6">
        <v>4</v>
      </c>
      <c r="B700" s="6">
        <v>699</v>
      </c>
      <c r="C700" s="7">
        <v>46071</v>
      </c>
      <c r="D700" s="14">
        <v>3</v>
      </c>
      <c r="E700" s="9">
        <v>55.2</v>
      </c>
      <c r="F700" s="9">
        <v>1.2E-2</v>
      </c>
      <c r="G700" s="9">
        <v>0</v>
      </c>
      <c r="H700" s="9">
        <v>14.5</v>
      </c>
      <c r="I700" s="36" t="s">
        <v>37</v>
      </c>
    </row>
    <row r="701" spans="1:9" x14ac:dyDescent="0.25">
      <c r="A701" s="6">
        <v>5</v>
      </c>
      <c r="B701" s="6">
        <v>700</v>
      </c>
      <c r="C701" s="7">
        <v>46072</v>
      </c>
      <c r="D701" s="14">
        <v>10</v>
      </c>
      <c r="E701" s="9">
        <v>47.5</v>
      </c>
      <c r="F701" s="9">
        <v>5.8999999999999997E-2</v>
      </c>
      <c r="G701" s="9">
        <v>0</v>
      </c>
      <c r="H701" s="9">
        <v>7.8</v>
      </c>
    </row>
    <row r="702" spans="1:9" x14ac:dyDescent="0.25">
      <c r="A702" s="6">
        <v>6</v>
      </c>
      <c r="B702" s="6">
        <v>701</v>
      </c>
      <c r="C702" s="7">
        <v>46073</v>
      </c>
      <c r="D702" s="14">
        <v>18</v>
      </c>
      <c r="E702" s="9">
        <v>35.4</v>
      </c>
      <c r="F702" s="9">
        <v>0</v>
      </c>
      <c r="G702" s="9">
        <v>0</v>
      </c>
      <c r="H702" s="9">
        <v>17.5</v>
      </c>
      <c r="I702" s="36" t="s">
        <v>10</v>
      </c>
    </row>
    <row r="703" spans="1:9" x14ac:dyDescent="0.25">
      <c r="A703" s="6">
        <v>7</v>
      </c>
      <c r="B703" s="6">
        <v>702</v>
      </c>
      <c r="C703" s="7">
        <v>46074</v>
      </c>
      <c r="D703" s="14">
        <v>19</v>
      </c>
      <c r="E703" s="9">
        <v>27.1</v>
      </c>
      <c r="F703" s="9">
        <v>0.02</v>
      </c>
      <c r="G703" s="9">
        <v>0</v>
      </c>
      <c r="H703" s="9">
        <v>8.1</v>
      </c>
    </row>
    <row r="704" spans="1:9" x14ac:dyDescent="0.25">
      <c r="A704" s="6">
        <v>1</v>
      </c>
      <c r="B704" s="6">
        <v>703</v>
      </c>
      <c r="C704" s="7">
        <v>46075</v>
      </c>
      <c r="D704" s="14">
        <v>29</v>
      </c>
      <c r="E704" s="9">
        <v>24.4</v>
      </c>
      <c r="F704" s="9">
        <v>0</v>
      </c>
      <c r="G704" s="9">
        <v>0</v>
      </c>
      <c r="H704" s="9">
        <v>15</v>
      </c>
    </row>
    <row r="705" spans="1:9" x14ac:dyDescent="0.25">
      <c r="A705" s="6">
        <v>2</v>
      </c>
      <c r="B705" s="6">
        <v>704</v>
      </c>
      <c r="C705" s="7">
        <v>46076</v>
      </c>
      <c r="D705" s="14">
        <v>12</v>
      </c>
      <c r="E705" s="9">
        <v>21.9</v>
      </c>
      <c r="F705" s="9">
        <v>0</v>
      </c>
      <c r="G705" s="9">
        <v>0</v>
      </c>
      <c r="H705" s="9">
        <v>10.8</v>
      </c>
    </row>
    <row r="706" spans="1:9" x14ac:dyDescent="0.25">
      <c r="A706" s="6">
        <v>3</v>
      </c>
      <c r="B706" s="6">
        <v>705</v>
      </c>
      <c r="C706" s="7">
        <v>46077</v>
      </c>
      <c r="D706" s="14">
        <v>8</v>
      </c>
      <c r="E706" s="9">
        <v>25.7</v>
      </c>
      <c r="F706" s="9">
        <v>0</v>
      </c>
      <c r="G706" s="9">
        <v>0</v>
      </c>
      <c r="H706" s="9">
        <v>12.7</v>
      </c>
    </row>
    <row r="707" spans="1:9" x14ac:dyDescent="0.25">
      <c r="A707" s="6">
        <v>4</v>
      </c>
      <c r="B707" s="6">
        <v>706</v>
      </c>
      <c r="C707" s="7">
        <v>46078</v>
      </c>
      <c r="D707" s="14">
        <v>16</v>
      </c>
      <c r="E707" s="9">
        <v>32.5</v>
      </c>
      <c r="F707" s="9">
        <v>0</v>
      </c>
      <c r="G707" s="9">
        <v>0.36</v>
      </c>
      <c r="H707" s="9">
        <v>9.4</v>
      </c>
    </row>
    <row r="708" spans="1:9" x14ac:dyDescent="0.25">
      <c r="A708" s="6">
        <v>5</v>
      </c>
      <c r="B708" s="6">
        <v>707</v>
      </c>
      <c r="C708" s="7">
        <v>46079</v>
      </c>
      <c r="D708" s="14">
        <v>15</v>
      </c>
      <c r="E708" s="9">
        <v>30.2</v>
      </c>
      <c r="F708" s="9">
        <v>0</v>
      </c>
      <c r="G708" s="9">
        <v>0</v>
      </c>
      <c r="H708" s="9">
        <v>5.6</v>
      </c>
    </row>
    <row r="709" spans="1:9" x14ac:dyDescent="0.25">
      <c r="A709" s="6">
        <v>6</v>
      </c>
      <c r="B709" s="6">
        <v>708</v>
      </c>
      <c r="C709" s="7">
        <v>46080</v>
      </c>
      <c r="D709" s="14">
        <v>28</v>
      </c>
      <c r="E709" s="9">
        <v>43.2</v>
      </c>
      <c r="F709" s="9">
        <v>0</v>
      </c>
      <c r="G709" s="9">
        <v>0</v>
      </c>
      <c r="H709" s="9">
        <v>10.3</v>
      </c>
      <c r="I709" s="36" t="s">
        <v>10</v>
      </c>
    </row>
    <row r="710" spans="1:9" x14ac:dyDescent="0.25">
      <c r="A710" s="6">
        <v>7</v>
      </c>
      <c r="B710" s="6">
        <v>709</v>
      </c>
      <c r="C710" s="7">
        <v>46081</v>
      </c>
      <c r="D710" s="14">
        <v>17</v>
      </c>
      <c r="E710" s="9">
        <v>39.9</v>
      </c>
      <c r="F710" s="9">
        <v>0</v>
      </c>
      <c r="G710" s="9">
        <v>0</v>
      </c>
      <c r="H710" s="9">
        <v>14.3</v>
      </c>
    </row>
    <row r="711" spans="1:9" x14ac:dyDescent="0.25">
      <c r="A711" s="6">
        <v>1</v>
      </c>
      <c r="B711" s="6">
        <v>710</v>
      </c>
      <c r="C711" s="7">
        <v>46082</v>
      </c>
      <c r="D711" s="14">
        <v>70</v>
      </c>
      <c r="E711" s="9">
        <v>27.5</v>
      </c>
      <c r="F711" s="9">
        <v>0</v>
      </c>
      <c r="G711" s="9">
        <v>0</v>
      </c>
      <c r="H711" s="9">
        <v>12.5</v>
      </c>
    </row>
    <row r="712" spans="1:9" x14ac:dyDescent="0.25">
      <c r="A712" s="6">
        <v>2</v>
      </c>
      <c r="B712" s="6">
        <v>711</v>
      </c>
      <c r="C712" s="7">
        <v>46083</v>
      </c>
      <c r="D712" s="14">
        <v>21</v>
      </c>
      <c r="E712" s="9">
        <v>33.799999999999997</v>
      </c>
      <c r="F712" s="9">
        <v>0</v>
      </c>
      <c r="G712" s="9">
        <v>0</v>
      </c>
      <c r="H712" s="9">
        <v>7.3</v>
      </c>
    </row>
    <row r="713" spans="1:9" x14ac:dyDescent="0.25">
      <c r="A713" s="6">
        <v>3</v>
      </c>
      <c r="B713" s="6">
        <v>712</v>
      </c>
      <c r="C713" s="7">
        <v>46084</v>
      </c>
      <c r="D713" s="14">
        <v>9</v>
      </c>
      <c r="E713" s="9">
        <v>36.5</v>
      </c>
      <c r="F713" s="9">
        <v>3.1E-2</v>
      </c>
      <c r="G713" s="9">
        <v>0</v>
      </c>
      <c r="H713" s="9">
        <v>6.5</v>
      </c>
    </row>
    <row r="714" spans="1:9" x14ac:dyDescent="0.25">
      <c r="A714" s="6">
        <v>4</v>
      </c>
      <c r="B714" s="6">
        <v>713</v>
      </c>
      <c r="C714" s="7">
        <v>46085</v>
      </c>
      <c r="D714" s="14">
        <v>18</v>
      </c>
      <c r="E714" s="9">
        <v>37.9</v>
      </c>
      <c r="F714" s="9">
        <v>7.0000000000000007E-2</v>
      </c>
      <c r="G714" s="9">
        <v>0</v>
      </c>
      <c r="H714" s="9">
        <v>8.3000000000000007</v>
      </c>
    </row>
    <row r="715" spans="1:9" x14ac:dyDescent="0.25">
      <c r="A715" s="6">
        <v>5</v>
      </c>
      <c r="B715" s="6">
        <v>714</v>
      </c>
      <c r="C715" s="7">
        <v>46086</v>
      </c>
      <c r="D715" s="14">
        <v>7</v>
      </c>
      <c r="E715" s="9">
        <v>43.3</v>
      </c>
      <c r="F715" s="9">
        <v>0.03</v>
      </c>
      <c r="G715" s="9">
        <v>0</v>
      </c>
      <c r="H715" s="9">
        <v>5</v>
      </c>
    </row>
    <row r="716" spans="1:9" x14ac:dyDescent="0.25">
      <c r="A716" s="6">
        <v>6</v>
      </c>
      <c r="B716" s="6">
        <v>715</v>
      </c>
      <c r="C716" s="7">
        <v>46087</v>
      </c>
      <c r="D716" s="14">
        <v>6</v>
      </c>
      <c r="E716" s="9">
        <v>54.5</v>
      </c>
      <c r="F716" s="9">
        <v>0.65</v>
      </c>
      <c r="G716" s="9">
        <v>0</v>
      </c>
      <c r="H716" s="9">
        <v>7.2</v>
      </c>
      <c r="I716" s="36" t="s">
        <v>10</v>
      </c>
    </row>
    <row r="717" spans="1:9" x14ac:dyDescent="0.25">
      <c r="A717" s="6">
        <v>7</v>
      </c>
      <c r="B717" s="6">
        <v>716</v>
      </c>
      <c r="C717" s="7">
        <v>46088</v>
      </c>
      <c r="D717" s="14">
        <v>13</v>
      </c>
      <c r="E717" s="9">
        <v>52.3</v>
      </c>
      <c r="F717" s="9">
        <v>0.2</v>
      </c>
      <c r="G717" s="9">
        <v>0</v>
      </c>
      <c r="H717" s="9">
        <v>14.5</v>
      </c>
    </row>
    <row r="718" spans="1:9" x14ac:dyDescent="0.25">
      <c r="A718" s="6">
        <v>1</v>
      </c>
      <c r="B718" s="6">
        <v>717</v>
      </c>
      <c r="C718" s="7">
        <v>46089</v>
      </c>
      <c r="D718" s="14">
        <v>73</v>
      </c>
      <c r="E718" s="9">
        <v>48.6</v>
      </c>
      <c r="F718" s="9">
        <v>0</v>
      </c>
      <c r="G718" s="9">
        <v>0</v>
      </c>
      <c r="H718" s="9">
        <v>16.5</v>
      </c>
      <c r="I718" t="s">
        <v>53</v>
      </c>
    </row>
    <row r="719" spans="1:9" x14ac:dyDescent="0.25">
      <c r="A719" s="6">
        <v>2</v>
      </c>
      <c r="B719" s="6">
        <v>718</v>
      </c>
      <c r="C719" s="7">
        <v>46090</v>
      </c>
      <c r="D719" s="14">
        <v>12</v>
      </c>
      <c r="E719" s="9">
        <v>59.4</v>
      </c>
      <c r="F719" s="9">
        <v>0</v>
      </c>
      <c r="G719" s="9">
        <v>0</v>
      </c>
      <c r="H719" s="9">
        <v>13.4</v>
      </c>
    </row>
    <row r="720" spans="1:9" x14ac:dyDescent="0.25">
      <c r="A720" s="6">
        <v>3</v>
      </c>
      <c r="B720" s="6">
        <v>719</v>
      </c>
      <c r="C720" s="7">
        <v>46091</v>
      </c>
      <c r="D720" s="14">
        <v>27</v>
      </c>
      <c r="E720" s="9">
        <v>51.8</v>
      </c>
      <c r="F720" s="9">
        <v>1.1599999999999999</v>
      </c>
      <c r="G720" s="9">
        <v>0</v>
      </c>
      <c r="H720" s="9">
        <v>8.1999999999999993</v>
      </c>
    </row>
    <row r="721" spans="1:10" x14ac:dyDescent="0.25">
      <c r="A721" s="6">
        <v>4</v>
      </c>
      <c r="B721" s="6">
        <v>720</v>
      </c>
      <c r="C721" s="7">
        <v>46092</v>
      </c>
      <c r="D721" s="14">
        <v>24</v>
      </c>
      <c r="E721" s="9">
        <v>40.5</v>
      </c>
      <c r="F721" s="9">
        <v>0.36</v>
      </c>
      <c r="G721" s="9">
        <v>0</v>
      </c>
      <c r="H721" s="9">
        <v>13.7</v>
      </c>
    </row>
    <row r="722" spans="1:10" x14ac:dyDescent="0.25">
      <c r="A722" s="6">
        <v>5</v>
      </c>
      <c r="B722" s="6">
        <v>721</v>
      </c>
      <c r="C722" s="7">
        <v>46093</v>
      </c>
      <c r="D722" s="14">
        <v>4</v>
      </c>
      <c r="E722" s="9">
        <v>39.9</v>
      </c>
      <c r="F722" s="9">
        <v>0</v>
      </c>
      <c r="G722" s="9">
        <v>0</v>
      </c>
      <c r="H722" s="9">
        <v>10.9</v>
      </c>
    </row>
    <row r="723" spans="1:10" x14ac:dyDescent="0.25">
      <c r="A723" s="6">
        <v>6</v>
      </c>
      <c r="B723" s="6">
        <v>722</v>
      </c>
      <c r="C723" s="7">
        <v>46094</v>
      </c>
      <c r="D723" s="14">
        <v>28</v>
      </c>
      <c r="E723" s="9">
        <v>44.1</v>
      </c>
      <c r="F723" s="9">
        <v>0.06</v>
      </c>
      <c r="G723" s="9">
        <v>0</v>
      </c>
      <c r="H723" s="9">
        <v>17</v>
      </c>
      <c r="I723" s="36" t="s">
        <v>10</v>
      </c>
    </row>
    <row r="724" spans="1:10" x14ac:dyDescent="0.25">
      <c r="A724" s="6">
        <v>7</v>
      </c>
      <c r="B724" s="6">
        <v>723</v>
      </c>
      <c r="C724" s="7">
        <v>46095</v>
      </c>
      <c r="D724" s="14">
        <v>17</v>
      </c>
      <c r="E724" s="9">
        <v>38.299999999999997</v>
      </c>
      <c r="F724" s="9">
        <v>0</v>
      </c>
      <c r="G724" s="9">
        <v>0</v>
      </c>
      <c r="H724" s="9">
        <v>10</v>
      </c>
    </row>
    <row r="725" spans="1:10" x14ac:dyDescent="0.25">
      <c r="A725" s="6">
        <v>1</v>
      </c>
      <c r="B725" s="6">
        <v>724</v>
      </c>
      <c r="C725" s="7">
        <v>46096</v>
      </c>
      <c r="D725" s="14">
        <v>66</v>
      </c>
      <c r="E725" s="9">
        <v>38.1</v>
      </c>
      <c r="F725" s="9">
        <v>1.42</v>
      </c>
      <c r="G725" s="9">
        <v>0.14000000000000001</v>
      </c>
      <c r="H725" s="9">
        <v>15.7</v>
      </c>
    </row>
    <row r="726" spans="1:10" x14ac:dyDescent="0.25">
      <c r="A726" s="6">
        <v>2</v>
      </c>
      <c r="B726" s="6">
        <v>725</v>
      </c>
      <c r="C726" s="7">
        <v>46097</v>
      </c>
      <c r="D726" s="14">
        <v>7</v>
      </c>
      <c r="E726" s="9">
        <v>30.4</v>
      </c>
      <c r="F726" s="9">
        <v>0</v>
      </c>
      <c r="G726" s="9">
        <v>0</v>
      </c>
      <c r="H726" s="9">
        <v>13.3</v>
      </c>
    </row>
    <row r="727" spans="1:10" x14ac:dyDescent="0.25">
      <c r="A727" s="6">
        <v>3</v>
      </c>
      <c r="B727" s="6">
        <v>726</v>
      </c>
      <c r="C727" s="7">
        <v>46098</v>
      </c>
      <c r="D727" s="14">
        <v>13</v>
      </c>
      <c r="E727" s="9">
        <v>29.5</v>
      </c>
      <c r="F727" s="9">
        <v>0.02</v>
      </c>
      <c r="G727" s="9">
        <v>0</v>
      </c>
      <c r="H727" s="9">
        <v>10.4</v>
      </c>
      <c r="I727" s="36" t="s">
        <v>38</v>
      </c>
      <c r="J727" s="9">
        <v>2.46</v>
      </c>
    </row>
    <row r="728" spans="1:10" x14ac:dyDescent="0.25">
      <c r="A728" s="6">
        <v>4</v>
      </c>
      <c r="B728" s="6">
        <v>727</v>
      </c>
      <c r="C728" s="7">
        <v>46099</v>
      </c>
      <c r="D728" s="14">
        <v>14.5</v>
      </c>
      <c r="E728" s="9">
        <v>34.200000000000003</v>
      </c>
      <c r="F728" s="9">
        <v>0</v>
      </c>
      <c r="G728" s="9">
        <v>0</v>
      </c>
      <c r="H728" s="9">
        <v>10.3</v>
      </c>
      <c r="J728" s="9">
        <v>2.96</v>
      </c>
    </row>
    <row r="729" spans="1:10" x14ac:dyDescent="0.25">
      <c r="A729" s="6">
        <v>5</v>
      </c>
      <c r="B729" s="6">
        <v>728</v>
      </c>
      <c r="C729" s="7">
        <v>46100</v>
      </c>
      <c r="D729" s="14">
        <v>12.5</v>
      </c>
      <c r="E729" s="9">
        <v>38.5</v>
      </c>
      <c r="F729" s="9">
        <v>0.02</v>
      </c>
      <c r="G729" s="9">
        <v>0</v>
      </c>
      <c r="H729" s="9">
        <v>10.7</v>
      </c>
      <c r="J729" s="9">
        <v>2.0099999999999998</v>
      </c>
    </row>
    <row r="730" spans="1:10" x14ac:dyDescent="0.25">
      <c r="A730" s="6">
        <v>6</v>
      </c>
      <c r="B730" s="6">
        <v>729</v>
      </c>
      <c r="C730" s="7">
        <v>46101</v>
      </c>
      <c r="D730" s="14">
        <v>21.5</v>
      </c>
      <c r="E730" s="9">
        <v>49</v>
      </c>
      <c r="F730" s="9">
        <v>0</v>
      </c>
      <c r="G730" s="9">
        <v>0</v>
      </c>
      <c r="H730" s="9">
        <v>9</v>
      </c>
      <c r="J730" s="9">
        <v>7.0750000000000002</v>
      </c>
    </row>
    <row r="731" spans="1:10" x14ac:dyDescent="0.25">
      <c r="A731" s="6">
        <v>7</v>
      </c>
      <c r="B731" s="6">
        <v>730</v>
      </c>
      <c r="C731" s="7">
        <v>46102</v>
      </c>
      <c r="D731" s="14">
        <v>35.5</v>
      </c>
      <c r="E731" s="9">
        <v>58</v>
      </c>
      <c r="F731" s="9">
        <v>0</v>
      </c>
      <c r="G731" s="9">
        <v>0</v>
      </c>
      <c r="H731" s="9">
        <v>8</v>
      </c>
      <c r="J731" s="9">
        <v>15.074999999999999</v>
      </c>
    </row>
    <row r="732" spans="1:10" x14ac:dyDescent="0.25">
      <c r="A732" s="6">
        <v>1</v>
      </c>
      <c r="B732" s="6">
        <v>731</v>
      </c>
      <c r="C732" s="7">
        <v>46103</v>
      </c>
      <c r="D732" s="14">
        <v>28.5</v>
      </c>
      <c r="E732" s="9">
        <v>43.5</v>
      </c>
      <c r="F732" s="9">
        <v>0.02</v>
      </c>
      <c r="G732" s="9">
        <v>0</v>
      </c>
      <c r="H732" s="9">
        <v>17</v>
      </c>
      <c r="J732" s="9">
        <v>7.94</v>
      </c>
    </row>
    <row r="733" spans="1:10" x14ac:dyDescent="0.25">
      <c r="A733" s="6">
        <v>2</v>
      </c>
      <c r="B733" s="6">
        <v>732</v>
      </c>
      <c r="C733" s="7">
        <v>46104</v>
      </c>
      <c r="D733" s="14">
        <v>21</v>
      </c>
      <c r="E733" s="9">
        <v>34</v>
      </c>
      <c r="F733" s="9">
        <v>0</v>
      </c>
      <c r="G733" s="9">
        <v>0</v>
      </c>
      <c r="H733" s="9">
        <v>8</v>
      </c>
      <c r="J733" s="9">
        <v>6.375</v>
      </c>
    </row>
    <row r="734" spans="1:10" x14ac:dyDescent="0.25">
      <c r="A734" s="6">
        <v>3</v>
      </c>
      <c r="B734" s="6">
        <v>733</v>
      </c>
      <c r="C734" s="7">
        <v>46105</v>
      </c>
      <c r="D734" s="14">
        <v>17</v>
      </c>
      <c r="E734" s="9">
        <v>39.5</v>
      </c>
      <c r="F734" s="9">
        <v>0</v>
      </c>
      <c r="G734" s="9">
        <v>0</v>
      </c>
      <c r="H734" s="9">
        <v>5</v>
      </c>
      <c r="J734" s="9">
        <v>3.4450000000000003</v>
      </c>
    </row>
    <row r="735" spans="1:10" x14ac:dyDescent="0.25">
      <c r="A735" s="6">
        <v>4</v>
      </c>
      <c r="B735" s="6">
        <v>734</v>
      </c>
      <c r="C735" s="7">
        <v>46106</v>
      </c>
      <c r="D735" s="14">
        <v>18.5</v>
      </c>
      <c r="E735" s="9">
        <v>47.5</v>
      </c>
      <c r="F735" s="9">
        <v>0</v>
      </c>
      <c r="G735" s="9">
        <v>0</v>
      </c>
      <c r="H735" s="9">
        <v>6</v>
      </c>
      <c r="J735" s="9">
        <v>4.0150000000000006</v>
      </c>
    </row>
    <row r="736" spans="1:10" x14ac:dyDescent="0.25">
      <c r="A736" s="6">
        <v>5</v>
      </c>
      <c r="B736" s="6">
        <v>735</v>
      </c>
      <c r="C736" s="7">
        <v>46107</v>
      </c>
      <c r="D736" s="14">
        <v>20.5</v>
      </c>
      <c r="E736" s="9">
        <v>42.5</v>
      </c>
      <c r="F736" s="9">
        <v>0</v>
      </c>
      <c r="G736" s="9">
        <v>0</v>
      </c>
      <c r="H736" s="9">
        <v>8</v>
      </c>
      <c r="J736" s="9">
        <v>4.6199999999999992</v>
      </c>
    </row>
    <row r="737" spans="1:10" x14ac:dyDescent="0.25">
      <c r="A737" s="6">
        <v>6</v>
      </c>
      <c r="B737" s="6">
        <v>736</v>
      </c>
      <c r="C737" s="7">
        <v>46108</v>
      </c>
      <c r="D737" s="14">
        <v>21.5</v>
      </c>
      <c r="E737" s="9">
        <v>33.5</v>
      </c>
      <c r="F737" s="9">
        <v>0</v>
      </c>
      <c r="G737" s="9">
        <v>0</v>
      </c>
      <c r="H737" s="9">
        <v>8</v>
      </c>
      <c r="I737" s="36" t="s">
        <v>59</v>
      </c>
      <c r="J737" s="9">
        <v>3.0550000000000002</v>
      </c>
    </row>
    <row r="738" spans="1:10" x14ac:dyDescent="0.25">
      <c r="A738" s="6">
        <v>7</v>
      </c>
      <c r="B738" s="6">
        <v>737</v>
      </c>
      <c r="C738" s="7">
        <v>46109</v>
      </c>
      <c r="D738" s="14">
        <v>21</v>
      </c>
      <c r="E738" s="9">
        <v>42</v>
      </c>
      <c r="F738" s="9">
        <v>0</v>
      </c>
      <c r="G738" s="9">
        <v>0</v>
      </c>
      <c r="H738" s="9">
        <v>4</v>
      </c>
      <c r="J738" s="9">
        <v>6.48</v>
      </c>
    </row>
    <row r="739" spans="1:10" x14ac:dyDescent="0.25">
      <c r="A739" s="6">
        <v>1</v>
      </c>
      <c r="B739" s="6">
        <v>738</v>
      </c>
      <c r="C739" s="7">
        <v>46110</v>
      </c>
      <c r="D739" s="14">
        <v>38.5</v>
      </c>
      <c r="E739" s="9">
        <v>47</v>
      </c>
      <c r="F739" s="9">
        <v>0</v>
      </c>
      <c r="G739" s="9">
        <v>0</v>
      </c>
      <c r="H739" s="9">
        <v>6</v>
      </c>
      <c r="J739" s="9">
        <v>5.71</v>
      </c>
    </row>
    <row r="740" spans="1:10" x14ac:dyDescent="0.25">
      <c r="A740" s="6">
        <v>2</v>
      </c>
      <c r="B740" s="6">
        <v>739</v>
      </c>
      <c r="C740" s="7">
        <v>46111</v>
      </c>
      <c r="D740" s="14">
        <v>15</v>
      </c>
      <c r="E740" s="9">
        <v>45.5</v>
      </c>
      <c r="F740" s="9">
        <v>0</v>
      </c>
      <c r="G740" s="9">
        <v>0</v>
      </c>
      <c r="H740" s="9">
        <v>13</v>
      </c>
      <c r="J740" s="9">
        <v>3.0550000000000002</v>
      </c>
    </row>
    <row r="741" spans="1:10" x14ac:dyDescent="0.25">
      <c r="A741" s="6">
        <v>3</v>
      </c>
      <c r="B741" s="6">
        <v>740</v>
      </c>
      <c r="C741" s="7">
        <v>46112</v>
      </c>
      <c r="D741" s="14">
        <v>12</v>
      </c>
      <c r="E741" s="9">
        <v>42</v>
      </c>
      <c r="F741" s="9">
        <v>0.1</v>
      </c>
      <c r="G741" s="9">
        <v>0</v>
      </c>
      <c r="H741" s="9">
        <v>9</v>
      </c>
      <c r="J741" s="9">
        <v>2.3149999999999999</v>
      </c>
    </row>
    <row r="742" spans="1:10" x14ac:dyDescent="0.25">
      <c r="A742" s="6">
        <v>4</v>
      </c>
      <c r="B742" s="6">
        <v>741</v>
      </c>
      <c r="C742" s="7">
        <v>46113</v>
      </c>
      <c r="D742" s="14">
        <v>16</v>
      </c>
      <c r="E742" s="9">
        <v>49.5</v>
      </c>
      <c r="F742" s="9">
        <v>0</v>
      </c>
      <c r="G742" s="9">
        <v>0</v>
      </c>
      <c r="H742" s="9">
        <v>14</v>
      </c>
      <c r="J742" s="9">
        <v>4.71</v>
      </c>
    </row>
    <row r="743" spans="1:10" x14ac:dyDescent="0.25">
      <c r="A743" s="6">
        <v>5</v>
      </c>
      <c r="B743" s="6">
        <v>742</v>
      </c>
      <c r="C743" s="7">
        <v>46114</v>
      </c>
      <c r="D743" s="14">
        <v>12.5</v>
      </c>
      <c r="E743" s="9">
        <v>51</v>
      </c>
      <c r="F743" s="9">
        <v>0.23</v>
      </c>
      <c r="G743" s="9">
        <v>0</v>
      </c>
      <c r="H743" s="9">
        <v>12</v>
      </c>
      <c r="J743" s="9">
        <v>4.67</v>
      </c>
    </row>
    <row r="744" spans="1:10" x14ac:dyDescent="0.25">
      <c r="A744" s="6">
        <v>6</v>
      </c>
      <c r="B744" s="6">
        <v>743</v>
      </c>
      <c r="C744" s="7">
        <v>46115</v>
      </c>
      <c r="D744" s="14">
        <v>14</v>
      </c>
      <c r="E744" s="9">
        <v>50</v>
      </c>
      <c r="F744" s="9">
        <v>0.4</v>
      </c>
      <c r="G744" s="9">
        <v>0</v>
      </c>
      <c r="H744" s="9">
        <v>12</v>
      </c>
      <c r="I744" s="36" t="s">
        <v>11</v>
      </c>
      <c r="J744" s="9">
        <v>3.5049999999999999</v>
      </c>
    </row>
    <row r="745" spans="1:10" x14ac:dyDescent="0.25">
      <c r="A745" s="6">
        <v>7</v>
      </c>
      <c r="B745" s="6">
        <v>744</v>
      </c>
      <c r="C745" s="7">
        <v>46116</v>
      </c>
      <c r="D745" s="14">
        <v>17</v>
      </c>
      <c r="E745" s="9">
        <v>49.5</v>
      </c>
      <c r="F745" s="9">
        <v>0.19</v>
      </c>
      <c r="G745" s="9">
        <v>0</v>
      </c>
      <c r="H745" s="9">
        <v>7</v>
      </c>
      <c r="J745" s="9">
        <v>5.6750000000000007</v>
      </c>
    </row>
    <row r="746" spans="1:10" x14ac:dyDescent="0.25">
      <c r="A746" s="6">
        <v>1</v>
      </c>
      <c r="B746" s="6">
        <v>745</v>
      </c>
      <c r="C746" s="7">
        <v>46117</v>
      </c>
      <c r="D746" s="14">
        <v>78</v>
      </c>
      <c r="E746" s="9">
        <v>50.5</v>
      </c>
      <c r="F746" s="9">
        <v>0.35</v>
      </c>
      <c r="G746" s="9">
        <v>0</v>
      </c>
      <c r="H746" s="9">
        <v>12</v>
      </c>
      <c r="I746" s="36" t="s">
        <v>12</v>
      </c>
      <c r="J746" s="9">
        <v>18.61</v>
      </c>
    </row>
    <row r="747" spans="1:10" x14ac:dyDescent="0.25">
      <c r="A747" s="6">
        <v>2</v>
      </c>
      <c r="B747" s="6">
        <v>746</v>
      </c>
      <c r="C747" s="7">
        <v>46118</v>
      </c>
      <c r="D747" s="14">
        <v>13.5</v>
      </c>
      <c r="E747" s="9">
        <v>51</v>
      </c>
      <c r="F747" s="9">
        <v>0</v>
      </c>
      <c r="G747" s="9">
        <v>0</v>
      </c>
      <c r="H747" s="9">
        <v>10</v>
      </c>
      <c r="J747" s="9">
        <v>2.62</v>
      </c>
    </row>
    <row r="748" spans="1:10" x14ac:dyDescent="0.25">
      <c r="A748" s="6">
        <v>3</v>
      </c>
      <c r="B748" s="6">
        <v>747</v>
      </c>
      <c r="C748" s="7">
        <v>46119</v>
      </c>
      <c r="D748" s="14">
        <v>12.5</v>
      </c>
      <c r="E748" s="9">
        <v>52.5</v>
      </c>
      <c r="F748" s="9">
        <v>0</v>
      </c>
      <c r="G748" s="9">
        <v>0</v>
      </c>
      <c r="H748" s="9">
        <v>10</v>
      </c>
      <c r="J748" s="9">
        <v>1.72</v>
      </c>
    </row>
    <row r="749" spans="1:10" x14ac:dyDescent="0.25">
      <c r="A749" s="6">
        <v>4</v>
      </c>
      <c r="B749" s="6">
        <v>748</v>
      </c>
      <c r="C749" s="7">
        <v>46120</v>
      </c>
      <c r="D749" s="14">
        <v>19</v>
      </c>
      <c r="E749" s="9">
        <v>52</v>
      </c>
      <c r="F749" s="9">
        <v>0.66</v>
      </c>
      <c r="G749" s="9">
        <v>0</v>
      </c>
      <c r="H749" s="9">
        <v>4</v>
      </c>
      <c r="J749" s="9">
        <v>5.1400000000000006</v>
      </c>
    </row>
    <row r="750" spans="1:10" x14ac:dyDescent="0.25">
      <c r="A750" s="6">
        <v>5</v>
      </c>
      <c r="B750" s="6">
        <v>749</v>
      </c>
      <c r="C750" s="7">
        <v>46121</v>
      </c>
      <c r="D750" s="14">
        <v>15</v>
      </c>
      <c r="E750" s="9">
        <v>52</v>
      </c>
      <c r="F750" s="9">
        <v>0.2</v>
      </c>
      <c r="G750" s="9">
        <v>0</v>
      </c>
      <c r="H750" s="9">
        <v>7</v>
      </c>
      <c r="J750" s="9">
        <v>3.13</v>
      </c>
    </row>
    <row r="751" spans="1:10" x14ac:dyDescent="0.25">
      <c r="A751" s="6">
        <v>6</v>
      </c>
      <c r="B751" s="6">
        <v>750</v>
      </c>
      <c r="C751" s="7">
        <v>46122</v>
      </c>
      <c r="D751" s="14">
        <v>15</v>
      </c>
      <c r="E751" s="9">
        <v>51</v>
      </c>
      <c r="F751" s="9">
        <v>0.36</v>
      </c>
      <c r="G751" s="9">
        <v>0</v>
      </c>
      <c r="H751" s="9">
        <v>8</v>
      </c>
      <c r="J751" s="9">
        <v>3.17</v>
      </c>
    </row>
    <row r="752" spans="1:10" x14ac:dyDescent="0.25">
      <c r="A752" s="6">
        <v>7</v>
      </c>
      <c r="B752" s="6">
        <v>751</v>
      </c>
      <c r="C752" s="7">
        <v>46123</v>
      </c>
      <c r="D752" s="14">
        <v>25</v>
      </c>
      <c r="E752" s="9">
        <v>47.5</v>
      </c>
      <c r="F752" s="9">
        <v>0.25</v>
      </c>
      <c r="G752" s="9">
        <v>0</v>
      </c>
      <c r="H752" s="9">
        <v>15</v>
      </c>
      <c r="J752" s="9">
        <v>7.0449999999999999</v>
      </c>
    </row>
    <row r="753" spans="1:10" x14ac:dyDescent="0.25">
      <c r="A753" s="6">
        <v>1</v>
      </c>
      <c r="B753" s="6">
        <v>752</v>
      </c>
      <c r="C753" s="7">
        <v>46124</v>
      </c>
      <c r="D753" s="14">
        <v>29.5</v>
      </c>
      <c r="E753" s="9">
        <v>46.5</v>
      </c>
      <c r="F753" s="9">
        <v>0.06</v>
      </c>
      <c r="G753" s="9">
        <v>0</v>
      </c>
      <c r="H753" s="9">
        <v>10</v>
      </c>
      <c r="J753" s="9">
        <v>6.22</v>
      </c>
    </row>
    <row r="754" spans="1:10" x14ac:dyDescent="0.25">
      <c r="A754" s="6">
        <v>2</v>
      </c>
      <c r="B754" s="6">
        <v>753</v>
      </c>
      <c r="C754" s="7">
        <v>46125</v>
      </c>
      <c r="D754" s="14">
        <v>26</v>
      </c>
      <c r="E754" s="9">
        <v>48.5</v>
      </c>
      <c r="F754" s="9">
        <v>0.04</v>
      </c>
      <c r="G754" s="9">
        <v>0</v>
      </c>
      <c r="H754" s="9">
        <v>4</v>
      </c>
      <c r="J754" s="9">
        <v>8.64</v>
      </c>
    </row>
    <row r="755" spans="1:10" x14ac:dyDescent="0.25">
      <c r="A755" s="6">
        <v>3</v>
      </c>
      <c r="B755" s="6">
        <v>754</v>
      </c>
      <c r="C755" s="7">
        <v>46126</v>
      </c>
      <c r="D755" s="14">
        <v>10.5</v>
      </c>
      <c r="E755" s="9">
        <v>53.5</v>
      </c>
      <c r="F755" s="9">
        <v>0.18</v>
      </c>
      <c r="G755" s="9">
        <v>0</v>
      </c>
      <c r="H755" s="9">
        <v>9</v>
      </c>
      <c r="J755" s="9">
        <v>2.4950000000000001</v>
      </c>
    </row>
    <row r="756" spans="1:10" x14ac:dyDescent="0.25">
      <c r="A756" s="6">
        <v>4</v>
      </c>
      <c r="B756" s="6">
        <v>755</v>
      </c>
      <c r="C756" s="7">
        <v>46127</v>
      </c>
      <c r="D756" s="14">
        <v>15.5</v>
      </c>
      <c r="E756" s="9">
        <v>52.5</v>
      </c>
      <c r="F756" s="9">
        <v>0</v>
      </c>
      <c r="G756" s="9">
        <v>0</v>
      </c>
      <c r="H756" s="9">
        <v>9</v>
      </c>
      <c r="J756" s="9">
        <v>2.52</v>
      </c>
    </row>
    <row r="757" spans="1:10" x14ac:dyDescent="0.25">
      <c r="A757" s="6">
        <v>5</v>
      </c>
      <c r="B757" s="6">
        <v>756</v>
      </c>
      <c r="C757" s="7">
        <v>46128</v>
      </c>
      <c r="D757" s="14">
        <v>14</v>
      </c>
      <c r="E757" s="9">
        <v>48.5</v>
      </c>
      <c r="F757" s="9">
        <v>0.17</v>
      </c>
      <c r="G757" s="9">
        <v>0</v>
      </c>
      <c r="H757" s="9">
        <v>8</v>
      </c>
      <c r="J757" s="9">
        <v>1.74</v>
      </c>
    </row>
    <row r="758" spans="1:10" x14ac:dyDescent="0.25">
      <c r="A758" s="6">
        <v>6</v>
      </c>
      <c r="B758" s="6">
        <v>757</v>
      </c>
      <c r="C758" s="7">
        <v>46129</v>
      </c>
      <c r="D758" s="14">
        <v>16.5</v>
      </c>
      <c r="E758" s="9">
        <v>46</v>
      </c>
      <c r="F758" s="9">
        <v>0</v>
      </c>
      <c r="G758" s="9">
        <v>0</v>
      </c>
      <c r="H758" s="9">
        <v>10</v>
      </c>
      <c r="J758" s="9">
        <v>2.63</v>
      </c>
    </row>
    <row r="759" spans="1:10" x14ac:dyDescent="0.25">
      <c r="A75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D5E3-C858-457D-8856-EE1DEA6B94D7}">
  <dimension ref="A1:S298"/>
  <sheetViews>
    <sheetView topLeftCell="A260" workbookViewId="0">
      <selection activeCell="O261" sqref="O261:P292"/>
    </sheetView>
  </sheetViews>
  <sheetFormatPr defaultRowHeight="15" x14ac:dyDescent="0.25"/>
  <cols>
    <col min="2" max="2" width="13.42578125" customWidth="1"/>
  </cols>
  <sheetData>
    <row r="1" spans="1:17" ht="15.75" thickBot="1" x14ac:dyDescent="0.3">
      <c r="A1" t="s">
        <v>43</v>
      </c>
      <c r="B1" s="7"/>
      <c r="C1" s="43">
        <v>0.85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O1" s="22" t="s">
        <v>39</v>
      </c>
      <c r="P1" s="22" t="s">
        <v>40</v>
      </c>
    </row>
    <row r="2" spans="1:17" x14ac:dyDescent="0.25">
      <c r="A2">
        <v>10</v>
      </c>
      <c r="B2" s="24">
        <v>45839</v>
      </c>
      <c r="C2" s="16">
        <v>18</v>
      </c>
      <c r="D2">
        <v>17</v>
      </c>
      <c r="E2">
        <v>23</v>
      </c>
      <c r="F2">
        <v>27</v>
      </c>
      <c r="H2">
        <v>19</v>
      </c>
      <c r="I2">
        <v>19</v>
      </c>
      <c r="J2">
        <v>14</v>
      </c>
      <c r="K2">
        <v>13</v>
      </c>
      <c r="L2">
        <v>10</v>
      </c>
      <c r="M2">
        <v>19</v>
      </c>
      <c r="N2">
        <v>21</v>
      </c>
      <c r="O2" s="23">
        <f t="shared" ref="O2:O25" si="0">ROUND(AVERAGE(C2:N2),0)</f>
        <v>18</v>
      </c>
      <c r="P2" s="23">
        <f>ROUND(_xlfn.STDEV.P(C2:N2),2)</f>
        <v>4.51</v>
      </c>
      <c r="Q2">
        <f>O2-A2</f>
        <v>8</v>
      </c>
    </row>
    <row r="3" spans="1:17" x14ac:dyDescent="0.25">
      <c r="A3">
        <v>25</v>
      </c>
      <c r="B3" s="24">
        <v>45840</v>
      </c>
      <c r="C3" s="16">
        <v>15</v>
      </c>
      <c r="D3">
        <v>3</v>
      </c>
      <c r="E3">
        <v>3</v>
      </c>
      <c r="F3">
        <v>25</v>
      </c>
      <c r="H3">
        <v>20</v>
      </c>
      <c r="I3">
        <v>26</v>
      </c>
      <c r="J3">
        <v>8</v>
      </c>
      <c r="K3">
        <v>17</v>
      </c>
      <c r="L3">
        <v>2</v>
      </c>
      <c r="M3">
        <v>12</v>
      </c>
      <c r="N3">
        <v>24</v>
      </c>
      <c r="O3" s="23">
        <f t="shared" si="0"/>
        <v>14</v>
      </c>
      <c r="P3" s="23">
        <f t="shared" ref="P3:P66" si="1">ROUND(_xlfn.STDEV.P(C3:N3),2)</f>
        <v>8.7200000000000006</v>
      </c>
      <c r="Q3">
        <f t="shared" ref="Q3:Q66" si="2">O3-A3</f>
        <v>-11</v>
      </c>
    </row>
    <row r="4" spans="1:17" x14ac:dyDescent="0.25">
      <c r="A4">
        <v>6</v>
      </c>
      <c r="B4" s="24">
        <v>45841</v>
      </c>
      <c r="C4" s="16">
        <v>32</v>
      </c>
      <c r="D4">
        <v>24</v>
      </c>
      <c r="E4">
        <v>11</v>
      </c>
      <c r="F4">
        <v>20</v>
      </c>
      <c r="H4">
        <v>29</v>
      </c>
      <c r="I4">
        <v>27</v>
      </c>
      <c r="J4">
        <v>31</v>
      </c>
      <c r="K4">
        <v>14</v>
      </c>
      <c r="L4">
        <v>30</v>
      </c>
      <c r="M4">
        <v>11</v>
      </c>
      <c r="N4">
        <v>19</v>
      </c>
      <c r="O4" s="23">
        <f t="shared" si="0"/>
        <v>23</v>
      </c>
      <c r="P4" s="23">
        <f t="shared" si="1"/>
        <v>7.62</v>
      </c>
      <c r="Q4">
        <f t="shared" si="2"/>
        <v>17</v>
      </c>
    </row>
    <row r="5" spans="1:17" x14ac:dyDescent="0.25">
      <c r="A5">
        <v>0</v>
      </c>
      <c r="B5" s="24">
        <v>45842</v>
      </c>
      <c r="C5" s="16">
        <v>1</v>
      </c>
      <c r="D5">
        <v>1</v>
      </c>
      <c r="E5">
        <v>1</v>
      </c>
      <c r="F5">
        <v>19</v>
      </c>
      <c r="H5">
        <v>11</v>
      </c>
      <c r="I5">
        <v>2</v>
      </c>
      <c r="J5">
        <v>1</v>
      </c>
      <c r="K5">
        <v>2</v>
      </c>
      <c r="L5">
        <v>5</v>
      </c>
      <c r="M5">
        <v>2</v>
      </c>
      <c r="N5">
        <v>12</v>
      </c>
      <c r="O5" s="23">
        <f t="shared" si="0"/>
        <v>5</v>
      </c>
      <c r="P5" s="23">
        <f t="shared" si="1"/>
        <v>5.81</v>
      </c>
      <c r="Q5">
        <f t="shared" si="2"/>
        <v>5</v>
      </c>
    </row>
    <row r="6" spans="1:17" x14ac:dyDescent="0.25">
      <c r="A6">
        <v>10</v>
      </c>
      <c r="B6" s="24">
        <v>45843</v>
      </c>
      <c r="C6" s="16">
        <v>2</v>
      </c>
      <c r="D6">
        <v>4</v>
      </c>
      <c r="E6">
        <v>11</v>
      </c>
      <c r="F6">
        <v>3</v>
      </c>
      <c r="H6">
        <v>16</v>
      </c>
      <c r="I6">
        <v>14</v>
      </c>
      <c r="J6">
        <v>5</v>
      </c>
      <c r="K6">
        <v>9</v>
      </c>
      <c r="L6">
        <v>6</v>
      </c>
      <c r="M6">
        <v>-7</v>
      </c>
      <c r="N6">
        <v>4</v>
      </c>
      <c r="O6" s="23">
        <f t="shared" si="0"/>
        <v>6</v>
      </c>
      <c r="P6" s="23">
        <f t="shared" si="1"/>
        <v>6.04</v>
      </c>
      <c r="Q6">
        <f t="shared" si="2"/>
        <v>-4</v>
      </c>
    </row>
    <row r="7" spans="1:17" x14ac:dyDescent="0.25">
      <c r="A7">
        <v>50</v>
      </c>
      <c r="B7" s="24">
        <v>45844</v>
      </c>
      <c r="C7" s="16">
        <v>11</v>
      </c>
      <c r="D7">
        <v>3</v>
      </c>
      <c r="E7">
        <v>12</v>
      </c>
      <c r="F7">
        <v>0</v>
      </c>
      <c r="H7">
        <v>16</v>
      </c>
      <c r="I7">
        <v>14</v>
      </c>
      <c r="J7">
        <v>4</v>
      </c>
      <c r="K7">
        <v>4</v>
      </c>
      <c r="L7">
        <v>17</v>
      </c>
      <c r="M7">
        <v>10</v>
      </c>
      <c r="N7">
        <v>8</v>
      </c>
      <c r="O7" s="23">
        <f t="shared" si="0"/>
        <v>9</v>
      </c>
      <c r="P7" s="23">
        <f t="shared" si="1"/>
        <v>5.39</v>
      </c>
      <c r="Q7">
        <f t="shared" si="2"/>
        <v>-41</v>
      </c>
    </row>
    <row r="8" spans="1:17" x14ac:dyDescent="0.25">
      <c r="A8" s="14">
        <v>13</v>
      </c>
      <c r="B8" s="24">
        <v>45845</v>
      </c>
      <c r="C8" s="16">
        <v>26</v>
      </c>
      <c r="D8">
        <v>30</v>
      </c>
      <c r="E8">
        <v>16</v>
      </c>
      <c r="F8">
        <v>15</v>
      </c>
      <c r="G8">
        <v>21</v>
      </c>
      <c r="H8">
        <v>16</v>
      </c>
      <c r="I8">
        <v>34</v>
      </c>
      <c r="J8">
        <v>9</v>
      </c>
      <c r="K8">
        <v>32</v>
      </c>
      <c r="L8">
        <v>36</v>
      </c>
      <c r="M8">
        <v>39</v>
      </c>
      <c r="N8">
        <v>23</v>
      </c>
      <c r="O8" s="23">
        <f t="shared" si="0"/>
        <v>25</v>
      </c>
      <c r="P8" s="23">
        <f t="shared" si="1"/>
        <v>9.18</v>
      </c>
      <c r="Q8">
        <f t="shared" si="2"/>
        <v>12</v>
      </c>
    </row>
    <row r="9" spans="1:17" x14ac:dyDescent="0.25">
      <c r="A9" s="14">
        <v>12</v>
      </c>
      <c r="B9" s="24">
        <v>45846</v>
      </c>
      <c r="C9" s="16">
        <v>39</v>
      </c>
      <c r="D9">
        <v>23</v>
      </c>
      <c r="E9">
        <v>28</v>
      </c>
      <c r="F9">
        <v>23</v>
      </c>
      <c r="G9">
        <v>79</v>
      </c>
      <c r="H9">
        <v>45</v>
      </c>
      <c r="I9">
        <v>16</v>
      </c>
      <c r="J9">
        <v>29</v>
      </c>
      <c r="K9">
        <v>23</v>
      </c>
      <c r="L9">
        <v>48</v>
      </c>
      <c r="M9">
        <v>78</v>
      </c>
      <c r="N9">
        <v>36</v>
      </c>
      <c r="O9" s="23">
        <f t="shared" si="0"/>
        <v>39</v>
      </c>
      <c r="P9" s="23">
        <f t="shared" si="1"/>
        <v>19.93</v>
      </c>
      <c r="Q9">
        <f t="shared" si="2"/>
        <v>27</v>
      </c>
    </row>
    <row r="10" spans="1:17" x14ac:dyDescent="0.25">
      <c r="A10" s="14">
        <v>10</v>
      </c>
      <c r="B10" s="24">
        <v>45847</v>
      </c>
      <c r="C10" s="16">
        <v>26</v>
      </c>
      <c r="D10">
        <v>34</v>
      </c>
      <c r="E10">
        <v>24</v>
      </c>
      <c r="F10">
        <v>27</v>
      </c>
      <c r="G10">
        <v>14</v>
      </c>
      <c r="H10">
        <v>29</v>
      </c>
      <c r="I10">
        <v>24</v>
      </c>
      <c r="J10">
        <v>28</v>
      </c>
      <c r="K10">
        <v>25</v>
      </c>
      <c r="L10">
        <v>31</v>
      </c>
      <c r="M10">
        <v>26</v>
      </c>
      <c r="N10">
        <v>21</v>
      </c>
      <c r="O10" s="23">
        <f t="shared" si="0"/>
        <v>26</v>
      </c>
      <c r="P10" s="23">
        <f t="shared" si="1"/>
        <v>4.83</v>
      </c>
      <c r="Q10">
        <f t="shared" si="2"/>
        <v>16</v>
      </c>
    </row>
    <row r="11" spans="1:17" x14ac:dyDescent="0.25">
      <c r="A11" s="14">
        <v>25</v>
      </c>
      <c r="B11" s="24">
        <v>45848</v>
      </c>
      <c r="C11" s="16">
        <v>22</v>
      </c>
      <c r="D11">
        <v>41</v>
      </c>
      <c r="E11">
        <v>37</v>
      </c>
      <c r="F11">
        <v>23</v>
      </c>
      <c r="G11">
        <v>21</v>
      </c>
      <c r="H11">
        <v>29</v>
      </c>
      <c r="I11">
        <v>20</v>
      </c>
      <c r="J11">
        <v>43</v>
      </c>
      <c r="K11">
        <v>26</v>
      </c>
      <c r="L11">
        <v>28</v>
      </c>
      <c r="M11">
        <v>31</v>
      </c>
      <c r="N11">
        <v>25</v>
      </c>
      <c r="O11" s="23">
        <f t="shared" si="0"/>
        <v>29</v>
      </c>
      <c r="P11" s="23">
        <f t="shared" si="1"/>
        <v>7.44</v>
      </c>
      <c r="Q11">
        <f t="shared" si="2"/>
        <v>4</v>
      </c>
    </row>
    <row r="12" spans="1:17" x14ac:dyDescent="0.25">
      <c r="A12" s="14">
        <v>29</v>
      </c>
      <c r="B12" s="24">
        <v>45849</v>
      </c>
      <c r="C12" s="16">
        <v>10</v>
      </c>
      <c r="D12">
        <v>8</v>
      </c>
      <c r="E12">
        <v>10</v>
      </c>
      <c r="F12">
        <v>5</v>
      </c>
      <c r="G12">
        <v>9</v>
      </c>
      <c r="H12">
        <v>11</v>
      </c>
      <c r="I12">
        <v>10</v>
      </c>
      <c r="J12">
        <v>15</v>
      </c>
      <c r="K12">
        <v>8</v>
      </c>
      <c r="L12">
        <v>17</v>
      </c>
      <c r="M12">
        <v>9</v>
      </c>
      <c r="N12">
        <v>14</v>
      </c>
      <c r="O12" s="23">
        <f t="shared" si="0"/>
        <v>11</v>
      </c>
      <c r="P12" s="23">
        <f t="shared" si="1"/>
        <v>3.2</v>
      </c>
      <c r="Q12">
        <f t="shared" si="2"/>
        <v>-18</v>
      </c>
    </row>
    <row r="13" spans="1:17" x14ac:dyDescent="0.25">
      <c r="A13" s="14">
        <v>43</v>
      </c>
      <c r="B13" s="24">
        <v>45850</v>
      </c>
      <c r="C13" s="16">
        <v>18</v>
      </c>
      <c r="D13">
        <v>21</v>
      </c>
      <c r="E13">
        <v>36</v>
      </c>
      <c r="F13">
        <v>19</v>
      </c>
      <c r="G13">
        <v>15</v>
      </c>
      <c r="H13">
        <v>12</v>
      </c>
      <c r="I13">
        <v>29</v>
      </c>
      <c r="J13">
        <v>45</v>
      </c>
      <c r="K13">
        <v>36</v>
      </c>
      <c r="L13">
        <v>19</v>
      </c>
      <c r="M13">
        <v>23</v>
      </c>
      <c r="N13">
        <v>30</v>
      </c>
      <c r="O13" s="23">
        <f t="shared" si="0"/>
        <v>25</v>
      </c>
      <c r="P13" s="23">
        <f t="shared" si="1"/>
        <v>9.5399999999999991</v>
      </c>
      <c r="Q13">
        <f t="shared" si="2"/>
        <v>-18</v>
      </c>
    </row>
    <row r="14" spans="1:17" x14ac:dyDescent="0.25">
      <c r="A14" s="14">
        <v>32</v>
      </c>
      <c r="B14" s="24">
        <v>45851</v>
      </c>
      <c r="C14" s="16">
        <v>27</v>
      </c>
      <c r="D14">
        <v>17</v>
      </c>
      <c r="E14">
        <v>21</v>
      </c>
      <c r="F14">
        <v>17</v>
      </c>
      <c r="G14">
        <v>17</v>
      </c>
      <c r="H14">
        <v>21</v>
      </c>
      <c r="I14">
        <v>22</v>
      </c>
      <c r="J14">
        <v>21</v>
      </c>
      <c r="K14">
        <v>20</v>
      </c>
      <c r="L14">
        <v>42</v>
      </c>
      <c r="M14">
        <v>28</v>
      </c>
      <c r="N14">
        <v>28</v>
      </c>
      <c r="O14" s="23">
        <f t="shared" si="0"/>
        <v>23</v>
      </c>
      <c r="P14" s="23">
        <f t="shared" si="1"/>
        <v>6.8</v>
      </c>
      <c r="Q14">
        <f t="shared" si="2"/>
        <v>-9</v>
      </c>
    </row>
    <row r="15" spans="1:17" x14ac:dyDescent="0.25">
      <c r="A15" s="14">
        <v>20</v>
      </c>
      <c r="B15" s="24">
        <v>45852</v>
      </c>
      <c r="C15" s="16">
        <v>24</v>
      </c>
      <c r="D15">
        <v>23</v>
      </c>
      <c r="E15">
        <v>18</v>
      </c>
      <c r="F15">
        <v>21</v>
      </c>
      <c r="G15">
        <v>19</v>
      </c>
      <c r="H15">
        <v>18</v>
      </c>
      <c r="I15">
        <v>23</v>
      </c>
      <c r="J15">
        <v>18</v>
      </c>
      <c r="K15">
        <v>12</v>
      </c>
      <c r="L15">
        <v>23</v>
      </c>
      <c r="M15">
        <v>32</v>
      </c>
      <c r="N15">
        <v>33</v>
      </c>
      <c r="O15" s="23">
        <f t="shared" si="0"/>
        <v>22</v>
      </c>
      <c r="P15" s="23">
        <f t="shared" si="1"/>
        <v>5.67</v>
      </c>
      <c r="Q15">
        <f t="shared" si="2"/>
        <v>2</v>
      </c>
    </row>
    <row r="16" spans="1:17" x14ac:dyDescent="0.25">
      <c r="A16" s="14">
        <v>11</v>
      </c>
      <c r="B16" s="24">
        <v>45853</v>
      </c>
      <c r="C16" s="16">
        <v>44</v>
      </c>
      <c r="D16">
        <v>42</v>
      </c>
      <c r="E16">
        <v>54</v>
      </c>
      <c r="F16">
        <v>35</v>
      </c>
      <c r="G16">
        <v>39</v>
      </c>
      <c r="H16">
        <v>79</v>
      </c>
      <c r="I16">
        <v>38</v>
      </c>
      <c r="J16">
        <v>75</v>
      </c>
      <c r="K16">
        <v>36</v>
      </c>
      <c r="L16">
        <v>44</v>
      </c>
      <c r="M16">
        <v>37</v>
      </c>
      <c r="N16">
        <v>36</v>
      </c>
      <c r="O16" s="23">
        <f t="shared" si="0"/>
        <v>47</v>
      </c>
      <c r="P16" s="23">
        <f t="shared" si="1"/>
        <v>14.52</v>
      </c>
      <c r="Q16">
        <f t="shared" si="2"/>
        <v>36</v>
      </c>
    </row>
    <row r="17" spans="1:17" x14ac:dyDescent="0.25">
      <c r="A17" s="14">
        <v>27</v>
      </c>
      <c r="B17" s="24">
        <v>45854</v>
      </c>
      <c r="C17" s="16">
        <v>22</v>
      </c>
      <c r="D17">
        <v>17</v>
      </c>
      <c r="E17">
        <v>18</v>
      </c>
      <c r="F17">
        <v>22</v>
      </c>
      <c r="G17">
        <v>10</v>
      </c>
      <c r="H17">
        <v>18</v>
      </c>
      <c r="I17">
        <v>10</v>
      </c>
      <c r="J17">
        <v>30</v>
      </c>
      <c r="K17">
        <v>22</v>
      </c>
      <c r="L17">
        <v>22</v>
      </c>
      <c r="M17">
        <v>21</v>
      </c>
      <c r="N17">
        <v>12</v>
      </c>
      <c r="O17" s="23">
        <f t="shared" si="0"/>
        <v>19</v>
      </c>
      <c r="P17" s="23">
        <f t="shared" si="1"/>
        <v>5.6</v>
      </c>
      <c r="Q17">
        <f t="shared" si="2"/>
        <v>-8</v>
      </c>
    </row>
    <row r="18" spans="1:17" x14ac:dyDescent="0.25">
      <c r="A18" s="14">
        <v>15</v>
      </c>
      <c r="B18" s="24">
        <v>45855</v>
      </c>
      <c r="C18" s="16">
        <v>24</v>
      </c>
      <c r="D18">
        <v>22</v>
      </c>
      <c r="E18">
        <v>26</v>
      </c>
      <c r="F18">
        <v>23</v>
      </c>
      <c r="G18">
        <v>14</v>
      </c>
      <c r="H18">
        <v>19</v>
      </c>
      <c r="I18">
        <v>20</v>
      </c>
      <c r="J18">
        <v>16</v>
      </c>
      <c r="K18">
        <v>24</v>
      </c>
      <c r="L18">
        <v>25</v>
      </c>
      <c r="M18">
        <v>47</v>
      </c>
      <c r="N18">
        <v>18</v>
      </c>
      <c r="O18" s="23">
        <f t="shared" si="0"/>
        <v>23</v>
      </c>
      <c r="P18" s="23">
        <f t="shared" si="1"/>
        <v>8.02</v>
      </c>
      <c r="Q18">
        <f t="shared" si="2"/>
        <v>8</v>
      </c>
    </row>
    <row r="19" spans="1:17" x14ac:dyDescent="0.25">
      <c r="A19" s="14">
        <v>27</v>
      </c>
      <c r="B19" s="24">
        <v>45856</v>
      </c>
      <c r="C19" s="16">
        <v>21</v>
      </c>
      <c r="D19">
        <v>10</v>
      </c>
      <c r="E19">
        <v>16</v>
      </c>
      <c r="F19">
        <v>17</v>
      </c>
      <c r="G19">
        <v>11</v>
      </c>
      <c r="H19">
        <v>10</v>
      </c>
      <c r="I19">
        <v>15</v>
      </c>
      <c r="J19">
        <v>17</v>
      </c>
      <c r="K19">
        <v>16</v>
      </c>
      <c r="L19">
        <v>20</v>
      </c>
      <c r="M19">
        <v>19</v>
      </c>
      <c r="N19">
        <v>6</v>
      </c>
      <c r="O19" s="23">
        <f t="shared" si="0"/>
        <v>15</v>
      </c>
      <c r="P19" s="23">
        <f t="shared" si="1"/>
        <v>4.41</v>
      </c>
      <c r="Q19">
        <f t="shared" si="2"/>
        <v>-12</v>
      </c>
    </row>
    <row r="20" spans="1:17" x14ac:dyDescent="0.25">
      <c r="A20" s="14">
        <v>35</v>
      </c>
      <c r="B20" s="24">
        <v>45857</v>
      </c>
      <c r="C20" s="16">
        <v>20</v>
      </c>
      <c r="D20">
        <v>19</v>
      </c>
      <c r="E20">
        <v>34</v>
      </c>
      <c r="F20">
        <v>24</v>
      </c>
      <c r="G20">
        <v>17</v>
      </c>
      <c r="H20">
        <v>22</v>
      </c>
      <c r="I20">
        <v>28</v>
      </c>
      <c r="J20">
        <v>40</v>
      </c>
      <c r="K20">
        <v>46</v>
      </c>
      <c r="L20">
        <v>28</v>
      </c>
      <c r="M20">
        <v>25</v>
      </c>
      <c r="N20">
        <v>31</v>
      </c>
      <c r="O20" s="23">
        <f t="shared" si="0"/>
        <v>28</v>
      </c>
      <c r="P20" s="23">
        <f t="shared" si="1"/>
        <v>8.36</v>
      </c>
      <c r="Q20">
        <f t="shared" si="2"/>
        <v>-7</v>
      </c>
    </row>
    <row r="21" spans="1:17" x14ac:dyDescent="0.25">
      <c r="A21" s="14">
        <v>20</v>
      </c>
      <c r="B21" s="24">
        <v>45858</v>
      </c>
      <c r="C21" s="16">
        <v>54</v>
      </c>
      <c r="D21">
        <v>52</v>
      </c>
      <c r="E21">
        <v>51</v>
      </c>
      <c r="F21">
        <v>50</v>
      </c>
      <c r="G21">
        <v>36</v>
      </c>
      <c r="H21">
        <v>43</v>
      </c>
      <c r="I21">
        <v>45</v>
      </c>
      <c r="J21">
        <v>44</v>
      </c>
      <c r="K21">
        <v>40</v>
      </c>
      <c r="L21">
        <v>42</v>
      </c>
      <c r="O21" s="23">
        <f t="shared" si="0"/>
        <v>46</v>
      </c>
      <c r="P21" s="23">
        <f t="shared" si="1"/>
        <v>5.53</v>
      </c>
      <c r="Q21">
        <f t="shared" si="2"/>
        <v>26</v>
      </c>
    </row>
    <row r="22" spans="1:17" x14ac:dyDescent="0.25">
      <c r="A22" s="14">
        <v>12</v>
      </c>
      <c r="B22" s="24">
        <v>45859</v>
      </c>
      <c r="C22" s="16">
        <v>32</v>
      </c>
      <c r="D22">
        <v>31</v>
      </c>
      <c r="E22">
        <v>27</v>
      </c>
      <c r="F22">
        <v>21</v>
      </c>
      <c r="G22">
        <v>24</v>
      </c>
      <c r="H22">
        <v>31</v>
      </c>
      <c r="I22">
        <v>24</v>
      </c>
      <c r="J22">
        <v>28</v>
      </c>
      <c r="K22">
        <v>19</v>
      </c>
      <c r="L22">
        <v>17</v>
      </c>
      <c r="O22" s="23">
        <f t="shared" si="0"/>
        <v>25</v>
      </c>
      <c r="P22" s="23">
        <f t="shared" si="1"/>
        <v>5</v>
      </c>
      <c r="Q22">
        <f t="shared" si="2"/>
        <v>13</v>
      </c>
    </row>
    <row r="23" spans="1:17" x14ac:dyDescent="0.25">
      <c r="A23" s="14">
        <v>14</v>
      </c>
      <c r="B23" s="24">
        <v>45860</v>
      </c>
      <c r="C23" s="16">
        <v>13</v>
      </c>
      <c r="D23">
        <v>15</v>
      </c>
      <c r="O23" s="23">
        <f t="shared" si="0"/>
        <v>14</v>
      </c>
      <c r="P23" s="23">
        <f t="shared" si="1"/>
        <v>1</v>
      </c>
      <c r="Q23">
        <f t="shared" si="2"/>
        <v>0</v>
      </c>
    </row>
    <row r="24" spans="1:17" x14ac:dyDescent="0.25">
      <c r="A24" s="14">
        <v>31</v>
      </c>
      <c r="B24" s="24">
        <v>45861</v>
      </c>
      <c r="C24" s="16">
        <v>13</v>
      </c>
      <c r="D24">
        <v>10</v>
      </c>
      <c r="E24">
        <v>9</v>
      </c>
      <c r="F24">
        <v>14</v>
      </c>
      <c r="G24">
        <v>11</v>
      </c>
      <c r="H24">
        <v>14</v>
      </c>
      <c r="I24">
        <v>12</v>
      </c>
      <c r="J24">
        <v>11</v>
      </c>
      <c r="K24">
        <v>12</v>
      </c>
      <c r="L24">
        <v>13</v>
      </c>
      <c r="O24" s="23">
        <f t="shared" si="0"/>
        <v>12</v>
      </c>
      <c r="P24" s="23">
        <f t="shared" si="1"/>
        <v>1.58</v>
      </c>
      <c r="Q24">
        <f t="shared" si="2"/>
        <v>-19</v>
      </c>
    </row>
    <row r="25" spans="1:17" x14ac:dyDescent="0.25">
      <c r="A25" s="14">
        <v>24</v>
      </c>
      <c r="B25" s="24">
        <v>45862</v>
      </c>
      <c r="C25" s="16">
        <v>11</v>
      </c>
      <c r="D25">
        <v>8</v>
      </c>
      <c r="E25">
        <v>10</v>
      </c>
      <c r="F25">
        <v>10</v>
      </c>
      <c r="G25">
        <v>8</v>
      </c>
      <c r="H25">
        <v>19</v>
      </c>
      <c r="I25">
        <v>11</v>
      </c>
      <c r="J25">
        <v>11</v>
      </c>
      <c r="K25">
        <v>13</v>
      </c>
      <c r="L25">
        <v>11</v>
      </c>
      <c r="O25" s="23">
        <f t="shared" si="0"/>
        <v>11</v>
      </c>
      <c r="P25" s="23">
        <f t="shared" si="1"/>
        <v>2.96</v>
      </c>
      <c r="Q25">
        <f t="shared" si="2"/>
        <v>-13</v>
      </c>
    </row>
    <row r="26" spans="1:17" x14ac:dyDescent="0.25">
      <c r="A26" s="14">
        <v>21</v>
      </c>
      <c r="B26" s="24">
        <v>45863</v>
      </c>
      <c r="C26" s="16">
        <v>16</v>
      </c>
      <c r="D26" s="16">
        <v>12</v>
      </c>
      <c r="E26" s="16">
        <v>15</v>
      </c>
      <c r="F26" s="16">
        <v>21</v>
      </c>
      <c r="G26" s="16">
        <v>17</v>
      </c>
      <c r="H26" s="20">
        <v>16</v>
      </c>
      <c r="I26" s="16">
        <v>18</v>
      </c>
      <c r="J26" s="16">
        <v>18</v>
      </c>
      <c r="K26" s="16">
        <v>19</v>
      </c>
      <c r="L26" s="16">
        <v>14</v>
      </c>
      <c r="N26" s="17"/>
      <c r="O26" s="23">
        <f t="shared" ref="O26:O44" si="3">ROUND(AVERAGE(C26:N26),0)</f>
        <v>17</v>
      </c>
      <c r="P26" s="23">
        <f t="shared" si="1"/>
        <v>2.46</v>
      </c>
      <c r="Q26">
        <f t="shared" si="2"/>
        <v>-4</v>
      </c>
    </row>
    <row r="27" spans="1:17" x14ac:dyDescent="0.25">
      <c r="A27" s="14">
        <v>35</v>
      </c>
      <c r="B27" s="24">
        <v>45864</v>
      </c>
      <c r="C27" s="16">
        <v>24</v>
      </c>
      <c r="D27" s="16">
        <v>23</v>
      </c>
      <c r="E27" s="16">
        <v>21</v>
      </c>
      <c r="F27" s="16">
        <v>25</v>
      </c>
      <c r="G27" s="16">
        <v>21</v>
      </c>
      <c r="H27" s="20">
        <v>23</v>
      </c>
      <c r="I27" s="16">
        <v>21</v>
      </c>
      <c r="J27" s="16">
        <v>21</v>
      </c>
      <c r="K27" s="16">
        <v>20</v>
      </c>
      <c r="L27" s="16">
        <v>21</v>
      </c>
      <c r="N27" s="17"/>
      <c r="O27" s="23">
        <f t="shared" si="3"/>
        <v>22</v>
      </c>
      <c r="P27" s="23">
        <f t="shared" si="1"/>
        <v>1.55</v>
      </c>
      <c r="Q27">
        <f t="shared" si="2"/>
        <v>-13</v>
      </c>
    </row>
    <row r="28" spans="1:17" x14ac:dyDescent="0.25">
      <c r="A28" s="14">
        <v>31</v>
      </c>
      <c r="B28" s="24">
        <v>45865</v>
      </c>
      <c r="C28" s="16">
        <v>13</v>
      </c>
      <c r="D28" s="16">
        <v>18</v>
      </c>
      <c r="E28" s="16">
        <v>17</v>
      </c>
      <c r="F28" s="16">
        <v>13</v>
      </c>
      <c r="G28" s="16">
        <v>16</v>
      </c>
      <c r="H28" s="20">
        <v>16</v>
      </c>
      <c r="I28" s="16">
        <v>13</v>
      </c>
      <c r="J28" s="16">
        <v>18</v>
      </c>
      <c r="K28" s="16">
        <v>16</v>
      </c>
      <c r="L28" s="16">
        <v>17</v>
      </c>
      <c r="N28" s="17"/>
      <c r="O28" s="23">
        <f t="shared" si="3"/>
        <v>16</v>
      </c>
      <c r="P28" s="23">
        <f t="shared" si="1"/>
        <v>1.9</v>
      </c>
      <c r="Q28">
        <f t="shared" si="2"/>
        <v>-15</v>
      </c>
    </row>
    <row r="29" spans="1:17" x14ac:dyDescent="0.25">
      <c r="A29" s="14">
        <v>11</v>
      </c>
      <c r="B29" s="24">
        <v>45866</v>
      </c>
      <c r="C29" s="16">
        <v>14</v>
      </c>
      <c r="D29" s="16">
        <v>14</v>
      </c>
      <c r="E29" s="16">
        <v>14</v>
      </c>
      <c r="F29" s="16">
        <v>12</v>
      </c>
      <c r="G29" s="16">
        <v>13</v>
      </c>
      <c r="H29" s="20">
        <v>13</v>
      </c>
      <c r="I29" s="16">
        <v>13</v>
      </c>
      <c r="J29" s="16">
        <v>8</v>
      </c>
      <c r="K29" s="16">
        <v>13</v>
      </c>
      <c r="L29" s="16">
        <v>13</v>
      </c>
      <c r="N29" s="17"/>
      <c r="O29" s="23">
        <f t="shared" si="3"/>
        <v>13</v>
      </c>
      <c r="P29" s="23">
        <f t="shared" si="1"/>
        <v>1.68</v>
      </c>
      <c r="Q29">
        <f t="shared" si="2"/>
        <v>2</v>
      </c>
    </row>
    <row r="30" spans="1:17" x14ac:dyDescent="0.25">
      <c r="A30" s="14">
        <v>4</v>
      </c>
      <c r="B30" s="24">
        <v>45867</v>
      </c>
      <c r="C30" s="16">
        <v>16</v>
      </c>
      <c r="D30" s="16">
        <v>13</v>
      </c>
      <c r="E30" s="16">
        <v>18</v>
      </c>
      <c r="F30" s="16">
        <v>17</v>
      </c>
      <c r="G30" s="16">
        <v>12</v>
      </c>
      <c r="H30" s="20">
        <v>18</v>
      </c>
      <c r="I30" s="16">
        <v>13</v>
      </c>
      <c r="J30" s="16">
        <v>13</v>
      </c>
      <c r="K30" s="16">
        <v>15</v>
      </c>
      <c r="L30" s="16">
        <v>15</v>
      </c>
      <c r="N30" s="17"/>
      <c r="O30" s="23">
        <f t="shared" si="3"/>
        <v>15</v>
      </c>
      <c r="P30" s="23">
        <f t="shared" si="1"/>
        <v>2.1</v>
      </c>
      <c r="Q30">
        <f t="shared" si="2"/>
        <v>11</v>
      </c>
    </row>
    <row r="31" spans="1:17" x14ac:dyDescent="0.25">
      <c r="A31" s="14">
        <v>14</v>
      </c>
      <c r="B31" s="24">
        <v>45868</v>
      </c>
      <c r="C31" s="16">
        <v>9</v>
      </c>
      <c r="D31" s="16">
        <v>7</v>
      </c>
      <c r="E31" s="16">
        <v>10</v>
      </c>
      <c r="F31" s="16">
        <v>10</v>
      </c>
      <c r="G31" s="16">
        <v>8</v>
      </c>
      <c r="H31" s="20">
        <v>6</v>
      </c>
      <c r="I31" s="16">
        <v>10</v>
      </c>
      <c r="J31" s="16">
        <v>10</v>
      </c>
      <c r="K31" s="16">
        <v>8</v>
      </c>
      <c r="L31" s="16">
        <v>9</v>
      </c>
      <c r="M31">
        <v>8</v>
      </c>
      <c r="N31" s="17">
        <v>10</v>
      </c>
      <c r="O31" s="23">
        <f t="shared" si="3"/>
        <v>9</v>
      </c>
      <c r="P31" s="23">
        <f t="shared" si="1"/>
        <v>1.3</v>
      </c>
      <c r="Q31">
        <f t="shared" si="2"/>
        <v>-5</v>
      </c>
    </row>
    <row r="32" spans="1:17" x14ac:dyDescent="0.25">
      <c r="A32" s="14">
        <v>41</v>
      </c>
      <c r="B32" s="24">
        <v>45869</v>
      </c>
      <c r="C32" s="16">
        <v>14</v>
      </c>
      <c r="D32" s="16">
        <v>19</v>
      </c>
      <c r="E32" s="16">
        <v>20</v>
      </c>
      <c r="F32" s="16">
        <v>16</v>
      </c>
      <c r="G32" s="16">
        <v>16</v>
      </c>
      <c r="H32" s="20">
        <v>18</v>
      </c>
      <c r="I32" s="16">
        <v>17</v>
      </c>
      <c r="J32" s="16">
        <v>15</v>
      </c>
      <c r="K32" s="16">
        <v>18</v>
      </c>
      <c r="L32" s="16">
        <v>19</v>
      </c>
      <c r="M32">
        <v>19</v>
      </c>
      <c r="N32" s="17">
        <v>16</v>
      </c>
      <c r="O32" s="23">
        <f t="shared" si="3"/>
        <v>17</v>
      </c>
      <c r="P32" s="23">
        <f t="shared" si="1"/>
        <v>1.79</v>
      </c>
      <c r="Q32">
        <f t="shared" si="2"/>
        <v>-24</v>
      </c>
    </row>
    <row r="33" spans="1:17" x14ac:dyDescent="0.25">
      <c r="A33">
        <v>24</v>
      </c>
      <c r="B33" s="24">
        <v>45870</v>
      </c>
      <c r="C33" s="16">
        <v>35</v>
      </c>
      <c r="D33" s="16">
        <v>32</v>
      </c>
      <c r="E33" s="16">
        <v>30</v>
      </c>
      <c r="F33" s="16">
        <v>34</v>
      </c>
      <c r="G33" s="16">
        <v>25</v>
      </c>
      <c r="H33" s="20">
        <v>33</v>
      </c>
      <c r="I33" s="16">
        <v>33</v>
      </c>
      <c r="J33" s="16">
        <v>31</v>
      </c>
      <c r="K33" s="16">
        <v>33</v>
      </c>
      <c r="L33" s="16">
        <v>28</v>
      </c>
      <c r="M33">
        <v>36</v>
      </c>
      <c r="N33" s="17">
        <v>37</v>
      </c>
      <c r="O33" s="23">
        <f t="shared" si="3"/>
        <v>32</v>
      </c>
      <c r="P33" s="23">
        <f t="shared" si="1"/>
        <v>3.24</v>
      </c>
      <c r="Q33">
        <f t="shared" si="2"/>
        <v>8</v>
      </c>
    </row>
    <row r="34" spans="1:17" x14ac:dyDescent="0.25">
      <c r="A34">
        <v>87</v>
      </c>
      <c r="B34" s="24">
        <v>45871</v>
      </c>
      <c r="C34" s="16">
        <v>18</v>
      </c>
      <c r="D34" s="16">
        <v>17</v>
      </c>
      <c r="E34" s="16">
        <v>16</v>
      </c>
      <c r="F34" s="16">
        <v>16</v>
      </c>
      <c r="G34" s="16">
        <v>17</v>
      </c>
      <c r="H34" s="20">
        <v>17</v>
      </c>
      <c r="I34" s="16">
        <v>17</v>
      </c>
      <c r="J34" s="16">
        <v>17</v>
      </c>
      <c r="K34" s="16">
        <v>17</v>
      </c>
      <c r="L34" s="16">
        <v>18</v>
      </c>
      <c r="M34">
        <v>15</v>
      </c>
      <c r="N34" s="17">
        <v>19</v>
      </c>
      <c r="O34" s="23">
        <f t="shared" si="3"/>
        <v>17</v>
      </c>
      <c r="P34" s="23">
        <f t="shared" si="1"/>
        <v>1</v>
      </c>
      <c r="Q34">
        <f t="shared" si="2"/>
        <v>-70</v>
      </c>
    </row>
    <row r="35" spans="1:17" x14ac:dyDescent="0.25">
      <c r="A35">
        <v>34</v>
      </c>
      <c r="B35" s="24">
        <v>45872</v>
      </c>
      <c r="C35" s="16">
        <v>38</v>
      </c>
      <c r="D35" s="16">
        <v>55</v>
      </c>
      <c r="E35" s="16">
        <v>39</v>
      </c>
      <c r="F35" s="16">
        <v>54</v>
      </c>
      <c r="G35" s="16">
        <v>49</v>
      </c>
      <c r="H35" s="20">
        <v>46</v>
      </c>
      <c r="I35" s="16">
        <v>51</v>
      </c>
      <c r="J35" s="16">
        <v>40</v>
      </c>
      <c r="K35" s="16">
        <v>57</v>
      </c>
      <c r="L35" s="16">
        <v>38</v>
      </c>
      <c r="M35">
        <v>35</v>
      </c>
      <c r="N35" s="17">
        <v>41</v>
      </c>
      <c r="O35" s="23">
        <f t="shared" si="3"/>
        <v>45</v>
      </c>
      <c r="P35" s="23">
        <f t="shared" si="1"/>
        <v>7.37</v>
      </c>
      <c r="Q35">
        <f t="shared" si="2"/>
        <v>11</v>
      </c>
    </row>
    <row r="36" spans="1:17" x14ac:dyDescent="0.25">
      <c r="A36">
        <v>16</v>
      </c>
      <c r="B36" s="24">
        <v>45873</v>
      </c>
      <c r="C36" s="16">
        <v>22</v>
      </c>
      <c r="D36" s="16">
        <v>27</v>
      </c>
      <c r="E36" s="16">
        <v>25</v>
      </c>
      <c r="F36" s="16">
        <v>25</v>
      </c>
      <c r="G36" s="16">
        <v>23</v>
      </c>
      <c r="H36" s="20">
        <v>27</v>
      </c>
      <c r="I36" s="16">
        <v>24</v>
      </c>
      <c r="J36" s="16">
        <v>24</v>
      </c>
      <c r="K36" s="16">
        <v>25</v>
      </c>
      <c r="L36" s="16">
        <v>23</v>
      </c>
      <c r="M36">
        <v>22</v>
      </c>
      <c r="N36" s="17">
        <v>25</v>
      </c>
      <c r="O36" s="23">
        <f t="shared" si="3"/>
        <v>24</v>
      </c>
      <c r="P36" s="23">
        <f t="shared" si="1"/>
        <v>1.6</v>
      </c>
      <c r="Q36">
        <f t="shared" si="2"/>
        <v>8</v>
      </c>
    </row>
    <row r="37" spans="1:17" x14ac:dyDescent="0.25">
      <c r="A37">
        <v>10</v>
      </c>
      <c r="B37" s="24">
        <v>45874</v>
      </c>
      <c r="C37" s="16">
        <v>24</v>
      </c>
      <c r="D37" s="16">
        <v>24</v>
      </c>
      <c r="E37" s="16">
        <v>26</v>
      </c>
      <c r="F37" s="16">
        <v>25</v>
      </c>
      <c r="G37" s="16">
        <v>22</v>
      </c>
      <c r="H37" s="20">
        <v>25</v>
      </c>
      <c r="I37" s="16">
        <v>25</v>
      </c>
      <c r="J37" s="16">
        <v>24</v>
      </c>
      <c r="K37" s="16">
        <v>22</v>
      </c>
      <c r="L37" s="16">
        <v>22</v>
      </c>
      <c r="M37">
        <v>24</v>
      </c>
      <c r="N37" s="17">
        <v>25</v>
      </c>
      <c r="O37" s="23">
        <f t="shared" si="3"/>
        <v>24</v>
      </c>
      <c r="P37" s="23">
        <f t="shared" si="1"/>
        <v>1.29</v>
      </c>
      <c r="Q37">
        <f t="shared" si="2"/>
        <v>14</v>
      </c>
    </row>
    <row r="38" spans="1:17" x14ac:dyDescent="0.25">
      <c r="A38">
        <v>23</v>
      </c>
      <c r="B38" s="24">
        <v>45875</v>
      </c>
      <c r="C38" s="16">
        <v>28</v>
      </c>
      <c r="D38" s="16">
        <v>30</v>
      </c>
      <c r="E38" s="16">
        <v>29</v>
      </c>
      <c r="F38" s="16">
        <v>35</v>
      </c>
      <c r="G38" s="16">
        <v>26</v>
      </c>
      <c r="H38" s="20">
        <v>31</v>
      </c>
      <c r="I38" s="16">
        <v>30</v>
      </c>
      <c r="J38" s="16">
        <v>31</v>
      </c>
      <c r="K38" s="16">
        <v>30</v>
      </c>
      <c r="L38" s="16">
        <v>32</v>
      </c>
      <c r="M38">
        <v>30</v>
      </c>
      <c r="N38" s="17">
        <v>30</v>
      </c>
      <c r="O38" s="23">
        <f t="shared" si="3"/>
        <v>30</v>
      </c>
      <c r="P38" s="23">
        <f t="shared" si="1"/>
        <v>2.0699999999999998</v>
      </c>
      <c r="Q38">
        <f t="shared" si="2"/>
        <v>7</v>
      </c>
    </row>
    <row r="39" spans="1:17" x14ac:dyDescent="0.25">
      <c r="A39">
        <v>24</v>
      </c>
      <c r="B39" s="24">
        <v>45876</v>
      </c>
      <c r="C39" s="16">
        <v>27</v>
      </c>
      <c r="D39" s="16">
        <v>28</v>
      </c>
      <c r="E39" s="16">
        <v>28</v>
      </c>
      <c r="F39" s="16">
        <v>24</v>
      </c>
      <c r="G39" s="16">
        <v>28</v>
      </c>
      <c r="H39" s="20">
        <v>27</v>
      </c>
      <c r="I39" s="16">
        <v>23</v>
      </c>
      <c r="J39" s="16">
        <v>26</v>
      </c>
      <c r="K39" s="16">
        <v>26</v>
      </c>
      <c r="L39" s="16">
        <v>28</v>
      </c>
      <c r="M39">
        <v>26</v>
      </c>
      <c r="N39" s="17">
        <v>26</v>
      </c>
      <c r="O39" s="23">
        <f t="shared" si="3"/>
        <v>26</v>
      </c>
      <c r="P39" s="23">
        <f t="shared" si="1"/>
        <v>1.55</v>
      </c>
      <c r="Q39">
        <f t="shared" si="2"/>
        <v>2</v>
      </c>
    </row>
    <row r="40" spans="1:17" x14ac:dyDescent="0.25">
      <c r="A40">
        <v>32</v>
      </c>
      <c r="B40" s="24">
        <v>45877</v>
      </c>
      <c r="C40" s="16">
        <v>20</v>
      </c>
      <c r="D40" s="16">
        <v>18</v>
      </c>
      <c r="E40" s="16">
        <v>22</v>
      </c>
      <c r="F40" s="16">
        <v>21</v>
      </c>
      <c r="G40" s="16">
        <v>24</v>
      </c>
      <c r="H40" s="20">
        <v>24</v>
      </c>
      <c r="I40" s="16">
        <v>17</v>
      </c>
      <c r="J40" s="16">
        <v>22</v>
      </c>
      <c r="K40" s="16">
        <v>19</v>
      </c>
      <c r="L40" s="16">
        <v>21</v>
      </c>
      <c r="M40">
        <v>21</v>
      </c>
      <c r="N40" s="17">
        <v>23</v>
      </c>
      <c r="O40" s="23">
        <f t="shared" si="3"/>
        <v>21</v>
      </c>
      <c r="P40" s="23">
        <f t="shared" si="1"/>
        <v>2.12</v>
      </c>
      <c r="Q40">
        <f t="shared" si="2"/>
        <v>-11</v>
      </c>
    </row>
    <row r="41" spans="1:17" x14ac:dyDescent="0.25">
      <c r="A41">
        <v>33</v>
      </c>
      <c r="B41" s="24">
        <v>45878</v>
      </c>
      <c r="C41" s="16">
        <v>14</v>
      </c>
      <c r="D41" s="16">
        <v>15</v>
      </c>
      <c r="E41" s="16">
        <v>14</v>
      </c>
      <c r="F41" s="16">
        <v>19</v>
      </c>
      <c r="G41" s="16">
        <v>16</v>
      </c>
      <c r="H41" s="20">
        <v>19</v>
      </c>
      <c r="I41" s="16">
        <v>20</v>
      </c>
      <c r="J41" s="16">
        <v>16</v>
      </c>
      <c r="K41" s="16">
        <v>14</v>
      </c>
      <c r="L41" s="16">
        <v>14</v>
      </c>
      <c r="M41">
        <v>24</v>
      </c>
      <c r="N41" s="17">
        <v>19</v>
      </c>
      <c r="O41" s="23">
        <f t="shared" si="3"/>
        <v>17</v>
      </c>
      <c r="P41" s="23">
        <f t="shared" si="1"/>
        <v>3.06</v>
      </c>
      <c r="Q41">
        <f t="shared" si="2"/>
        <v>-16</v>
      </c>
    </row>
    <row r="42" spans="1:17" x14ac:dyDescent="0.25">
      <c r="A42">
        <v>52</v>
      </c>
      <c r="B42" s="24">
        <v>45879</v>
      </c>
      <c r="C42" s="16">
        <v>20</v>
      </c>
      <c r="D42" s="16">
        <v>21</v>
      </c>
      <c r="E42" s="16">
        <v>18</v>
      </c>
      <c r="F42" s="16">
        <v>14</v>
      </c>
      <c r="G42" s="16">
        <v>17</v>
      </c>
      <c r="H42" s="20">
        <v>17</v>
      </c>
      <c r="I42" s="16">
        <v>16</v>
      </c>
      <c r="J42" s="16">
        <v>18</v>
      </c>
      <c r="K42" s="16">
        <v>15</v>
      </c>
      <c r="L42" s="16">
        <v>19</v>
      </c>
      <c r="M42">
        <v>17</v>
      </c>
      <c r="N42" s="17">
        <v>19</v>
      </c>
      <c r="O42" s="23">
        <f t="shared" si="3"/>
        <v>18</v>
      </c>
      <c r="P42" s="23">
        <f t="shared" si="1"/>
        <v>1.93</v>
      </c>
      <c r="Q42">
        <f t="shared" si="2"/>
        <v>-34</v>
      </c>
    </row>
    <row r="43" spans="1:17" x14ac:dyDescent="0.25">
      <c r="A43">
        <v>17</v>
      </c>
      <c r="B43" s="24">
        <v>45880</v>
      </c>
      <c r="C43" s="16">
        <v>23</v>
      </c>
      <c r="D43" s="16">
        <v>22</v>
      </c>
      <c r="E43" s="16">
        <v>19</v>
      </c>
      <c r="F43" s="16">
        <v>19</v>
      </c>
      <c r="G43" s="16">
        <v>20</v>
      </c>
      <c r="H43" s="20">
        <v>16</v>
      </c>
      <c r="I43" s="16">
        <v>20</v>
      </c>
      <c r="J43" s="16">
        <v>17</v>
      </c>
      <c r="K43" s="16">
        <v>20</v>
      </c>
      <c r="L43" s="16">
        <v>24</v>
      </c>
      <c r="M43">
        <v>18</v>
      </c>
      <c r="N43" s="17">
        <v>20</v>
      </c>
      <c r="O43" s="23">
        <f t="shared" si="3"/>
        <v>20</v>
      </c>
      <c r="P43" s="23">
        <f t="shared" si="1"/>
        <v>2.23</v>
      </c>
      <c r="Q43">
        <f t="shared" si="2"/>
        <v>3</v>
      </c>
    </row>
    <row r="44" spans="1:17" x14ac:dyDescent="0.25">
      <c r="A44">
        <v>11</v>
      </c>
      <c r="B44" s="24">
        <v>45881</v>
      </c>
      <c r="C44" s="16">
        <v>24</v>
      </c>
      <c r="D44" s="16">
        <v>24</v>
      </c>
      <c r="E44" s="16">
        <v>23</v>
      </c>
      <c r="F44" s="16">
        <v>20</v>
      </c>
      <c r="G44" s="16">
        <v>23</v>
      </c>
      <c r="H44" s="20">
        <v>20</v>
      </c>
      <c r="I44" s="16">
        <v>22</v>
      </c>
      <c r="J44" s="16">
        <v>20</v>
      </c>
      <c r="K44" s="16">
        <v>21</v>
      </c>
      <c r="L44" s="16">
        <v>25</v>
      </c>
      <c r="M44">
        <v>23</v>
      </c>
      <c r="N44" s="17">
        <v>25</v>
      </c>
      <c r="O44" s="23">
        <f t="shared" si="3"/>
        <v>23</v>
      </c>
      <c r="P44" s="23">
        <f t="shared" si="1"/>
        <v>1.8</v>
      </c>
      <c r="Q44">
        <f t="shared" si="2"/>
        <v>12</v>
      </c>
    </row>
    <row r="45" spans="1:17" ht="15.75" thickBot="1" x14ac:dyDescent="0.3">
      <c r="A45">
        <v>25</v>
      </c>
      <c r="B45" s="24">
        <v>45882</v>
      </c>
      <c r="C45" s="25">
        <v>22</v>
      </c>
      <c r="D45" s="18">
        <v>23</v>
      </c>
      <c r="E45" s="18">
        <v>21</v>
      </c>
      <c r="F45" s="18">
        <v>26</v>
      </c>
      <c r="G45" s="18">
        <v>22</v>
      </c>
      <c r="H45" s="21">
        <v>24</v>
      </c>
      <c r="I45" s="18">
        <v>23</v>
      </c>
      <c r="J45" s="18">
        <v>22</v>
      </c>
      <c r="K45" s="18">
        <v>22</v>
      </c>
      <c r="L45" s="18">
        <v>22</v>
      </c>
      <c r="M45" s="18">
        <v>22</v>
      </c>
      <c r="N45" s="19">
        <v>27</v>
      </c>
      <c r="O45" s="23">
        <f t="shared" ref="O45:O82" si="4">ROUND(AVERAGE(C45:N45),0)</f>
        <v>23</v>
      </c>
      <c r="P45" s="23">
        <f t="shared" si="1"/>
        <v>1.73</v>
      </c>
      <c r="Q45">
        <f t="shared" si="2"/>
        <v>-2</v>
      </c>
    </row>
    <row r="46" spans="1:17" x14ac:dyDescent="0.25">
      <c r="A46">
        <v>36</v>
      </c>
      <c r="B46" s="24">
        <v>45883</v>
      </c>
      <c r="C46">
        <v>26</v>
      </c>
      <c r="D46">
        <v>24</v>
      </c>
      <c r="E46">
        <v>25</v>
      </c>
      <c r="F46">
        <v>26</v>
      </c>
      <c r="G46">
        <v>27</v>
      </c>
      <c r="H46">
        <v>25</v>
      </c>
      <c r="I46">
        <v>26</v>
      </c>
      <c r="J46">
        <v>25</v>
      </c>
      <c r="K46">
        <v>24</v>
      </c>
      <c r="L46">
        <v>27</v>
      </c>
      <c r="M46">
        <v>24</v>
      </c>
      <c r="N46">
        <v>27</v>
      </c>
      <c r="O46" s="23">
        <f t="shared" si="4"/>
        <v>26</v>
      </c>
      <c r="P46" s="23">
        <f t="shared" si="1"/>
        <v>1.1200000000000001</v>
      </c>
      <c r="Q46">
        <f t="shared" si="2"/>
        <v>-10</v>
      </c>
    </row>
    <row r="47" spans="1:17" x14ac:dyDescent="0.25">
      <c r="A47">
        <v>46</v>
      </c>
      <c r="B47" s="24">
        <v>45884</v>
      </c>
      <c r="C47">
        <v>22</v>
      </c>
      <c r="O47" s="23">
        <f t="shared" si="4"/>
        <v>22</v>
      </c>
      <c r="P47" s="23">
        <f t="shared" si="1"/>
        <v>0</v>
      </c>
      <c r="Q47">
        <f t="shared" si="2"/>
        <v>-24</v>
      </c>
    </row>
    <row r="48" spans="1:17" x14ac:dyDescent="0.25">
      <c r="A48">
        <v>23</v>
      </c>
      <c r="B48" s="24">
        <v>45885</v>
      </c>
      <c r="C48">
        <v>19</v>
      </c>
      <c r="O48" s="23">
        <f t="shared" si="4"/>
        <v>19</v>
      </c>
      <c r="P48" s="23">
        <f t="shared" si="1"/>
        <v>0</v>
      </c>
      <c r="Q48">
        <f t="shared" si="2"/>
        <v>-4</v>
      </c>
    </row>
    <row r="49" spans="1:17" x14ac:dyDescent="0.25">
      <c r="A49">
        <v>58</v>
      </c>
      <c r="B49" s="24">
        <v>45886</v>
      </c>
      <c r="C49">
        <v>16</v>
      </c>
      <c r="O49" s="23">
        <f t="shared" si="4"/>
        <v>16</v>
      </c>
      <c r="P49" s="23">
        <f t="shared" si="1"/>
        <v>0</v>
      </c>
      <c r="Q49">
        <f t="shared" si="2"/>
        <v>-42</v>
      </c>
    </row>
    <row r="50" spans="1:17" x14ac:dyDescent="0.25">
      <c r="A50">
        <v>20</v>
      </c>
      <c r="B50" s="24">
        <v>45887</v>
      </c>
      <c r="C50">
        <v>17</v>
      </c>
      <c r="O50" s="23">
        <f t="shared" si="4"/>
        <v>17</v>
      </c>
      <c r="P50" s="23">
        <f t="shared" si="1"/>
        <v>0</v>
      </c>
      <c r="Q50">
        <f t="shared" si="2"/>
        <v>-3</v>
      </c>
    </row>
    <row r="51" spans="1:17" x14ac:dyDescent="0.25">
      <c r="A51">
        <v>11</v>
      </c>
      <c r="B51" s="24">
        <v>45888</v>
      </c>
      <c r="C51">
        <v>19</v>
      </c>
      <c r="O51" s="23">
        <f t="shared" si="4"/>
        <v>19</v>
      </c>
      <c r="P51" s="23">
        <f t="shared" si="1"/>
        <v>0</v>
      </c>
      <c r="Q51">
        <f t="shared" si="2"/>
        <v>8</v>
      </c>
    </row>
    <row r="52" spans="1:17" x14ac:dyDescent="0.25">
      <c r="A52">
        <v>8</v>
      </c>
      <c r="B52" s="24">
        <v>45889</v>
      </c>
      <c r="C52">
        <v>22</v>
      </c>
      <c r="O52" s="23">
        <f t="shared" si="4"/>
        <v>22</v>
      </c>
      <c r="P52" s="23">
        <f t="shared" si="1"/>
        <v>0</v>
      </c>
      <c r="Q52">
        <f t="shared" si="2"/>
        <v>14</v>
      </c>
    </row>
    <row r="53" spans="1:17" x14ac:dyDescent="0.25">
      <c r="A53">
        <v>10</v>
      </c>
      <c r="B53" s="24">
        <v>45890</v>
      </c>
      <c r="C53">
        <v>25</v>
      </c>
      <c r="O53" s="23">
        <f t="shared" si="4"/>
        <v>25</v>
      </c>
      <c r="P53" s="23">
        <f t="shared" si="1"/>
        <v>0</v>
      </c>
      <c r="Q53">
        <f t="shared" si="2"/>
        <v>15</v>
      </c>
    </row>
    <row r="54" spans="1:17" x14ac:dyDescent="0.25">
      <c r="A54">
        <v>41</v>
      </c>
      <c r="B54" s="24">
        <v>45891</v>
      </c>
      <c r="C54">
        <v>27</v>
      </c>
      <c r="O54" s="23">
        <f t="shared" si="4"/>
        <v>27</v>
      </c>
      <c r="P54" s="23">
        <f t="shared" si="1"/>
        <v>0</v>
      </c>
      <c r="Q54">
        <f t="shared" si="2"/>
        <v>-14</v>
      </c>
    </row>
    <row r="55" spans="1:17" x14ac:dyDescent="0.25">
      <c r="A55">
        <v>42</v>
      </c>
      <c r="B55" s="24">
        <v>45892</v>
      </c>
      <c r="C55">
        <v>18</v>
      </c>
      <c r="O55" s="23">
        <f t="shared" si="4"/>
        <v>18</v>
      </c>
      <c r="P55" s="23">
        <f t="shared" si="1"/>
        <v>0</v>
      </c>
      <c r="Q55">
        <f t="shared" si="2"/>
        <v>-24</v>
      </c>
    </row>
    <row r="56" spans="1:17" x14ac:dyDescent="0.25">
      <c r="A56">
        <v>78</v>
      </c>
      <c r="B56" s="24">
        <v>45893</v>
      </c>
      <c r="C56">
        <v>43</v>
      </c>
      <c r="O56" s="23">
        <f t="shared" si="4"/>
        <v>43</v>
      </c>
      <c r="P56" s="23">
        <f t="shared" si="1"/>
        <v>0</v>
      </c>
      <c r="Q56">
        <f t="shared" si="2"/>
        <v>-35</v>
      </c>
    </row>
    <row r="57" spans="1:17" x14ac:dyDescent="0.25">
      <c r="A57">
        <v>11</v>
      </c>
      <c r="B57" s="24">
        <v>45894</v>
      </c>
      <c r="C57">
        <v>30</v>
      </c>
      <c r="O57" s="23">
        <f t="shared" si="4"/>
        <v>30</v>
      </c>
      <c r="P57" s="23">
        <f t="shared" si="1"/>
        <v>0</v>
      </c>
      <c r="Q57">
        <f t="shared" si="2"/>
        <v>19</v>
      </c>
    </row>
    <row r="58" spans="1:17" x14ac:dyDescent="0.25">
      <c r="A58">
        <v>19</v>
      </c>
      <c r="B58" s="24">
        <v>45895</v>
      </c>
      <c r="C58">
        <v>26</v>
      </c>
      <c r="O58" s="23">
        <f t="shared" si="4"/>
        <v>26</v>
      </c>
      <c r="P58" s="23">
        <f t="shared" si="1"/>
        <v>0</v>
      </c>
      <c r="Q58">
        <f t="shared" si="2"/>
        <v>7</v>
      </c>
    </row>
    <row r="59" spans="1:17" x14ac:dyDescent="0.25">
      <c r="A59">
        <v>27</v>
      </c>
      <c r="B59" s="24">
        <v>45896</v>
      </c>
      <c r="C59">
        <v>28</v>
      </c>
      <c r="O59" s="23">
        <f t="shared" si="4"/>
        <v>28</v>
      </c>
      <c r="P59" s="23">
        <f t="shared" si="1"/>
        <v>0</v>
      </c>
      <c r="Q59">
        <f t="shared" si="2"/>
        <v>1</v>
      </c>
    </row>
    <row r="60" spans="1:17" x14ac:dyDescent="0.25">
      <c r="A60">
        <v>43</v>
      </c>
      <c r="B60" s="24">
        <v>45897</v>
      </c>
      <c r="C60">
        <v>25</v>
      </c>
      <c r="O60" s="23">
        <f t="shared" si="4"/>
        <v>25</v>
      </c>
      <c r="P60" s="23">
        <f t="shared" si="1"/>
        <v>0</v>
      </c>
      <c r="Q60">
        <f t="shared" si="2"/>
        <v>-18</v>
      </c>
    </row>
    <row r="61" spans="1:17" x14ac:dyDescent="0.25">
      <c r="A61">
        <v>51</v>
      </c>
      <c r="B61" s="24">
        <v>45898</v>
      </c>
      <c r="C61">
        <v>23</v>
      </c>
      <c r="O61" s="23">
        <f t="shared" si="4"/>
        <v>23</v>
      </c>
      <c r="P61" s="23">
        <f t="shared" si="1"/>
        <v>0</v>
      </c>
      <c r="Q61">
        <f t="shared" si="2"/>
        <v>-28</v>
      </c>
    </row>
    <row r="62" spans="1:17" x14ac:dyDescent="0.25">
      <c r="A62">
        <v>45</v>
      </c>
      <c r="B62" s="24">
        <v>45899</v>
      </c>
      <c r="C62">
        <v>17</v>
      </c>
      <c r="O62" s="23">
        <f t="shared" si="4"/>
        <v>17</v>
      </c>
      <c r="P62" s="23">
        <f t="shared" si="1"/>
        <v>0</v>
      </c>
      <c r="Q62">
        <f t="shared" si="2"/>
        <v>-28</v>
      </c>
    </row>
    <row r="63" spans="1:17" x14ac:dyDescent="0.25">
      <c r="A63">
        <v>62</v>
      </c>
      <c r="B63" s="24">
        <v>45900</v>
      </c>
      <c r="C63">
        <v>41</v>
      </c>
      <c r="O63" s="23">
        <f t="shared" si="4"/>
        <v>41</v>
      </c>
      <c r="P63" s="23">
        <f t="shared" si="1"/>
        <v>0</v>
      </c>
      <c r="Q63">
        <f t="shared" si="2"/>
        <v>-21</v>
      </c>
    </row>
    <row r="64" spans="1:17" s="26" customFormat="1" x14ac:dyDescent="0.25">
      <c r="A64" s="14">
        <v>0</v>
      </c>
      <c r="B64" s="27">
        <v>45901</v>
      </c>
      <c r="C64" s="26">
        <v>21</v>
      </c>
      <c r="D64" s="26">
        <v>34</v>
      </c>
      <c r="E64" s="26">
        <v>18</v>
      </c>
      <c r="F64" s="26">
        <v>16</v>
      </c>
      <c r="G64" s="26">
        <v>17</v>
      </c>
      <c r="H64" s="26">
        <v>17</v>
      </c>
      <c r="I64" s="26">
        <v>0</v>
      </c>
      <c r="O64" s="28">
        <f t="shared" si="4"/>
        <v>18</v>
      </c>
      <c r="P64" s="23">
        <f t="shared" si="1"/>
        <v>9.2100000000000009</v>
      </c>
      <c r="Q64">
        <f t="shared" si="2"/>
        <v>18</v>
      </c>
    </row>
    <row r="65" spans="1:17" x14ac:dyDescent="0.25">
      <c r="A65" s="14">
        <v>13</v>
      </c>
      <c r="B65" s="24">
        <v>45902</v>
      </c>
      <c r="C65">
        <v>30</v>
      </c>
      <c r="D65">
        <v>33</v>
      </c>
      <c r="E65">
        <v>21</v>
      </c>
      <c r="F65">
        <v>16</v>
      </c>
      <c r="G65">
        <v>25</v>
      </c>
      <c r="H65">
        <v>24</v>
      </c>
      <c r="I65">
        <v>20</v>
      </c>
      <c r="O65" s="23">
        <f t="shared" si="4"/>
        <v>24</v>
      </c>
      <c r="P65" s="23">
        <f t="shared" si="1"/>
        <v>5.44</v>
      </c>
      <c r="Q65">
        <f t="shared" si="2"/>
        <v>11</v>
      </c>
    </row>
    <row r="66" spans="1:17" x14ac:dyDescent="0.25">
      <c r="A66" s="14">
        <v>12</v>
      </c>
      <c r="B66" s="24">
        <v>45903</v>
      </c>
      <c r="C66">
        <v>16</v>
      </c>
      <c r="D66">
        <v>18</v>
      </c>
      <c r="E66">
        <v>18</v>
      </c>
      <c r="F66">
        <v>12</v>
      </c>
      <c r="G66">
        <v>14</v>
      </c>
      <c r="H66">
        <v>20</v>
      </c>
      <c r="I66">
        <v>14</v>
      </c>
      <c r="O66" s="23">
        <f t="shared" si="4"/>
        <v>16</v>
      </c>
      <c r="P66" s="23">
        <f t="shared" si="1"/>
        <v>2.62</v>
      </c>
      <c r="Q66">
        <f t="shared" si="2"/>
        <v>4</v>
      </c>
    </row>
    <row r="67" spans="1:17" x14ac:dyDescent="0.25">
      <c r="A67" s="14">
        <v>19</v>
      </c>
      <c r="B67" s="24">
        <v>45904</v>
      </c>
      <c r="C67">
        <v>19</v>
      </c>
      <c r="D67">
        <v>26</v>
      </c>
      <c r="E67">
        <v>22</v>
      </c>
      <c r="F67">
        <v>30</v>
      </c>
      <c r="G67">
        <v>19</v>
      </c>
      <c r="H67">
        <v>27</v>
      </c>
      <c r="I67">
        <v>19</v>
      </c>
      <c r="O67" s="23">
        <f t="shared" si="4"/>
        <v>23</v>
      </c>
      <c r="P67" s="23">
        <f t="shared" ref="P67:P130" si="5">ROUND(_xlfn.STDEV.P(C67:N67),2)</f>
        <v>4.1900000000000004</v>
      </c>
      <c r="Q67">
        <f t="shared" ref="Q67:Q130" si="6">O67-A67</f>
        <v>4</v>
      </c>
    </row>
    <row r="68" spans="1:17" x14ac:dyDescent="0.25">
      <c r="A68" s="14">
        <v>8</v>
      </c>
      <c r="B68" s="24">
        <v>45905</v>
      </c>
      <c r="C68">
        <v>26</v>
      </c>
      <c r="D68">
        <v>39</v>
      </c>
      <c r="E68">
        <v>35</v>
      </c>
      <c r="F68">
        <v>35</v>
      </c>
      <c r="G68">
        <v>34</v>
      </c>
      <c r="H68">
        <v>36</v>
      </c>
      <c r="I68">
        <v>44</v>
      </c>
      <c r="O68" s="23">
        <f t="shared" si="4"/>
        <v>36</v>
      </c>
      <c r="P68" s="23">
        <f t="shared" si="5"/>
        <v>5.04</v>
      </c>
      <c r="Q68">
        <f t="shared" si="6"/>
        <v>28</v>
      </c>
    </row>
    <row r="69" spans="1:17" x14ac:dyDescent="0.25">
      <c r="A69" s="14">
        <v>15</v>
      </c>
      <c r="B69" s="24">
        <v>45906</v>
      </c>
      <c r="C69">
        <v>40</v>
      </c>
      <c r="D69">
        <v>49</v>
      </c>
      <c r="E69">
        <v>48</v>
      </c>
      <c r="F69">
        <v>34</v>
      </c>
      <c r="G69">
        <v>32</v>
      </c>
      <c r="H69">
        <v>33</v>
      </c>
      <c r="I69">
        <v>28</v>
      </c>
      <c r="O69" s="23">
        <f t="shared" si="4"/>
        <v>38</v>
      </c>
      <c r="P69" s="23">
        <f t="shared" si="5"/>
        <v>7.57</v>
      </c>
      <c r="Q69">
        <f t="shared" si="6"/>
        <v>23</v>
      </c>
    </row>
    <row r="70" spans="1:17" x14ac:dyDescent="0.25">
      <c r="A70" s="14">
        <v>51</v>
      </c>
      <c r="B70" s="24">
        <v>45907</v>
      </c>
      <c r="C70">
        <v>24</v>
      </c>
      <c r="D70">
        <v>33</v>
      </c>
      <c r="E70">
        <v>36</v>
      </c>
      <c r="F70">
        <v>36</v>
      </c>
      <c r="G70">
        <v>29</v>
      </c>
      <c r="H70">
        <v>34</v>
      </c>
      <c r="I70">
        <v>47</v>
      </c>
      <c r="O70" s="23">
        <f t="shared" si="4"/>
        <v>34</v>
      </c>
      <c r="P70" s="23">
        <f t="shared" si="5"/>
        <v>6.58</v>
      </c>
      <c r="Q70">
        <f t="shared" si="6"/>
        <v>-17</v>
      </c>
    </row>
    <row r="71" spans="1:17" x14ac:dyDescent="0.25">
      <c r="A71" s="14">
        <v>24</v>
      </c>
      <c r="B71" s="24">
        <v>45908</v>
      </c>
      <c r="C71">
        <v>17</v>
      </c>
      <c r="D71">
        <v>29</v>
      </c>
      <c r="E71">
        <v>23</v>
      </c>
      <c r="F71">
        <v>20</v>
      </c>
      <c r="G71">
        <v>17</v>
      </c>
      <c r="H71">
        <v>20</v>
      </c>
      <c r="I71">
        <v>22</v>
      </c>
      <c r="O71" s="23">
        <f t="shared" si="4"/>
        <v>21</v>
      </c>
      <c r="P71" s="23">
        <f t="shared" si="5"/>
        <v>3.83</v>
      </c>
      <c r="Q71">
        <f t="shared" si="6"/>
        <v>-3</v>
      </c>
    </row>
    <row r="72" spans="1:17" x14ac:dyDescent="0.25">
      <c r="A72" s="14">
        <v>29</v>
      </c>
      <c r="B72" s="24">
        <v>45909</v>
      </c>
      <c r="C72">
        <v>24</v>
      </c>
      <c r="D72">
        <v>25</v>
      </c>
      <c r="E72">
        <v>23</v>
      </c>
      <c r="F72">
        <v>18</v>
      </c>
      <c r="G72">
        <v>20</v>
      </c>
      <c r="H72">
        <v>20</v>
      </c>
      <c r="I72">
        <v>21</v>
      </c>
      <c r="O72" s="23">
        <f t="shared" si="4"/>
        <v>22</v>
      </c>
      <c r="P72" s="23">
        <f t="shared" si="5"/>
        <v>2.3199999999999998</v>
      </c>
      <c r="Q72">
        <f t="shared" si="6"/>
        <v>-7</v>
      </c>
    </row>
    <row r="73" spans="1:17" x14ac:dyDescent="0.25">
      <c r="A73" s="14">
        <v>48</v>
      </c>
      <c r="B73" s="24">
        <v>45910</v>
      </c>
      <c r="C73">
        <v>28</v>
      </c>
      <c r="D73">
        <v>20</v>
      </c>
      <c r="E73">
        <v>24</v>
      </c>
      <c r="F73">
        <v>26</v>
      </c>
      <c r="G73">
        <v>19</v>
      </c>
      <c r="H73">
        <v>20</v>
      </c>
      <c r="I73">
        <v>20</v>
      </c>
      <c r="O73" s="23">
        <f t="shared" si="4"/>
        <v>22</v>
      </c>
      <c r="P73" s="23">
        <f t="shared" si="5"/>
        <v>3.29</v>
      </c>
      <c r="Q73">
        <f t="shared" si="6"/>
        <v>-26</v>
      </c>
    </row>
    <row r="74" spans="1:17" x14ac:dyDescent="0.25">
      <c r="A74" s="14">
        <v>41</v>
      </c>
      <c r="B74" s="24">
        <v>45911</v>
      </c>
      <c r="C74">
        <v>35</v>
      </c>
      <c r="D74">
        <v>23</v>
      </c>
      <c r="E74">
        <v>28</v>
      </c>
      <c r="F74">
        <v>23</v>
      </c>
      <c r="G74">
        <v>24</v>
      </c>
      <c r="H74">
        <v>26</v>
      </c>
      <c r="I74">
        <v>27</v>
      </c>
      <c r="O74" s="23">
        <f t="shared" si="4"/>
        <v>27</v>
      </c>
      <c r="P74" s="23">
        <f t="shared" si="5"/>
        <v>3.89</v>
      </c>
      <c r="Q74">
        <f t="shared" si="6"/>
        <v>-14</v>
      </c>
    </row>
    <row r="75" spans="1:17" x14ac:dyDescent="0.25">
      <c r="A75" s="14">
        <v>45</v>
      </c>
      <c r="B75" s="24">
        <v>45912</v>
      </c>
      <c r="C75">
        <v>22</v>
      </c>
      <c r="D75">
        <v>26</v>
      </c>
      <c r="E75">
        <v>20</v>
      </c>
      <c r="F75">
        <v>22</v>
      </c>
      <c r="G75">
        <v>26</v>
      </c>
      <c r="H75">
        <v>22</v>
      </c>
      <c r="I75">
        <v>20</v>
      </c>
      <c r="O75" s="23">
        <f t="shared" si="4"/>
        <v>23</v>
      </c>
      <c r="P75" s="23">
        <f t="shared" si="5"/>
        <v>2.3199999999999998</v>
      </c>
      <c r="Q75">
        <f t="shared" si="6"/>
        <v>-22</v>
      </c>
    </row>
    <row r="76" spans="1:17" x14ac:dyDescent="0.25">
      <c r="A76" s="14">
        <v>36</v>
      </c>
      <c r="B76" s="24">
        <v>45913</v>
      </c>
      <c r="C76">
        <v>37</v>
      </c>
      <c r="D76">
        <v>32</v>
      </c>
      <c r="E76">
        <v>43</v>
      </c>
      <c r="F76">
        <v>32</v>
      </c>
      <c r="G76">
        <v>31</v>
      </c>
      <c r="H76">
        <v>24</v>
      </c>
      <c r="I76">
        <v>24</v>
      </c>
      <c r="O76" s="23">
        <f t="shared" si="4"/>
        <v>32</v>
      </c>
      <c r="P76" s="23">
        <f t="shared" si="5"/>
        <v>6.27</v>
      </c>
      <c r="Q76">
        <f t="shared" si="6"/>
        <v>-4</v>
      </c>
    </row>
    <row r="77" spans="1:17" x14ac:dyDescent="0.25">
      <c r="A77" s="14">
        <v>41</v>
      </c>
      <c r="B77" s="24">
        <v>45914</v>
      </c>
      <c r="C77">
        <v>56</v>
      </c>
      <c r="D77">
        <v>43</v>
      </c>
      <c r="E77">
        <v>24</v>
      </c>
      <c r="F77">
        <v>32</v>
      </c>
      <c r="G77">
        <v>51</v>
      </c>
      <c r="H77">
        <v>62</v>
      </c>
      <c r="I77">
        <v>73</v>
      </c>
      <c r="O77" s="23">
        <f t="shared" si="4"/>
        <v>49</v>
      </c>
      <c r="P77" s="23">
        <f t="shared" si="5"/>
        <v>15.8</v>
      </c>
      <c r="Q77">
        <f t="shared" si="6"/>
        <v>8</v>
      </c>
    </row>
    <row r="78" spans="1:17" x14ac:dyDescent="0.25">
      <c r="A78" s="14">
        <v>8</v>
      </c>
      <c r="B78" s="24">
        <v>45915</v>
      </c>
      <c r="C78">
        <v>14</v>
      </c>
      <c r="D78">
        <v>26</v>
      </c>
      <c r="E78">
        <v>25</v>
      </c>
      <c r="F78">
        <v>16</v>
      </c>
      <c r="G78">
        <v>14</v>
      </c>
      <c r="H78">
        <v>13</v>
      </c>
      <c r="I78">
        <v>21</v>
      </c>
      <c r="O78" s="23">
        <f t="shared" si="4"/>
        <v>18</v>
      </c>
      <c r="P78" s="23">
        <f t="shared" si="5"/>
        <v>5.0999999999999996</v>
      </c>
      <c r="Q78">
        <f t="shared" si="6"/>
        <v>10</v>
      </c>
    </row>
    <row r="79" spans="1:17" x14ac:dyDescent="0.25">
      <c r="A79" s="14">
        <v>50</v>
      </c>
      <c r="B79" s="24">
        <v>45916</v>
      </c>
      <c r="C79">
        <v>20</v>
      </c>
      <c r="D79">
        <v>40</v>
      </c>
      <c r="E79">
        <v>29</v>
      </c>
      <c r="F79">
        <v>25</v>
      </c>
      <c r="G79">
        <v>25</v>
      </c>
      <c r="H79">
        <v>21</v>
      </c>
      <c r="I79">
        <v>27</v>
      </c>
      <c r="O79" s="23">
        <f t="shared" si="4"/>
        <v>27</v>
      </c>
      <c r="P79" s="23">
        <f t="shared" si="5"/>
        <v>6.16</v>
      </c>
      <c r="Q79">
        <f t="shared" si="6"/>
        <v>-23</v>
      </c>
    </row>
    <row r="80" spans="1:17" x14ac:dyDescent="0.25">
      <c r="A80" s="14">
        <v>13</v>
      </c>
      <c r="B80" s="24">
        <v>45917</v>
      </c>
      <c r="C80">
        <v>28</v>
      </c>
      <c r="D80">
        <v>23</v>
      </c>
      <c r="E80">
        <v>25</v>
      </c>
      <c r="F80">
        <v>27</v>
      </c>
      <c r="G80">
        <v>15</v>
      </c>
      <c r="H80">
        <v>18</v>
      </c>
      <c r="I80">
        <v>38</v>
      </c>
      <c r="O80" s="23">
        <f t="shared" si="4"/>
        <v>25</v>
      </c>
      <c r="P80" s="23">
        <f t="shared" si="5"/>
        <v>6.92</v>
      </c>
      <c r="Q80">
        <f t="shared" si="6"/>
        <v>12</v>
      </c>
    </row>
    <row r="81" spans="1:17" x14ac:dyDescent="0.25">
      <c r="A81" s="14">
        <v>18</v>
      </c>
      <c r="B81" s="24">
        <v>45918</v>
      </c>
      <c r="C81">
        <v>27</v>
      </c>
      <c r="D81">
        <v>18</v>
      </c>
      <c r="E81">
        <v>27</v>
      </c>
      <c r="F81">
        <v>20</v>
      </c>
      <c r="G81">
        <v>20</v>
      </c>
      <c r="H81">
        <v>24</v>
      </c>
      <c r="I81">
        <v>22</v>
      </c>
      <c r="O81" s="23">
        <f t="shared" si="4"/>
        <v>23</v>
      </c>
      <c r="P81" s="23">
        <f t="shared" si="5"/>
        <v>3.29</v>
      </c>
      <c r="Q81">
        <f t="shared" si="6"/>
        <v>5</v>
      </c>
    </row>
    <row r="82" spans="1:17" x14ac:dyDescent="0.25">
      <c r="A82" s="14">
        <v>37</v>
      </c>
      <c r="B82" s="24">
        <v>45919</v>
      </c>
      <c r="C82">
        <v>23</v>
      </c>
      <c r="D82">
        <v>34</v>
      </c>
      <c r="E82">
        <v>30</v>
      </c>
      <c r="F82">
        <v>32</v>
      </c>
      <c r="G82">
        <v>20</v>
      </c>
      <c r="H82">
        <v>24</v>
      </c>
      <c r="I82">
        <v>19</v>
      </c>
      <c r="O82" s="23">
        <f t="shared" si="4"/>
        <v>26</v>
      </c>
      <c r="P82" s="23">
        <f t="shared" si="5"/>
        <v>5.53</v>
      </c>
      <c r="Q82">
        <f t="shared" si="6"/>
        <v>-11</v>
      </c>
    </row>
    <row r="83" spans="1:17" x14ac:dyDescent="0.25">
      <c r="A83" s="14">
        <v>22</v>
      </c>
      <c r="B83" s="24">
        <v>45920</v>
      </c>
      <c r="O83" s="23" t="e">
        <f t="shared" ref="O83:O123" si="7">ROUND(AVERAGE(C83:N83),0)</f>
        <v>#DIV/0!</v>
      </c>
      <c r="P83" s="23" t="e">
        <f t="shared" si="5"/>
        <v>#DIV/0!</v>
      </c>
      <c r="Q83" t="e">
        <f t="shared" si="6"/>
        <v>#DIV/0!</v>
      </c>
    </row>
    <row r="84" spans="1:17" x14ac:dyDescent="0.25">
      <c r="A84" s="14">
        <v>24</v>
      </c>
      <c r="B84" s="24">
        <v>45921</v>
      </c>
      <c r="O84" s="23" t="e">
        <f t="shared" si="7"/>
        <v>#DIV/0!</v>
      </c>
      <c r="P84" s="23" t="e">
        <f t="shared" si="5"/>
        <v>#DIV/0!</v>
      </c>
      <c r="Q84" t="e">
        <f t="shared" si="6"/>
        <v>#DIV/0!</v>
      </c>
    </row>
    <row r="85" spans="1:17" x14ac:dyDescent="0.25">
      <c r="A85" s="14">
        <v>12</v>
      </c>
      <c r="B85" s="24">
        <v>45922</v>
      </c>
      <c r="O85" s="23" t="e">
        <f t="shared" si="7"/>
        <v>#DIV/0!</v>
      </c>
      <c r="P85" s="23" t="e">
        <f t="shared" si="5"/>
        <v>#DIV/0!</v>
      </c>
      <c r="Q85" t="e">
        <f t="shared" si="6"/>
        <v>#DIV/0!</v>
      </c>
    </row>
    <row r="86" spans="1:17" x14ac:dyDescent="0.25">
      <c r="A86" s="14">
        <v>11</v>
      </c>
      <c r="B86" s="24">
        <v>45923</v>
      </c>
      <c r="O86" s="23" t="e">
        <f t="shared" si="7"/>
        <v>#DIV/0!</v>
      </c>
      <c r="P86" s="23" t="e">
        <f t="shared" si="5"/>
        <v>#DIV/0!</v>
      </c>
      <c r="Q86" t="e">
        <f t="shared" si="6"/>
        <v>#DIV/0!</v>
      </c>
    </row>
    <row r="87" spans="1:17" x14ac:dyDescent="0.25">
      <c r="A87" s="14">
        <v>33</v>
      </c>
      <c r="B87" s="24">
        <v>45924</v>
      </c>
      <c r="O87" s="23" t="e">
        <f t="shared" si="7"/>
        <v>#DIV/0!</v>
      </c>
      <c r="P87" s="23" t="e">
        <f t="shared" si="5"/>
        <v>#DIV/0!</v>
      </c>
      <c r="Q87" t="e">
        <f t="shared" si="6"/>
        <v>#DIV/0!</v>
      </c>
    </row>
    <row r="88" spans="1:17" x14ac:dyDescent="0.25">
      <c r="A88" s="14">
        <v>21</v>
      </c>
      <c r="B88" s="24">
        <v>45925</v>
      </c>
      <c r="O88" s="23" t="e">
        <f t="shared" si="7"/>
        <v>#DIV/0!</v>
      </c>
      <c r="P88" s="23" t="e">
        <f t="shared" si="5"/>
        <v>#DIV/0!</v>
      </c>
      <c r="Q88" t="e">
        <f t="shared" si="6"/>
        <v>#DIV/0!</v>
      </c>
    </row>
    <row r="89" spans="1:17" x14ac:dyDescent="0.25">
      <c r="A89" s="14">
        <v>27</v>
      </c>
      <c r="B89" s="24">
        <v>45926</v>
      </c>
      <c r="O89" s="23" t="e">
        <f t="shared" si="7"/>
        <v>#DIV/0!</v>
      </c>
      <c r="P89" s="23" t="e">
        <f t="shared" si="5"/>
        <v>#DIV/0!</v>
      </c>
      <c r="Q89" t="e">
        <f t="shared" si="6"/>
        <v>#DIV/0!</v>
      </c>
    </row>
    <row r="90" spans="1:17" x14ac:dyDescent="0.25">
      <c r="A90" s="14">
        <v>37</v>
      </c>
      <c r="B90" s="24">
        <v>45927</v>
      </c>
      <c r="O90" s="23" t="e">
        <f t="shared" si="7"/>
        <v>#DIV/0!</v>
      </c>
      <c r="P90" s="23" t="e">
        <f t="shared" si="5"/>
        <v>#DIV/0!</v>
      </c>
      <c r="Q90" t="e">
        <f t="shared" si="6"/>
        <v>#DIV/0!</v>
      </c>
    </row>
    <row r="91" spans="1:17" x14ac:dyDescent="0.25">
      <c r="A91" s="14">
        <v>58</v>
      </c>
      <c r="B91" s="24">
        <v>45928</v>
      </c>
      <c r="O91" s="23" t="e">
        <f t="shared" si="7"/>
        <v>#DIV/0!</v>
      </c>
      <c r="P91" s="23" t="e">
        <f t="shared" si="5"/>
        <v>#DIV/0!</v>
      </c>
      <c r="Q91" t="e">
        <f t="shared" si="6"/>
        <v>#DIV/0!</v>
      </c>
    </row>
    <row r="92" spans="1:17" x14ac:dyDescent="0.25">
      <c r="A92" s="14">
        <v>16</v>
      </c>
      <c r="B92" s="24">
        <v>45929</v>
      </c>
      <c r="O92" s="23" t="e">
        <f t="shared" si="7"/>
        <v>#DIV/0!</v>
      </c>
      <c r="P92" s="23" t="e">
        <f t="shared" si="5"/>
        <v>#DIV/0!</v>
      </c>
      <c r="Q92" t="e">
        <f t="shared" si="6"/>
        <v>#DIV/0!</v>
      </c>
    </row>
    <row r="93" spans="1:17" x14ac:dyDescent="0.25">
      <c r="A93" s="14">
        <v>18</v>
      </c>
      <c r="B93" s="24">
        <v>45930</v>
      </c>
      <c r="O93" s="23" t="e">
        <f t="shared" si="7"/>
        <v>#DIV/0!</v>
      </c>
      <c r="P93" s="23" t="e">
        <f t="shared" si="5"/>
        <v>#DIV/0!</v>
      </c>
      <c r="Q93" t="e">
        <f t="shared" si="6"/>
        <v>#DIV/0!</v>
      </c>
    </row>
    <row r="94" spans="1:17" x14ac:dyDescent="0.25">
      <c r="A94" s="14">
        <v>23</v>
      </c>
      <c r="B94" s="24">
        <v>45931</v>
      </c>
      <c r="O94" s="23" t="e">
        <f t="shared" si="7"/>
        <v>#DIV/0!</v>
      </c>
      <c r="P94" s="23" t="e">
        <f t="shared" si="5"/>
        <v>#DIV/0!</v>
      </c>
      <c r="Q94" t="e">
        <f t="shared" si="6"/>
        <v>#DIV/0!</v>
      </c>
    </row>
    <row r="95" spans="1:17" x14ac:dyDescent="0.25">
      <c r="A95" s="14">
        <v>23</v>
      </c>
      <c r="B95" s="24">
        <v>45932</v>
      </c>
      <c r="O95" s="23" t="e">
        <f t="shared" si="7"/>
        <v>#DIV/0!</v>
      </c>
      <c r="P95" s="23" t="e">
        <f t="shared" si="5"/>
        <v>#DIV/0!</v>
      </c>
      <c r="Q95" t="e">
        <f t="shared" si="6"/>
        <v>#DIV/0!</v>
      </c>
    </row>
    <row r="96" spans="1:17" x14ac:dyDescent="0.25">
      <c r="A96" s="14">
        <v>34</v>
      </c>
      <c r="B96" s="24">
        <v>45933</v>
      </c>
      <c r="O96" s="23" t="e">
        <f t="shared" si="7"/>
        <v>#DIV/0!</v>
      </c>
      <c r="P96" s="23" t="e">
        <f t="shared" si="5"/>
        <v>#DIV/0!</v>
      </c>
      <c r="Q96" t="e">
        <f t="shared" si="6"/>
        <v>#DIV/0!</v>
      </c>
    </row>
    <row r="97" spans="1:17" x14ac:dyDescent="0.25">
      <c r="A97" s="14">
        <v>42</v>
      </c>
      <c r="B97" s="24">
        <v>45934</v>
      </c>
      <c r="O97" s="23" t="e">
        <f t="shared" si="7"/>
        <v>#DIV/0!</v>
      </c>
      <c r="P97" s="23" t="e">
        <f t="shared" si="5"/>
        <v>#DIV/0!</v>
      </c>
      <c r="Q97" t="e">
        <f t="shared" si="6"/>
        <v>#DIV/0!</v>
      </c>
    </row>
    <row r="98" spans="1:17" x14ac:dyDescent="0.25">
      <c r="A98" s="14">
        <v>50</v>
      </c>
      <c r="B98" s="24">
        <v>45935</v>
      </c>
      <c r="O98" s="23" t="e">
        <f t="shared" si="7"/>
        <v>#DIV/0!</v>
      </c>
      <c r="P98" s="23" t="e">
        <f t="shared" si="5"/>
        <v>#DIV/0!</v>
      </c>
      <c r="Q98" t="e">
        <f t="shared" si="6"/>
        <v>#DIV/0!</v>
      </c>
    </row>
    <row r="99" spans="1:17" x14ac:dyDescent="0.25">
      <c r="A99" s="14">
        <v>25</v>
      </c>
      <c r="B99" s="24">
        <v>45936</v>
      </c>
      <c r="O99" s="23" t="e">
        <f t="shared" si="7"/>
        <v>#DIV/0!</v>
      </c>
      <c r="P99" s="23" t="e">
        <f t="shared" si="5"/>
        <v>#DIV/0!</v>
      </c>
      <c r="Q99" t="e">
        <f t="shared" si="6"/>
        <v>#DIV/0!</v>
      </c>
    </row>
    <row r="100" spans="1:17" x14ac:dyDescent="0.25">
      <c r="A100" s="14">
        <v>21</v>
      </c>
      <c r="B100" s="24">
        <v>45937</v>
      </c>
      <c r="O100" s="23" t="e">
        <f t="shared" si="7"/>
        <v>#DIV/0!</v>
      </c>
      <c r="P100" s="23" t="e">
        <f t="shared" si="5"/>
        <v>#DIV/0!</v>
      </c>
      <c r="Q100" t="e">
        <f t="shared" si="6"/>
        <v>#DIV/0!</v>
      </c>
    </row>
    <row r="101" spans="1:17" x14ac:dyDescent="0.25">
      <c r="A101" s="14">
        <v>22</v>
      </c>
      <c r="B101" s="24">
        <v>45938</v>
      </c>
      <c r="O101" s="23" t="e">
        <f t="shared" si="7"/>
        <v>#DIV/0!</v>
      </c>
      <c r="P101" s="23" t="e">
        <f t="shared" si="5"/>
        <v>#DIV/0!</v>
      </c>
      <c r="Q101" t="e">
        <f t="shared" si="6"/>
        <v>#DIV/0!</v>
      </c>
    </row>
    <row r="102" spans="1:17" x14ac:dyDescent="0.25">
      <c r="A102" s="14">
        <v>17</v>
      </c>
      <c r="B102" s="24">
        <v>45939</v>
      </c>
      <c r="O102" s="23" t="e">
        <f t="shared" si="7"/>
        <v>#DIV/0!</v>
      </c>
      <c r="P102" s="23" t="e">
        <f t="shared" si="5"/>
        <v>#DIV/0!</v>
      </c>
      <c r="Q102" t="e">
        <f t="shared" si="6"/>
        <v>#DIV/0!</v>
      </c>
    </row>
    <row r="103" spans="1:17" x14ac:dyDescent="0.25">
      <c r="A103" s="14">
        <v>22</v>
      </c>
      <c r="B103" s="24">
        <v>45940</v>
      </c>
      <c r="O103" s="23" t="e">
        <f t="shared" si="7"/>
        <v>#DIV/0!</v>
      </c>
      <c r="P103" s="23" t="e">
        <f t="shared" si="5"/>
        <v>#DIV/0!</v>
      </c>
      <c r="Q103" t="e">
        <f t="shared" si="6"/>
        <v>#DIV/0!</v>
      </c>
    </row>
    <row r="104" spans="1:17" x14ac:dyDescent="0.25">
      <c r="A104" s="14">
        <v>16</v>
      </c>
      <c r="B104" s="24">
        <v>45941</v>
      </c>
      <c r="O104" s="23" t="e">
        <f t="shared" si="7"/>
        <v>#DIV/0!</v>
      </c>
      <c r="P104" s="23" t="e">
        <f t="shared" si="5"/>
        <v>#DIV/0!</v>
      </c>
      <c r="Q104" t="e">
        <f t="shared" si="6"/>
        <v>#DIV/0!</v>
      </c>
    </row>
    <row r="105" spans="1:17" x14ac:dyDescent="0.25">
      <c r="A105" s="14">
        <v>42</v>
      </c>
      <c r="B105" s="24">
        <v>45942</v>
      </c>
      <c r="O105" s="23" t="e">
        <f t="shared" si="7"/>
        <v>#DIV/0!</v>
      </c>
      <c r="P105" s="23" t="e">
        <f t="shared" si="5"/>
        <v>#DIV/0!</v>
      </c>
      <c r="Q105" t="e">
        <f t="shared" si="6"/>
        <v>#DIV/0!</v>
      </c>
    </row>
    <row r="106" spans="1:17" x14ac:dyDescent="0.25">
      <c r="A106" s="14">
        <v>9</v>
      </c>
      <c r="B106" s="24">
        <v>45943</v>
      </c>
      <c r="O106" s="23" t="e">
        <f t="shared" si="7"/>
        <v>#DIV/0!</v>
      </c>
      <c r="P106" s="23" t="e">
        <f t="shared" si="5"/>
        <v>#DIV/0!</v>
      </c>
      <c r="Q106" t="e">
        <f t="shared" si="6"/>
        <v>#DIV/0!</v>
      </c>
    </row>
    <row r="107" spans="1:17" x14ac:dyDescent="0.25">
      <c r="A107" s="14">
        <v>21</v>
      </c>
      <c r="B107" s="24">
        <v>45944</v>
      </c>
      <c r="O107" s="23" t="e">
        <f t="shared" si="7"/>
        <v>#DIV/0!</v>
      </c>
      <c r="P107" s="23" t="e">
        <f t="shared" si="5"/>
        <v>#DIV/0!</v>
      </c>
      <c r="Q107" t="e">
        <f t="shared" si="6"/>
        <v>#DIV/0!</v>
      </c>
    </row>
    <row r="108" spans="1:17" x14ac:dyDescent="0.25">
      <c r="A108" s="14">
        <v>9</v>
      </c>
      <c r="B108" s="24">
        <v>45945</v>
      </c>
      <c r="O108" s="23" t="e">
        <f t="shared" si="7"/>
        <v>#DIV/0!</v>
      </c>
      <c r="P108" s="23" t="e">
        <f t="shared" si="5"/>
        <v>#DIV/0!</v>
      </c>
      <c r="Q108" t="e">
        <f t="shared" si="6"/>
        <v>#DIV/0!</v>
      </c>
    </row>
    <row r="109" spans="1:17" x14ac:dyDescent="0.25">
      <c r="A109" s="14">
        <v>28</v>
      </c>
      <c r="B109" s="24">
        <v>45946</v>
      </c>
      <c r="O109" s="23" t="e">
        <f t="shared" si="7"/>
        <v>#DIV/0!</v>
      </c>
      <c r="P109" s="23" t="e">
        <f t="shared" si="5"/>
        <v>#DIV/0!</v>
      </c>
      <c r="Q109" t="e">
        <f t="shared" si="6"/>
        <v>#DIV/0!</v>
      </c>
    </row>
    <row r="110" spans="1:17" x14ac:dyDescent="0.25">
      <c r="A110" s="14">
        <v>31</v>
      </c>
      <c r="B110" s="24">
        <v>45947</v>
      </c>
      <c r="O110" s="23" t="e">
        <f t="shared" si="7"/>
        <v>#DIV/0!</v>
      </c>
      <c r="P110" s="23" t="e">
        <f t="shared" si="5"/>
        <v>#DIV/0!</v>
      </c>
      <c r="Q110" t="e">
        <f t="shared" si="6"/>
        <v>#DIV/0!</v>
      </c>
    </row>
    <row r="111" spans="1:17" x14ac:dyDescent="0.25">
      <c r="A111" s="14">
        <v>44</v>
      </c>
      <c r="B111" s="24">
        <v>45948</v>
      </c>
      <c r="O111" s="23" t="e">
        <f t="shared" si="7"/>
        <v>#DIV/0!</v>
      </c>
      <c r="P111" s="23" t="e">
        <f t="shared" si="5"/>
        <v>#DIV/0!</v>
      </c>
      <c r="Q111" t="e">
        <f t="shared" si="6"/>
        <v>#DIV/0!</v>
      </c>
    </row>
    <row r="112" spans="1:17" x14ac:dyDescent="0.25">
      <c r="A112" s="14">
        <v>33</v>
      </c>
      <c r="B112" s="24">
        <v>45949</v>
      </c>
      <c r="O112" s="23" t="e">
        <f t="shared" si="7"/>
        <v>#DIV/0!</v>
      </c>
      <c r="P112" s="23" t="e">
        <f t="shared" si="5"/>
        <v>#DIV/0!</v>
      </c>
      <c r="Q112" t="e">
        <f t="shared" si="6"/>
        <v>#DIV/0!</v>
      </c>
    </row>
    <row r="113" spans="1:17" x14ac:dyDescent="0.25">
      <c r="A113" s="14">
        <v>11</v>
      </c>
      <c r="B113" s="24">
        <v>45950</v>
      </c>
      <c r="O113" s="23" t="e">
        <f t="shared" si="7"/>
        <v>#DIV/0!</v>
      </c>
      <c r="P113" s="23" t="e">
        <f t="shared" si="5"/>
        <v>#DIV/0!</v>
      </c>
      <c r="Q113" t="e">
        <f t="shared" si="6"/>
        <v>#DIV/0!</v>
      </c>
    </row>
    <row r="114" spans="1:17" x14ac:dyDescent="0.25">
      <c r="A114" s="14">
        <v>5</v>
      </c>
      <c r="B114" s="24">
        <v>45951</v>
      </c>
      <c r="O114" s="23" t="e">
        <f t="shared" si="7"/>
        <v>#DIV/0!</v>
      </c>
      <c r="P114" s="23" t="e">
        <f t="shared" si="5"/>
        <v>#DIV/0!</v>
      </c>
      <c r="Q114" t="e">
        <f t="shared" si="6"/>
        <v>#DIV/0!</v>
      </c>
    </row>
    <row r="115" spans="1:17" x14ac:dyDescent="0.25">
      <c r="A115" s="14">
        <v>15</v>
      </c>
      <c r="B115" s="24">
        <v>45952</v>
      </c>
      <c r="O115" s="23" t="e">
        <f t="shared" si="7"/>
        <v>#DIV/0!</v>
      </c>
      <c r="P115" s="23" t="e">
        <f t="shared" si="5"/>
        <v>#DIV/0!</v>
      </c>
      <c r="Q115" t="e">
        <f t="shared" si="6"/>
        <v>#DIV/0!</v>
      </c>
    </row>
    <row r="116" spans="1:17" x14ac:dyDescent="0.25">
      <c r="A116" s="14">
        <v>9</v>
      </c>
      <c r="B116" s="24">
        <v>45953</v>
      </c>
      <c r="C116">
        <v>24</v>
      </c>
      <c r="D116">
        <v>22</v>
      </c>
      <c r="E116">
        <v>32</v>
      </c>
      <c r="F116">
        <v>27</v>
      </c>
      <c r="G116">
        <v>38</v>
      </c>
      <c r="H116">
        <v>36</v>
      </c>
      <c r="I116">
        <v>23</v>
      </c>
      <c r="J116">
        <v>24</v>
      </c>
      <c r="K116">
        <v>22</v>
      </c>
      <c r="L116">
        <v>22</v>
      </c>
      <c r="M116">
        <v>20</v>
      </c>
      <c r="N116">
        <v>20</v>
      </c>
      <c r="O116" s="23">
        <f t="shared" si="7"/>
        <v>26</v>
      </c>
      <c r="P116" s="23">
        <f t="shared" si="5"/>
        <v>5.9</v>
      </c>
      <c r="Q116">
        <f t="shared" si="6"/>
        <v>17</v>
      </c>
    </row>
    <row r="117" spans="1:17" x14ac:dyDescent="0.25">
      <c r="A117" s="14">
        <v>30</v>
      </c>
      <c r="B117" s="24">
        <v>45954</v>
      </c>
      <c r="C117">
        <v>17</v>
      </c>
      <c r="D117">
        <v>16</v>
      </c>
      <c r="E117">
        <v>32</v>
      </c>
      <c r="F117">
        <v>23</v>
      </c>
      <c r="G117">
        <v>35</v>
      </c>
      <c r="H117">
        <v>31</v>
      </c>
      <c r="I117">
        <v>20</v>
      </c>
      <c r="J117">
        <v>21</v>
      </c>
      <c r="K117">
        <v>17</v>
      </c>
      <c r="L117">
        <v>13</v>
      </c>
      <c r="M117">
        <v>16</v>
      </c>
      <c r="N117">
        <v>16</v>
      </c>
      <c r="O117" s="23">
        <f t="shared" si="7"/>
        <v>21</v>
      </c>
      <c r="P117" s="23">
        <f t="shared" si="5"/>
        <v>7.02</v>
      </c>
      <c r="Q117">
        <f t="shared" si="6"/>
        <v>-9</v>
      </c>
    </row>
    <row r="118" spans="1:17" x14ac:dyDescent="0.25">
      <c r="A118" s="14">
        <v>18</v>
      </c>
      <c r="B118" s="24">
        <v>45955</v>
      </c>
      <c r="C118">
        <v>44</v>
      </c>
      <c r="D118">
        <v>50</v>
      </c>
      <c r="E118">
        <v>52</v>
      </c>
      <c r="F118">
        <v>44</v>
      </c>
      <c r="G118">
        <v>40</v>
      </c>
      <c r="H118">
        <v>39</v>
      </c>
      <c r="I118">
        <v>44</v>
      </c>
      <c r="J118">
        <v>41</v>
      </c>
      <c r="K118">
        <v>73</v>
      </c>
      <c r="L118">
        <v>66</v>
      </c>
      <c r="M118">
        <v>62</v>
      </c>
      <c r="N118">
        <v>45</v>
      </c>
      <c r="O118" s="23">
        <f t="shared" si="7"/>
        <v>50</v>
      </c>
      <c r="P118" s="23">
        <f t="shared" si="5"/>
        <v>10.68</v>
      </c>
      <c r="Q118">
        <f t="shared" si="6"/>
        <v>32</v>
      </c>
    </row>
    <row r="119" spans="1:17" x14ac:dyDescent="0.25">
      <c r="A119" s="14">
        <v>33</v>
      </c>
      <c r="B119" s="24">
        <v>45956</v>
      </c>
      <c r="C119">
        <v>20</v>
      </c>
      <c r="D119">
        <v>18</v>
      </c>
      <c r="E119">
        <v>44</v>
      </c>
      <c r="F119">
        <v>41</v>
      </c>
      <c r="G119">
        <v>57</v>
      </c>
      <c r="H119">
        <v>54</v>
      </c>
      <c r="I119">
        <v>48</v>
      </c>
      <c r="J119">
        <v>50</v>
      </c>
      <c r="K119">
        <v>21</v>
      </c>
      <c r="L119">
        <v>19</v>
      </c>
      <c r="M119">
        <v>20</v>
      </c>
      <c r="N119">
        <v>21</v>
      </c>
      <c r="O119" s="23">
        <f t="shared" si="7"/>
        <v>34</v>
      </c>
      <c r="P119" s="23">
        <f t="shared" si="5"/>
        <v>15.11</v>
      </c>
      <c r="Q119">
        <f t="shared" si="6"/>
        <v>1</v>
      </c>
    </row>
    <row r="120" spans="1:17" x14ac:dyDescent="0.25">
      <c r="A120" s="14">
        <v>21</v>
      </c>
      <c r="B120" s="24">
        <v>45957</v>
      </c>
      <c r="C120">
        <v>7</v>
      </c>
      <c r="D120">
        <v>8</v>
      </c>
      <c r="E120">
        <v>26</v>
      </c>
      <c r="F120">
        <v>23</v>
      </c>
      <c r="G120">
        <v>35</v>
      </c>
      <c r="H120">
        <v>40</v>
      </c>
      <c r="I120">
        <v>19</v>
      </c>
      <c r="J120">
        <v>25</v>
      </c>
      <c r="K120">
        <v>7</v>
      </c>
      <c r="L120">
        <v>8</v>
      </c>
      <c r="M120">
        <v>8</v>
      </c>
      <c r="N120">
        <v>7</v>
      </c>
      <c r="O120" s="23">
        <f t="shared" si="7"/>
        <v>18</v>
      </c>
      <c r="P120" s="23">
        <f t="shared" si="5"/>
        <v>11.45</v>
      </c>
      <c r="Q120">
        <f t="shared" si="6"/>
        <v>-3</v>
      </c>
    </row>
    <row r="121" spans="1:17" x14ac:dyDescent="0.25">
      <c r="A121" s="14">
        <v>7</v>
      </c>
      <c r="B121" s="24">
        <v>45958</v>
      </c>
      <c r="C121">
        <v>10</v>
      </c>
      <c r="D121">
        <v>8</v>
      </c>
      <c r="E121">
        <v>22</v>
      </c>
      <c r="F121">
        <v>22</v>
      </c>
      <c r="G121">
        <v>29</v>
      </c>
      <c r="H121">
        <v>32</v>
      </c>
      <c r="I121">
        <v>15</v>
      </c>
      <c r="J121">
        <v>20</v>
      </c>
      <c r="K121">
        <v>9</v>
      </c>
      <c r="L121">
        <v>12</v>
      </c>
      <c r="M121">
        <v>9</v>
      </c>
      <c r="N121">
        <v>11</v>
      </c>
      <c r="O121" s="23">
        <f t="shared" si="7"/>
        <v>17</v>
      </c>
      <c r="P121" s="23">
        <f t="shared" si="5"/>
        <v>7.9</v>
      </c>
      <c r="Q121">
        <f t="shared" si="6"/>
        <v>10</v>
      </c>
    </row>
    <row r="122" spans="1:17" x14ac:dyDescent="0.25">
      <c r="A122" s="14">
        <v>18</v>
      </c>
      <c r="B122" s="24">
        <v>45959</v>
      </c>
      <c r="C122">
        <v>11</v>
      </c>
      <c r="D122">
        <v>9</v>
      </c>
      <c r="E122">
        <v>27</v>
      </c>
      <c r="F122">
        <v>16</v>
      </c>
      <c r="G122">
        <v>31</v>
      </c>
      <c r="H122">
        <v>30</v>
      </c>
      <c r="I122">
        <v>18</v>
      </c>
      <c r="J122">
        <v>24</v>
      </c>
      <c r="K122">
        <v>10</v>
      </c>
      <c r="L122">
        <v>10</v>
      </c>
      <c r="M122">
        <v>10</v>
      </c>
      <c r="N122">
        <v>11</v>
      </c>
      <c r="O122" s="23">
        <f t="shared" si="7"/>
        <v>17</v>
      </c>
      <c r="P122" s="23">
        <f t="shared" si="5"/>
        <v>8.16</v>
      </c>
      <c r="Q122">
        <f t="shared" si="6"/>
        <v>-1</v>
      </c>
    </row>
    <row r="123" spans="1:17" x14ac:dyDescent="0.25">
      <c r="A123" s="14">
        <v>16</v>
      </c>
      <c r="B123" s="24">
        <v>45960</v>
      </c>
      <c r="C123">
        <v>21</v>
      </c>
      <c r="D123">
        <v>19</v>
      </c>
      <c r="E123">
        <v>29</v>
      </c>
      <c r="F123">
        <v>23</v>
      </c>
      <c r="G123">
        <v>35</v>
      </c>
      <c r="H123">
        <v>34</v>
      </c>
      <c r="I123">
        <v>20</v>
      </c>
      <c r="J123">
        <v>22</v>
      </c>
      <c r="K123">
        <v>18</v>
      </c>
      <c r="L123">
        <v>18</v>
      </c>
      <c r="M123">
        <v>17</v>
      </c>
      <c r="N123">
        <v>16</v>
      </c>
      <c r="O123" s="23">
        <f t="shared" si="7"/>
        <v>23</v>
      </c>
      <c r="P123" s="23">
        <f t="shared" si="5"/>
        <v>6.22</v>
      </c>
      <c r="Q123">
        <f t="shared" si="6"/>
        <v>7</v>
      </c>
    </row>
    <row r="124" spans="1:17" x14ac:dyDescent="0.25">
      <c r="A124" s="14">
        <v>10</v>
      </c>
      <c r="B124" s="24">
        <v>45961</v>
      </c>
      <c r="C124">
        <v>23</v>
      </c>
      <c r="D124">
        <v>22</v>
      </c>
      <c r="O124" s="23">
        <f t="shared" ref="O124:O137" si="8">ROUND(AVERAGE(C124:N124),0)</f>
        <v>23</v>
      </c>
      <c r="P124" s="23">
        <f t="shared" si="5"/>
        <v>0.5</v>
      </c>
      <c r="Q124">
        <f t="shared" si="6"/>
        <v>13</v>
      </c>
    </row>
    <row r="125" spans="1:17" x14ac:dyDescent="0.25">
      <c r="A125" s="14">
        <v>38</v>
      </c>
      <c r="B125" s="24">
        <v>45962</v>
      </c>
      <c r="C125">
        <v>23</v>
      </c>
      <c r="D125">
        <v>27</v>
      </c>
      <c r="O125" s="23">
        <f t="shared" si="8"/>
        <v>25</v>
      </c>
      <c r="P125" s="23">
        <f t="shared" si="5"/>
        <v>2</v>
      </c>
      <c r="Q125">
        <f t="shared" si="6"/>
        <v>-13</v>
      </c>
    </row>
    <row r="126" spans="1:17" x14ac:dyDescent="0.25">
      <c r="A126" s="14">
        <v>32</v>
      </c>
      <c r="B126" s="24">
        <v>45963</v>
      </c>
      <c r="C126">
        <v>20</v>
      </c>
      <c r="D126">
        <v>22</v>
      </c>
      <c r="O126" s="23">
        <f t="shared" si="8"/>
        <v>21</v>
      </c>
      <c r="P126" s="23">
        <f t="shared" si="5"/>
        <v>1</v>
      </c>
      <c r="Q126">
        <f t="shared" si="6"/>
        <v>-11</v>
      </c>
    </row>
    <row r="127" spans="1:17" x14ac:dyDescent="0.25">
      <c r="A127" s="14">
        <v>7</v>
      </c>
      <c r="B127" s="24">
        <v>45964</v>
      </c>
      <c r="C127">
        <v>19</v>
      </c>
      <c r="D127">
        <v>18</v>
      </c>
      <c r="O127" s="23">
        <f t="shared" si="8"/>
        <v>19</v>
      </c>
      <c r="P127" s="23">
        <f t="shared" si="5"/>
        <v>0.5</v>
      </c>
      <c r="Q127">
        <f t="shared" si="6"/>
        <v>12</v>
      </c>
    </row>
    <row r="128" spans="1:17" x14ac:dyDescent="0.25">
      <c r="A128" s="14">
        <v>14</v>
      </c>
      <c r="B128" s="24">
        <v>45965</v>
      </c>
      <c r="C128">
        <v>1</v>
      </c>
      <c r="D128">
        <v>3</v>
      </c>
      <c r="O128" s="23">
        <f t="shared" si="8"/>
        <v>2</v>
      </c>
      <c r="P128" s="23">
        <f t="shared" si="5"/>
        <v>1</v>
      </c>
      <c r="Q128">
        <f t="shared" si="6"/>
        <v>-12</v>
      </c>
    </row>
    <row r="129" spans="1:19" x14ac:dyDescent="0.25">
      <c r="A129" s="14">
        <v>13</v>
      </c>
      <c r="B129" s="24">
        <v>45966</v>
      </c>
      <c r="C129">
        <v>13</v>
      </c>
      <c r="D129">
        <v>15</v>
      </c>
      <c r="O129" s="23">
        <f t="shared" si="8"/>
        <v>14</v>
      </c>
      <c r="P129" s="23">
        <f t="shared" si="5"/>
        <v>1</v>
      </c>
      <c r="Q129">
        <f t="shared" si="6"/>
        <v>1</v>
      </c>
    </row>
    <row r="130" spans="1:19" x14ac:dyDescent="0.25">
      <c r="A130" s="14">
        <v>17</v>
      </c>
      <c r="B130" s="24">
        <v>45967</v>
      </c>
      <c r="C130">
        <v>14</v>
      </c>
      <c r="D130">
        <v>14</v>
      </c>
      <c r="O130" s="23">
        <f t="shared" si="8"/>
        <v>14</v>
      </c>
      <c r="P130" s="23">
        <f t="shared" si="5"/>
        <v>0</v>
      </c>
      <c r="Q130">
        <f t="shared" si="6"/>
        <v>-3</v>
      </c>
    </row>
    <row r="131" spans="1:19" x14ac:dyDescent="0.25">
      <c r="A131" s="14">
        <v>46</v>
      </c>
      <c r="B131" s="24">
        <v>45968</v>
      </c>
      <c r="C131">
        <v>22</v>
      </c>
      <c r="D131">
        <v>21</v>
      </c>
      <c r="O131" s="23">
        <f t="shared" si="8"/>
        <v>22</v>
      </c>
      <c r="P131" s="23">
        <f t="shared" ref="P131:P137" si="9">ROUND(_xlfn.STDEV.P(C131:N131),2)</f>
        <v>0.5</v>
      </c>
      <c r="Q131">
        <f t="shared" ref="Q131:Q194" si="10">O131-A131</f>
        <v>-24</v>
      </c>
    </row>
    <row r="132" spans="1:19" x14ac:dyDescent="0.25">
      <c r="A132" s="14">
        <v>8</v>
      </c>
      <c r="B132" s="24">
        <v>45969</v>
      </c>
      <c r="C132">
        <v>16</v>
      </c>
      <c r="D132">
        <v>14</v>
      </c>
      <c r="O132" s="23">
        <f t="shared" si="8"/>
        <v>15</v>
      </c>
      <c r="P132" s="23">
        <f t="shared" si="9"/>
        <v>1</v>
      </c>
      <c r="Q132">
        <f t="shared" si="10"/>
        <v>7</v>
      </c>
    </row>
    <row r="133" spans="1:19" x14ac:dyDescent="0.25">
      <c r="A133" s="14">
        <v>19</v>
      </c>
      <c r="B133" s="24">
        <v>45970</v>
      </c>
      <c r="C133">
        <v>17</v>
      </c>
      <c r="D133">
        <v>16</v>
      </c>
      <c r="O133" s="23">
        <f t="shared" si="8"/>
        <v>17</v>
      </c>
      <c r="P133" s="23">
        <f t="shared" si="9"/>
        <v>0.5</v>
      </c>
      <c r="Q133">
        <f t="shared" si="10"/>
        <v>-2</v>
      </c>
    </row>
    <row r="134" spans="1:19" x14ac:dyDescent="0.25">
      <c r="A134" s="14">
        <v>7</v>
      </c>
      <c r="B134" s="24">
        <v>45971</v>
      </c>
      <c r="C134">
        <v>11</v>
      </c>
      <c r="D134">
        <v>10</v>
      </c>
      <c r="O134" s="23">
        <f t="shared" si="8"/>
        <v>11</v>
      </c>
      <c r="P134" s="23">
        <f t="shared" si="9"/>
        <v>0.5</v>
      </c>
      <c r="Q134">
        <f t="shared" si="10"/>
        <v>4</v>
      </c>
    </row>
    <row r="135" spans="1:19" x14ac:dyDescent="0.25">
      <c r="A135" s="14">
        <v>23</v>
      </c>
      <c r="B135" s="24">
        <v>45972</v>
      </c>
      <c r="C135">
        <v>20</v>
      </c>
      <c r="D135">
        <v>20</v>
      </c>
      <c r="O135" s="23">
        <f t="shared" si="8"/>
        <v>20</v>
      </c>
      <c r="P135" s="23">
        <f t="shared" si="9"/>
        <v>0</v>
      </c>
      <c r="Q135">
        <f t="shared" si="10"/>
        <v>-3</v>
      </c>
    </row>
    <row r="136" spans="1:19" x14ac:dyDescent="0.25">
      <c r="A136" s="14">
        <v>21</v>
      </c>
      <c r="B136" s="24">
        <v>45973</v>
      </c>
      <c r="C136">
        <v>12</v>
      </c>
      <c r="D136">
        <v>12</v>
      </c>
      <c r="O136" s="23">
        <f t="shared" si="8"/>
        <v>12</v>
      </c>
      <c r="P136" s="23">
        <f t="shared" si="9"/>
        <v>0</v>
      </c>
      <c r="Q136">
        <f t="shared" si="10"/>
        <v>-9</v>
      </c>
    </row>
    <row r="137" spans="1:19" x14ac:dyDescent="0.25">
      <c r="A137" s="14">
        <v>19</v>
      </c>
      <c r="B137" s="24">
        <v>45974</v>
      </c>
      <c r="C137">
        <v>24</v>
      </c>
      <c r="D137">
        <v>21</v>
      </c>
      <c r="O137" s="23">
        <f t="shared" si="8"/>
        <v>23</v>
      </c>
      <c r="P137" s="23">
        <f t="shared" si="9"/>
        <v>1.5</v>
      </c>
      <c r="Q137">
        <f t="shared" si="10"/>
        <v>4</v>
      </c>
    </row>
    <row r="138" spans="1:19" x14ac:dyDescent="0.25">
      <c r="A138" s="14">
        <v>12</v>
      </c>
      <c r="B138" s="24">
        <v>45975</v>
      </c>
      <c r="Q138">
        <f t="shared" si="10"/>
        <v>-12</v>
      </c>
    </row>
    <row r="139" spans="1:19" x14ac:dyDescent="0.25">
      <c r="A139" s="14">
        <v>29</v>
      </c>
      <c r="B139" s="24">
        <v>45976</v>
      </c>
      <c r="C139">
        <v>29</v>
      </c>
      <c r="D139">
        <v>32</v>
      </c>
      <c r="E139">
        <v>43</v>
      </c>
      <c r="F139">
        <v>51</v>
      </c>
      <c r="G139">
        <v>58</v>
      </c>
      <c r="H139">
        <v>64</v>
      </c>
      <c r="I139">
        <v>42</v>
      </c>
      <c r="J139">
        <v>45</v>
      </c>
      <c r="K139">
        <v>30</v>
      </c>
      <c r="O139" s="23">
        <f>ROUND(AVERAGE(C139:N139,R139,S139),0)</f>
        <v>43</v>
      </c>
      <c r="P139" s="23">
        <f>ROUND(_xlfn.STDEV.P(C139:N139,R139,S139),2)</f>
        <v>10.66</v>
      </c>
      <c r="Q139">
        <f t="shared" si="10"/>
        <v>14</v>
      </c>
      <c r="R139">
        <v>41</v>
      </c>
      <c r="S139">
        <v>38</v>
      </c>
    </row>
    <row r="140" spans="1:19" x14ac:dyDescent="0.25">
      <c r="A140" s="14">
        <v>22</v>
      </c>
      <c r="B140" s="24">
        <v>45977</v>
      </c>
      <c r="C140">
        <v>23</v>
      </c>
      <c r="D140">
        <v>20</v>
      </c>
      <c r="E140">
        <v>44</v>
      </c>
      <c r="F140">
        <v>39</v>
      </c>
      <c r="G140">
        <v>61</v>
      </c>
      <c r="H140">
        <v>64</v>
      </c>
      <c r="I140">
        <v>48</v>
      </c>
      <c r="J140">
        <v>37</v>
      </c>
      <c r="K140">
        <v>25</v>
      </c>
      <c r="O140" s="23">
        <f t="shared" ref="O140:O203" si="11">ROUND(AVERAGE(C140:N140,R140,S140),0)</f>
        <v>40</v>
      </c>
      <c r="P140" s="23">
        <f t="shared" ref="P140:P203" si="12">ROUND(_xlfn.STDEV.P(C140:N140,R140,S140),2)</f>
        <v>13.63</v>
      </c>
      <c r="Q140">
        <f t="shared" si="10"/>
        <v>18</v>
      </c>
      <c r="R140">
        <v>40</v>
      </c>
      <c r="S140">
        <v>35</v>
      </c>
    </row>
    <row r="141" spans="1:19" x14ac:dyDescent="0.25">
      <c r="A141" s="14">
        <v>18</v>
      </c>
      <c r="B141" s="24">
        <v>45978</v>
      </c>
      <c r="C141">
        <v>10</v>
      </c>
      <c r="D141">
        <v>11</v>
      </c>
      <c r="E141">
        <v>25</v>
      </c>
      <c r="F141">
        <v>26</v>
      </c>
      <c r="G141">
        <v>27</v>
      </c>
      <c r="H141">
        <v>44</v>
      </c>
      <c r="I141">
        <v>28</v>
      </c>
      <c r="J141">
        <v>20</v>
      </c>
      <c r="K141">
        <v>11</v>
      </c>
      <c r="O141" s="23">
        <f t="shared" si="11"/>
        <v>22</v>
      </c>
      <c r="P141" s="23">
        <f t="shared" si="12"/>
        <v>9.44</v>
      </c>
      <c r="Q141">
        <f t="shared" si="10"/>
        <v>4</v>
      </c>
      <c r="R141">
        <v>20</v>
      </c>
      <c r="S141">
        <v>18</v>
      </c>
    </row>
    <row r="142" spans="1:19" x14ac:dyDescent="0.25">
      <c r="A142" s="14">
        <v>14</v>
      </c>
      <c r="B142" s="24">
        <v>45979</v>
      </c>
      <c r="C142">
        <v>10</v>
      </c>
      <c r="D142">
        <v>10</v>
      </c>
      <c r="E142">
        <v>20</v>
      </c>
      <c r="F142">
        <v>24</v>
      </c>
      <c r="G142">
        <v>18</v>
      </c>
      <c r="H142">
        <v>34</v>
      </c>
      <c r="I142">
        <v>21</v>
      </c>
      <c r="J142">
        <v>16</v>
      </c>
      <c r="K142">
        <v>10</v>
      </c>
      <c r="O142" s="23">
        <f t="shared" si="11"/>
        <v>18</v>
      </c>
      <c r="P142" s="23">
        <f t="shared" si="12"/>
        <v>6.87</v>
      </c>
      <c r="Q142">
        <f t="shared" si="10"/>
        <v>4</v>
      </c>
      <c r="R142">
        <v>16</v>
      </c>
      <c r="S142">
        <v>14</v>
      </c>
    </row>
    <row r="143" spans="1:19" x14ac:dyDescent="0.25">
      <c r="A143" s="14">
        <v>13</v>
      </c>
      <c r="B143" s="24">
        <v>45980</v>
      </c>
      <c r="C143">
        <v>13</v>
      </c>
      <c r="D143">
        <v>15</v>
      </c>
      <c r="E143">
        <v>20</v>
      </c>
      <c r="F143">
        <v>26</v>
      </c>
      <c r="G143">
        <v>15</v>
      </c>
      <c r="H143">
        <v>30</v>
      </c>
      <c r="I143">
        <v>17</v>
      </c>
      <c r="J143">
        <v>17</v>
      </c>
      <c r="K143">
        <v>14</v>
      </c>
      <c r="O143" s="23">
        <f t="shared" si="11"/>
        <v>18</v>
      </c>
      <c r="P143" s="23">
        <f t="shared" si="12"/>
        <v>5.0199999999999996</v>
      </c>
      <c r="Q143">
        <f t="shared" si="10"/>
        <v>5</v>
      </c>
      <c r="R143">
        <v>17</v>
      </c>
      <c r="S143">
        <v>16</v>
      </c>
    </row>
    <row r="144" spans="1:19" x14ac:dyDescent="0.25">
      <c r="A144" s="14">
        <v>4</v>
      </c>
      <c r="B144" s="24">
        <v>45981</v>
      </c>
      <c r="C144">
        <v>18</v>
      </c>
      <c r="D144">
        <v>20</v>
      </c>
      <c r="E144">
        <v>20</v>
      </c>
      <c r="F144">
        <v>24</v>
      </c>
      <c r="G144">
        <v>17</v>
      </c>
      <c r="H144">
        <v>21</v>
      </c>
      <c r="I144">
        <v>17</v>
      </c>
      <c r="J144">
        <v>19</v>
      </c>
      <c r="K144">
        <v>21</v>
      </c>
      <c r="O144" s="23">
        <f t="shared" si="11"/>
        <v>20</v>
      </c>
      <c r="P144" s="23">
        <f t="shared" si="12"/>
        <v>1.91</v>
      </c>
      <c r="Q144">
        <f t="shared" si="10"/>
        <v>16</v>
      </c>
      <c r="R144">
        <v>20</v>
      </c>
      <c r="S144">
        <v>20</v>
      </c>
    </row>
    <row r="145" spans="1:19" x14ac:dyDescent="0.25">
      <c r="A145" s="14">
        <v>12</v>
      </c>
      <c r="B145" s="24">
        <v>45982</v>
      </c>
      <c r="C145">
        <v>30</v>
      </c>
      <c r="D145">
        <v>28</v>
      </c>
      <c r="E145">
        <v>36</v>
      </c>
      <c r="F145">
        <v>46</v>
      </c>
      <c r="G145">
        <v>36</v>
      </c>
      <c r="H145">
        <v>53</v>
      </c>
      <c r="I145">
        <v>36</v>
      </c>
      <c r="J145">
        <v>36</v>
      </c>
      <c r="K145">
        <v>25</v>
      </c>
      <c r="O145" s="23">
        <f t="shared" si="11"/>
        <v>36</v>
      </c>
      <c r="P145" s="23">
        <f t="shared" si="12"/>
        <v>7.47</v>
      </c>
      <c r="Q145">
        <f t="shared" si="10"/>
        <v>24</v>
      </c>
      <c r="R145">
        <v>34</v>
      </c>
      <c r="S145">
        <v>36</v>
      </c>
    </row>
    <row r="146" spans="1:19" x14ac:dyDescent="0.25">
      <c r="A146" s="14">
        <v>17</v>
      </c>
      <c r="B146" s="24">
        <v>45983</v>
      </c>
      <c r="C146">
        <v>18</v>
      </c>
      <c r="D146">
        <v>18</v>
      </c>
      <c r="E146">
        <v>26</v>
      </c>
      <c r="F146">
        <v>32</v>
      </c>
      <c r="G146">
        <v>31</v>
      </c>
      <c r="H146">
        <v>44</v>
      </c>
      <c r="I146">
        <v>25</v>
      </c>
      <c r="J146">
        <v>25</v>
      </c>
      <c r="K146">
        <v>17</v>
      </c>
      <c r="O146" s="23">
        <f t="shared" si="11"/>
        <v>25</v>
      </c>
      <c r="P146" s="23">
        <f t="shared" si="12"/>
        <v>7.54</v>
      </c>
      <c r="Q146">
        <f t="shared" si="10"/>
        <v>8</v>
      </c>
      <c r="R146">
        <v>22</v>
      </c>
      <c r="S146">
        <v>22</v>
      </c>
    </row>
    <row r="147" spans="1:19" x14ac:dyDescent="0.25">
      <c r="A147" s="14">
        <v>20</v>
      </c>
      <c r="B147" s="24">
        <v>45984</v>
      </c>
      <c r="C147">
        <v>29</v>
      </c>
      <c r="D147">
        <v>28</v>
      </c>
      <c r="E147">
        <v>38</v>
      </c>
      <c r="F147">
        <v>39</v>
      </c>
      <c r="G147">
        <v>43</v>
      </c>
      <c r="H147">
        <v>56</v>
      </c>
      <c r="I147">
        <v>44</v>
      </c>
      <c r="J147">
        <v>32</v>
      </c>
      <c r="K147">
        <v>31</v>
      </c>
      <c r="O147" s="23">
        <f t="shared" si="11"/>
        <v>37</v>
      </c>
      <c r="P147" s="23">
        <f t="shared" si="12"/>
        <v>7.77</v>
      </c>
      <c r="Q147">
        <f t="shared" si="10"/>
        <v>17</v>
      </c>
      <c r="R147">
        <v>37</v>
      </c>
      <c r="S147">
        <v>34</v>
      </c>
    </row>
    <row r="148" spans="1:19" x14ac:dyDescent="0.25">
      <c r="A148" s="14">
        <v>7</v>
      </c>
      <c r="B148" s="24">
        <v>45985</v>
      </c>
      <c r="C148">
        <v>18</v>
      </c>
      <c r="D148">
        <v>18</v>
      </c>
      <c r="E148">
        <v>42</v>
      </c>
      <c r="F148">
        <v>35</v>
      </c>
      <c r="G148">
        <v>35</v>
      </c>
      <c r="H148">
        <v>49</v>
      </c>
      <c r="I148">
        <v>38</v>
      </c>
      <c r="J148">
        <v>28</v>
      </c>
      <c r="K148">
        <v>22</v>
      </c>
      <c r="O148" s="23">
        <f t="shared" si="11"/>
        <v>31</v>
      </c>
      <c r="P148" s="23">
        <f t="shared" si="12"/>
        <v>9.48</v>
      </c>
      <c r="Q148">
        <f t="shared" si="10"/>
        <v>24</v>
      </c>
      <c r="R148">
        <v>28</v>
      </c>
      <c r="S148">
        <v>26</v>
      </c>
    </row>
    <row r="149" spans="1:19" x14ac:dyDescent="0.25">
      <c r="A149" s="14">
        <v>2</v>
      </c>
      <c r="B149" s="24">
        <v>45986</v>
      </c>
      <c r="C149">
        <v>13</v>
      </c>
      <c r="D149">
        <v>15</v>
      </c>
      <c r="E149">
        <v>33</v>
      </c>
      <c r="F149">
        <v>37</v>
      </c>
      <c r="G149">
        <v>23</v>
      </c>
      <c r="H149">
        <v>49</v>
      </c>
      <c r="I149">
        <v>33</v>
      </c>
      <c r="J149">
        <v>29</v>
      </c>
      <c r="K149">
        <v>17</v>
      </c>
      <c r="O149" s="23">
        <f t="shared" si="11"/>
        <v>27</v>
      </c>
      <c r="P149" s="23">
        <f t="shared" si="12"/>
        <v>10.130000000000001</v>
      </c>
      <c r="Q149">
        <f t="shared" si="10"/>
        <v>25</v>
      </c>
      <c r="R149">
        <v>25</v>
      </c>
      <c r="S149">
        <v>24</v>
      </c>
    </row>
    <row r="150" spans="1:19" x14ac:dyDescent="0.25">
      <c r="A150" s="14">
        <v>17</v>
      </c>
      <c r="B150" s="24">
        <v>45987</v>
      </c>
      <c r="C150">
        <v>16</v>
      </c>
      <c r="D150">
        <v>16</v>
      </c>
      <c r="E150">
        <v>24</v>
      </c>
      <c r="F150">
        <v>27</v>
      </c>
      <c r="G150">
        <v>16</v>
      </c>
      <c r="H150">
        <v>36</v>
      </c>
      <c r="I150">
        <v>22</v>
      </c>
      <c r="J150">
        <v>24</v>
      </c>
      <c r="K150">
        <v>16</v>
      </c>
      <c r="O150" s="23">
        <f t="shared" si="11"/>
        <v>21</v>
      </c>
      <c r="P150" s="23">
        <f t="shared" si="12"/>
        <v>5.9</v>
      </c>
      <c r="Q150">
        <f t="shared" si="10"/>
        <v>4</v>
      </c>
      <c r="R150">
        <v>19</v>
      </c>
      <c r="S150">
        <v>20</v>
      </c>
    </row>
    <row r="151" spans="1:19" x14ac:dyDescent="0.25">
      <c r="A151" s="14">
        <v>35</v>
      </c>
      <c r="B151" s="24">
        <v>45988</v>
      </c>
      <c r="C151">
        <v>4</v>
      </c>
      <c r="D151">
        <v>3</v>
      </c>
      <c r="E151">
        <v>17</v>
      </c>
      <c r="F151">
        <v>19</v>
      </c>
      <c r="G151">
        <v>16</v>
      </c>
      <c r="H151">
        <v>30</v>
      </c>
      <c r="I151">
        <v>12</v>
      </c>
      <c r="J151">
        <v>11</v>
      </c>
      <c r="K151">
        <v>3</v>
      </c>
      <c r="O151" s="23">
        <f t="shared" si="11"/>
        <v>12</v>
      </c>
      <c r="P151" s="23">
        <f t="shared" si="12"/>
        <v>7.71</v>
      </c>
      <c r="Q151">
        <f t="shared" si="10"/>
        <v>-23</v>
      </c>
      <c r="R151">
        <v>9</v>
      </c>
      <c r="S151">
        <v>10</v>
      </c>
    </row>
    <row r="152" spans="1:19" x14ac:dyDescent="0.25">
      <c r="A152" s="14">
        <v>19</v>
      </c>
      <c r="B152" s="24">
        <v>45989</v>
      </c>
      <c r="C152">
        <v>6</v>
      </c>
      <c r="D152">
        <v>7</v>
      </c>
      <c r="E152">
        <v>18</v>
      </c>
      <c r="F152">
        <v>20</v>
      </c>
      <c r="G152">
        <v>20</v>
      </c>
      <c r="H152">
        <v>35</v>
      </c>
      <c r="I152">
        <v>16</v>
      </c>
      <c r="J152">
        <v>18</v>
      </c>
      <c r="K152">
        <v>12</v>
      </c>
      <c r="O152" s="23">
        <f t="shared" si="11"/>
        <v>16</v>
      </c>
      <c r="P152" s="23">
        <f t="shared" si="12"/>
        <v>7.43</v>
      </c>
      <c r="Q152">
        <f t="shared" si="10"/>
        <v>-3</v>
      </c>
      <c r="R152">
        <v>15</v>
      </c>
      <c r="S152">
        <v>13</v>
      </c>
    </row>
    <row r="153" spans="1:19" x14ac:dyDescent="0.25">
      <c r="A153" s="14">
        <v>17</v>
      </c>
      <c r="B153" s="24">
        <v>45990</v>
      </c>
      <c r="C153">
        <v>32</v>
      </c>
      <c r="D153">
        <v>30</v>
      </c>
      <c r="E153">
        <v>39</v>
      </c>
      <c r="F153">
        <v>47</v>
      </c>
      <c r="G153">
        <v>37</v>
      </c>
      <c r="H153">
        <v>49</v>
      </c>
      <c r="I153">
        <v>35</v>
      </c>
      <c r="J153">
        <v>36</v>
      </c>
      <c r="K153">
        <v>32</v>
      </c>
      <c r="O153" s="23">
        <f t="shared" si="11"/>
        <v>37</v>
      </c>
      <c r="P153" s="23">
        <f t="shared" si="12"/>
        <v>5.72</v>
      </c>
      <c r="Q153">
        <f t="shared" si="10"/>
        <v>20</v>
      </c>
      <c r="R153">
        <v>35</v>
      </c>
      <c r="S153">
        <v>35</v>
      </c>
    </row>
    <row r="154" spans="1:19" x14ac:dyDescent="0.25">
      <c r="A154" s="14">
        <v>20</v>
      </c>
      <c r="B154" s="24">
        <v>45991</v>
      </c>
      <c r="C154">
        <v>17</v>
      </c>
      <c r="D154">
        <v>18</v>
      </c>
      <c r="E154">
        <v>36</v>
      </c>
      <c r="F154">
        <v>40</v>
      </c>
      <c r="G154">
        <v>41</v>
      </c>
      <c r="H154">
        <v>60</v>
      </c>
      <c r="I154">
        <v>42</v>
      </c>
      <c r="J154">
        <v>31</v>
      </c>
      <c r="K154">
        <v>18</v>
      </c>
      <c r="O154" s="23">
        <f t="shared" si="11"/>
        <v>33</v>
      </c>
      <c r="P154" s="23">
        <f t="shared" si="12"/>
        <v>12.28</v>
      </c>
      <c r="Q154">
        <f t="shared" si="10"/>
        <v>13</v>
      </c>
      <c r="R154">
        <v>34</v>
      </c>
      <c r="S154">
        <v>29</v>
      </c>
    </row>
    <row r="155" spans="1:19" x14ac:dyDescent="0.25">
      <c r="A155" s="14">
        <v>18</v>
      </c>
      <c r="B155" s="24">
        <v>45992</v>
      </c>
      <c r="C155">
        <v>12</v>
      </c>
      <c r="D155">
        <v>12</v>
      </c>
      <c r="E155">
        <v>27</v>
      </c>
      <c r="F155">
        <v>29</v>
      </c>
      <c r="G155">
        <v>26</v>
      </c>
      <c r="H155">
        <v>43</v>
      </c>
      <c r="I155">
        <v>30</v>
      </c>
      <c r="J155">
        <v>22</v>
      </c>
      <c r="K155">
        <v>13</v>
      </c>
      <c r="O155" s="23">
        <f t="shared" si="11"/>
        <v>23</v>
      </c>
      <c r="P155" s="23">
        <f t="shared" si="12"/>
        <v>8.8800000000000008</v>
      </c>
      <c r="Q155">
        <f t="shared" si="10"/>
        <v>5</v>
      </c>
      <c r="R155">
        <v>23</v>
      </c>
      <c r="S155">
        <v>19</v>
      </c>
    </row>
    <row r="156" spans="1:19" x14ac:dyDescent="0.25">
      <c r="A156" s="14">
        <v>15</v>
      </c>
      <c r="B156" s="24">
        <v>45993</v>
      </c>
      <c r="C156">
        <v>14</v>
      </c>
      <c r="D156">
        <v>14</v>
      </c>
      <c r="E156">
        <v>25</v>
      </c>
      <c r="F156">
        <v>28</v>
      </c>
      <c r="G156">
        <v>19</v>
      </c>
      <c r="H156">
        <v>38</v>
      </c>
      <c r="I156">
        <v>27</v>
      </c>
      <c r="J156">
        <v>25</v>
      </c>
      <c r="K156">
        <v>17</v>
      </c>
      <c r="O156" s="23">
        <f t="shared" si="11"/>
        <v>22</v>
      </c>
      <c r="P156" s="23">
        <f t="shared" si="12"/>
        <v>6.77</v>
      </c>
      <c r="Q156">
        <f t="shared" si="10"/>
        <v>7</v>
      </c>
      <c r="R156">
        <v>19</v>
      </c>
      <c r="S156">
        <v>21</v>
      </c>
    </row>
    <row r="157" spans="1:19" x14ac:dyDescent="0.25">
      <c r="A157" s="14">
        <v>55</v>
      </c>
      <c r="B157" s="24">
        <v>45994</v>
      </c>
      <c r="C157">
        <v>14</v>
      </c>
      <c r="D157">
        <v>14</v>
      </c>
      <c r="E157">
        <v>23</v>
      </c>
      <c r="F157">
        <v>27</v>
      </c>
      <c r="G157">
        <v>18</v>
      </c>
      <c r="H157">
        <v>36</v>
      </c>
      <c r="I157">
        <v>21</v>
      </c>
      <c r="J157">
        <v>23</v>
      </c>
      <c r="K157">
        <v>14</v>
      </c>
      <c r="O157" s="23">
        <f t="shared" si="11"/>
        <v>21</v>
      </c>
      <c r="P157" s="23">
        <f t="shared" si="12"/>
        <v>6.34</v>
      </c>
      <c r="Q157">
        <f t="shared" si="10"/>
        <v>-34</v>
      </c>
      <c r="R157">
        <v>17</v>
      </c>
      <c r="S157">
        <v>19</v>
      </c>
    </row>
    <row r="158" spans="1:19" x14ac:dyDescent="0.25">
      <c r="A158" s="14">
        <v>19</v>
      </c>
      <c r="B158" s="24">
        <v>45995</v>
      </c>
      <c r="C158">
        <v>22</v>
      </c>
      <c r="D158">
        <v>22</v>
      </c>
      <c r="E158">
        <v>24</v>
      </c>
      <c r="F158">
        <v>28</v>
      </c>
      <c r="G158">
        <v>20</v>
      </c>
      <c r="H158">
        <v>38</v>
      </c>
      <c r="I158">
        <v>21</v>
      </c>
      <c r="J158">
        <v>20</v>
      </c>
      <c r="K158">
        <v>18</v>
      </c>
      <c r="O158" s="23">
        <f t="shared" si="11"/>
        <v>23</v>
      </c>
      <c r="P158" s="23">
        <f t="shared" si="12"/>
        <v>5.29</v>
      </c>
      <c r="Q158">
        <f t="shared" si="10"/>
        <v>4</v>
      </c>
      <c r="R158">
        <v>21</v>
      </c>
      <c r="S158">
        <v>21</v>
      </c>
    </row>
    <row r="159" spans="1:19" x14ac:dyDescent="0.25">
      <c r="A159" s="14">
        <v>10</v>
      </c>
      <c r="B159" s="24">
        <v>45996</v>
      </c>
      <c r="C159">
        <v>29</v>
      </c>
      <c r="D159">
        <v>26</v>
      </c>
      <c r="E159">
        <v>38</v>
      </c>
      <c r="F159">
        <v>46</v>
      </c>
      <c r="G159">
        <v>36</v>
      </c>
      <c r="H159">
        <v>47</v>
      </c>
      <c r="I159">
        <v>34</v>
      </c>
      <c r="J159">
        <v>36</v>
      </c>
      <c r="K159">
        <v>28</v>
      </c>
      <c r="O159" s="23">
        <f t="shared" si="11"/>
        <v>35</v>
      </c>
      <c r="P159" s="23">
        <f t="shared" si="12"/>
        <v>6.37</v>
      </c>
      <c r="Q159">
        <f t="shared" si="10"/>
        <v>25</v>
      </c>
      <c r="R159">
        <v>33</v>
      </c>
      <c r="S159">
        <v>35</v>
      </c>
    </row>
    <row r="160" spans="1:19" x14ac:dyDescent="0.25">
      <c r="A160" s="14">
        <v>30</v>
      </c>
      <c r="B160" s="24">
        <v>45997</v>
      </c>
      <c r="C160">
        <v>32</v>
      </c>
      <c r="D160">
        <v>29</v>
      </c>
      <c r="E160">
        <v>36</v>
      </c>
      <c r="F160">
        <v>43</v>
      </c>
      <c r="G160">
        <v>34</v>
      </c>
      <c r="H160">
        <v>49</v>
      </c>
      <c r="I160">
        <v>35</v>
      </c>
      <c r="J160">
        <v>33</v>
      </c>
      <c r="K160">
        <v>29</v>
      </c>
      <c r="O160" s="23">
        <f t="shared" si="11"/>
        <v>35</v>
      </c>
      <c r="P160" s="23">
        <f t="shared" si="12"/>
        <v>5.63</v>
      </c>
      <c r="Q160">
        <f t="shared" si="10"/>
        <v>5</v>
      </c>
      <c r="R160">
        <v>34</v>
      </c>
      <c r="S160">
        <v>34</v>
      </c>
    </row>
    <row r="161" spans="1:19" x14ac:dyDescent="0.25">
      <c r="A161" s="14">
        <v>22</v>
      </c>
      <c r="B161" s="24">
        <v>45998</v>
      </c>
      <c r="C161">
        <v>47</v>
      </c>
      <c r="D161">
        <v>43</v>
      </c>
      <c r="E161">
        <v>56</v>
      </c>
      <c r="F161">
        <v>58</v>
      </c>
      <c r="G161">
        <v>50</v>
      </c>
      <c r="H161">
        <v>72</v>
      </c>
      <c r="I161">
        <v>65</v>
      </c>
      <c r="J161">
        <v>48</v>
      </c>
      <c r="K161">
        <v>51</v>
      </c>
      <c r="O161" s="23">
        <f t="shared" si="11"/>
        <v>54</v>
      </c>
      <c r="P161" s="23">
        <f t="shared" si="12"/>
        <v>8.01</v>
      </c>
      <c r="Q161">
        <f t="shared" si="10"/>
        <v>32</v>
      </c>
      <c r="R161">
        <v>53</v>
      </c>
      <c r="S161">
        <v>51</v>
      </c>
    </row>
    <row r="162" spans="1:19" x14ac:dyDescent="0.25">
      <c r="A162" s="14">
        <v>28</v>
      </c>
      <c r="B162" s="24">
        <v>45999</v>
      </c>
      <c r="C162">
        <v>16</v>
      </c>
      <c r="D162">
        <v>16</v>
      </c>
      <c r="E162">
        <v>28</v>
      </c>
      <c r="F162">
        <v>31</v>
      </c>
      <c r="G162">
        <v>27</v>
      </c>
      <c r="H162">
        <v>42</v>
      </c>
      <c r="I162">
        <v>31</v>
      </c>
      <c r="J162">
        <v>21</v>
      </c>
      <c r="K162">
        <v>16</v>
      </c>
      <c r="O162" s="23">
        <f t="shared" si="11"/>
        <v>25</v>
      </c>
      <c r="P162" s="23">
        <f t="shared" si="12"/>
        <v>7.68</v>
      </c>
      <c r="Q162">
        <f t="shared" si="10"/>
        <v>-3</v>
      </c>
      <c r="R162">
        <v>24</v>
      </c>
      <c r="S162">
        <v>21</v>
      </c>
    </row>
    <row r="163" spans="1:19" x14ac:dyDescent="0.25">
      <c r="A163" s="14">
        <v>11</v>
      </c>
      <c r="B163" s="24">
        <v>46000</v>
      </c>
      <c r="C163">
        <v>14</v>
      </c>
      <c r="D163">
        <v>14</v>
      </c>
      <c r="E163">
        <v>26</v>
      </c>
      <c r="F163">
        <v>27</v>
      </c>
      <c r="G163">
        <v>21</v>
      </c>
      <c r="H163">
        <v>37</v>
      </c>
      <c r="I163">
        <v>25</v>
      </c>
      <c r="J163">
        <v>18</v>
      </c>
      <c r="K163">
        <v>16</v>
      </c>
      <c r="O163" s="23">
        <f t="shared" si="11"/>
        <v>22</v>
      </c>
      <c r="P163" s="23">
        <f t="shared" si="12"/>
        <v>6.6</v>
      </c>
      <c r="Q163">
        <f t="shared" si="10"/>
        <v>11</v>
      </c>
      <c r="R163">
        <v>22</v>
      </c>
      <c r="S163">
        <v>17</v>
      </c>
    </row>
    <row r="164" spans="1:19" x14ac:dyDescent="0.25">
      <c r="A164" s="14">
        <v>24</v>
      </c>
      <c r="B164" s="24">
        <v>46001</v>
      </c>
      <c r="C164">
        <v>24</v>
      </c>
      <c r="D164">
        <v>22</v>
      </c>
      <c r="E164">
        <v>28</v>
      </c>
      <c r="F164">
        <v>28</v>
      </c>
      <c r="G164">
        <v>17</v>
      </c>
      <c r="H164">
        <v>30</v>
      </c>
      <c r="I164">
        <v>23</v>
      </c>
      <c r="J164">
        <v>18</v>
      </c>
      <c r="K164">
        <v>22</v>
      </c>
      <c r="O164" s="23">
        <f t="shared" si="11"/>
        <v>23</v>
      </c>
      <c r="P164" s="23">
        <f t="shared" si="12"/>
        <v>4.1399999999999997</v>
      </c>
      <c r="Q164">
        <f t="shared" si="10"/>
        <v>-1</v>
      </c>
      <c r="R164">
        <v>18</v>
      </c>
      <c r="S164">
        <v>22</v>
      </c>
    </row>
    <row r="165" spans="1:19" x14ac:dyDescent="0.25">
      <c r="A165" s="14">
        <v>14</v>
      </c>
      <c r="B165" s="24">
        <v>46002</v>
      </c>
      <c r="C165">
        <v>29</v>
      </c>
      <c r="D165">
        <v>25</v>
      </c>
      <c r="E165">
        <v>26</v>
      </c>
      <c r="F165">
        <v>36</v>
      </c>
      <c r="G165">
        <v>22</v>
      </c>
      <c r="H165">
        <v>42</v>
      </c>
      <c r="I165">
        <v>30</v>
      </c>
      <c r="J165">
        <v>29</v>
      </c>
      <c r="K165">
        <v>28</v>
      </c>
      <c r="O165" s="23">
        <f t="shared" si="11"/>
        <v>29</v>
      </c>
      <c r="P165" s="23">
        <f t="shared" si="12"/>
        <v>5.32</v>
      </c>
      <c r="Q165">
        <f t="shared" si="10"/>
        <v>15</v>
      </c>
      <c r="R165">
        <v>25</v>
      </c>
      <c r="S165">
        <v>28</v>
      </c>
    </row>
    <row r="166" spans="1:19" x14ac:dyDescent="0.25">
      <c r="A166" s="14">
        <v>20</v>
      </c>
      <c r="B166" s="24">
        <v>46003</v>
      </c>
      <c r="C166">
        <v>32</v>
      </c>
      <c r="D166">
        <v>31</v>
      </c>
      <c r="E166">
        <v>36</v>
      </c>
      <c r="F166">
        <v>41</v>
      </c>
      <c r="G166">
        <v>25</v>
      </c>
      <c r="H166">
        <v>42</v>
      </c>
      <c r="I166">
        <v>33</v>
      </c>
      <c r="J166">
        <v>30</v>
      </c>
      <c r="K166">
        <v>35</v>
      </c>
      <c r="O166" s="23">
        <f t="shared" si="11"/>
        <v>34</v>
      </c>
      <c r="P166" s="23">
        <f t="shared" si="12"/>
        <v>4.57</v>
      </c>
      <c r="Q166">
        <f t="shared" si="10"/>
        <v>14</v>
      </c>
      <c r="R166">
        <v>33</v>
      </c>
      <c r="S166">
        <v>33</v>
      </c>
    </row>
    <row r="167" spans="1:19" x14ac:dyDescent="0.25">
      <c r="A167" s="14">
        <v>31</v>
      </c>
      <c r="B167" s="24">
        <v>46004</v>
      </c>
      <c r="C167">
        <v>34</v>
      </c>
      <c r="D167">
        <v>29</v>
      </c>
      <c r="E167">
        <v>29</v>
      </c>
      <c r="F167">
        <v>36</v>
      </c>
      <c r="G167">
        <v>29</v>
      </c>
      <c r="H167">
        <v>43</v>
      </c>
      <c r="I167">
        <v>27</v>
      </c>
      <c r="J167">
        <v>26</v>
      </c>
      <c r="K167">
        <v>30</v>
      </c>
      <c r="O167" s="23">
        <f t="shared" si="11"/>
        <v>31</v>
      </c>
      <c r="P167" s="23">
        <f t="shared" si="12"/>
        <v>5.07</v>
      </c>
      <c r="Q167">
        <f t="shared" si="10"/>
        <v>0</v>
      </c>
      <c r="R167">
        <v>24</v>
      </c>
      <c r="S167">
        <v>29</v>
      </c>
    </row>
    <row r="168" spans="1:19" x14ac:dyDescent="0.25">
      <c r="A168" s="14">
        <v>72</v>
      </c>
      <c r="B168" s="24">
        <v>46005</v>
      </c>
      <c r="C168">
        <v>24</v>
      </c>
      <c r="D168">
        <v>23</v>
      </c>
      <c r="E168">
        <v>44</v>
      </c>
      <c r="F168">
        <v>41</v>
      </c>
      <c r="G168">
        <v>34</v>
      </c>
      <c r="H168">
        <v>56</v>
      </c>
      <c r="I168">
        <v>46</v>
      </c>
      <c r="J168">
        <v>40</v>
      </c>
      <c r="K168">
        <v>24</v>
      </c>
      <c r="O168" s="23">
        <f t="shared" si="11"/>
        <v>36</v>
      </c>
      <c r="P168" s="23">
        <f t="shared" si="12"/>
        <v>10.050000000000001</v>
      </c>
      <c r="Q168">
        <f t="shared" si="10"/>
        <v>-36</v>
      </c>
      <c r="R168">
        <v>30</v>
      </c>
      <c r="S168">
        <v>33</v>
      </c>
    </row>
    <row r="169" spans="1:19" x14ac:dyDescent="0.25">
      <c r="A169" s="14">
        <v>8</v>
      </c>
      <c r="B169" s="24">
        <v>46006</v>
      </c>
      <c r="C169">
        <v>21</v>
      </c>
      <c r="D169">
        <v>18</v>
      </c>
      <c r="E169">
        <v>32</v>
      </c>
      <c r="F169">
        <v>33</v>
      </c>
      <c r="G169">
        <v>21</v>
      </c>
      <c r="H169">
        <v>46</v>
      </c>
      <c r="I169">
        <v>35</v>
      </c>
      <c r="J169">
        <v>32</v>
      </c>
      <c r="K169">
        <v>21</v>
      </c>
      <c r="O169" s="23">
        <f t="shared" si="11"/>
        <v>28</v>
      </c>
      <c r="P169" s="23">
        <f t="shared" si="12"/>
        <v>7.99</v>
      </c>
      <c r="Q169">
        <f t="shared" si="10"/>
        <v>20</v>
      </c>
      <c r="R169">
        <v>23</v>
      </c>
      <c r="S169">
        <v>27</v>
      </c>
    </row>
    <row r="170" spans="1:19" x14ac:dyDescent="0.25">
      <c r="A170" s="14">
        <v>13</v>
      </c>
      <c r="B170" s="24">
        <v>46007</v>
      </c>
      <c r="C170">
        <v>15</v>
      </c>
      <c r="D170">
        <v>15</v>
      </c>
      <c r="E170">
        <v>25</v>
      </c>
      <c r="F170">
        <v>30</v>
      </c>
      <c r="G170">
        <v>19</v>
      </c>
      <c r="H170">
        <v>35</v>
      </c>
      <c r="I170">
        <v>25</v>
      </c>
      <c r="J170">
        <v>25</v>
      </c>
      <c r="K170">
        <v>16</v>
      </c>
      <c r="O170" s="23">
        <f t="shared" si="11"/>
        <v>22</v>
      </c>
      <c r="P170" s="23">
        <f t="shared" si="12"/>
        <v>6.15</v>
      </c>
      <c r="Q170">
        <f t="shared" si="10"/>
        <v>9</v>
      </c>
      <c r="R170">
        <v>19</v>
      </c>
      <c r="S170">
        <v>20</v>
      </c>
    </row>
    <row r="171" spans="1:19" x14ac:dyDescent="0.25">
      <c r="A171" s="14">
        <v>43</v>
      </c>
      <c r="B171" s="24">
        <v>46008</v>
      </c>
      <c r="C171">
        <v>24</v>
      </c>
      <c r="D171">
        <v>24</v>
      </c>
      <c r="E171">
        <v>27</v>
      </c>
      <c r="F171">
        <v>27</v>
      </c>
      <c r="G171">
        <v>16</v>
      </c>
      <c r="H171">
        <v>31</v>
      </c>
      <c r="I171">
        <v>26</v>
      </c>
      <c r="J171">
        <v>21</v>
      </c>
      <c r="K171">
        <v>25</v>
      </c>
      <c r="O171" s="23">
        <f t="shared" si="11"/>
        <v>24</v>
      </c>
      <c r="P171" s="23">
        <f t="shared" si="12"/>
        <v>3.63</v>
      </c>
      <c r="Q171">
        <f t="shared" si="10"/>
        <v>-19</v>
      </c>
      <c r="R171">
        <v>25</v>
      </c>
      <c r="S171">
        <v>23</v>
      </c>
    </row>
    <row r="172" spans="1:19" x14ac:dyDescent="0.25">
      <c r="A172" s="14">
        <v>56</v>
      </c>
      <c r="B172" s="24">
        <v>46009</v>
      </c>
      <c r="C172">
        <v>19</v>
      </c>
      <c r="D172">
        <v>22</v>
      </c>
      <c r="E172">
        <v>23</v>
      </c>
      <c r="F172">
        <v>27</v>
      </c>
      <c r="G172">
        <v>16</v>
      </c>
      <c r="H172">
        <v>29</v>
      </c>
      <c r="I172">
        <v>26</v>
      </c>
      <c r="J172">
        <v>22</v>
      </c>
      <c r="K172">
        <v>30</v>
      </c>
      <c r="O172" s="23">
        <f t="shared" si="11"/>
        <v>23</v>
      </c>
      <c r="P172" s="23">
        <f t="shared" si="12"/>
        <v>4.03</v>
      </c>
      <c r="Q172">
        <f t="shared" si="10"/>
        <v>-33</v>
      </c>
      <c r="R172">
        <v>23</v>
      </c>
      <c r="S172">
        <v>21</v>
      </c>
    </row>
    <row r="173" spans="1:19" x14ac:dyDescent="0.25">
      <c r="A173" s="14">
        <v>33</v>
      </c>
      <c r="B173" s="24">
        <v>46010</v>
      </c>
      <c r="C173">
        <v>12</v>
      </c>
      <c r="D173">
        <v>18</v>
      </c>
      <c r="E173">
        <v>22</v>
      </c>
      <c r="F173">
        <v>27</v>
      </c>
      <c r="G173">
        <v>21</v>
      </c>
      <c r="H173">
        <v>38</v>
      </c>
      <c r="I173">
        <v>27</v>
      </c>
      <c r="J173">
        <v>23</v>
      </c>
      <c r="K173">
        <v>30</v>
      </c>
      <c r="O173" s="23">
        <f t="shared" si="11"/>
        <v>23</v>
      </c>
      <c r="P173" s="23">
        <f t="shared" si="12"/>
        <v>6.57</v>
      </c>
      <c r="Q173">
        <f t="shared" si="10"/>
        <v>-10</v>
      </c>
      <c r="R173">
        <v>21</v>
      </c>
      <c r="S173">
        <v>19</v>
      </c>
    </row>
    <row r="174" spans="1:19" x14ac:dyDescent="0.25">
      <c r="A174" s="14">
        <v>37</v>
      </c>
      <c r="B174" s="24">
        <v>46011</v>
      </c>
      <c r="C174">
        <v>24</v>
      </c>
      <c r="D174">
        <v>26</v>
      </c>
      <c r="E174">
        <v>22</v>
      </c>
      <c r="F174">
        <v>24</v>
      </c>
      <c r="G174">
        <v>21</v>
      </c>
      <c r="H174">
        <v>26</v>
      </c>
      <c r="I174">
        <v>20</v>
      </c>
      <c r="J174">
        <v>22</v>
      </c>
      <c r="K174">
        <v>26</v>
      </c>
      <c r="O174" s="23">
        <f t="shared" si="11"/>
        <v>23</v>
      </c>
      <c r="P174" s="23">
        <f t="shared" si="12"/>
        <v>2.19</v>
      </c>
      <c r="Q174">
        <f t="shared" si="10"/>
        <v>-14</v>
      </c>
      <c r="R174">
        <v>20</v>
      </c>
      <c r="S174">
        <v>23</v>
      </c>
    </row>
    <row r="175" spans="1:19" x14ac:dyDescent="0.25">
      <c r="A175" s="14">
        <v>84</v>
      </c>
      <c r="B175" s="24">
        <v>46012</v>
      </c>
      <c r="C175">
        <v>14</v>
      </c>
      <c r="D175">
        <v>36</v>
      </c>
      <c r="E175">
        <v>67</v>
      </c>
      <c r="F175">
        <v>59</v>
      </c>
      <c r="G175">
        <v>69</v>
      </c>
      <c r="H175">
        <v>91</v>
      </c>
      <c r="I175">
        <v>64</v>
      </c>
      <c r="J175">
        <v>33</v>
      </c>
      <c r="K175">
        <v>18</v>
      </c>
      <c r="O175" s="23">
        <f t="shared" si="11"/>
        <v>47</v>
      </c>
      <c r="P175" s="23">
        <f t="shared" si="12"/>
        <v>23.15</v>
      </c>
      <c r="Q175">
        <f t="shared" si="10"/>
        <v>-37</v>
      </c>
      <c r="R175">
        <v>32</v>
      </c>
      <c r="S175">
        <v>34</v>
      </c>
    </row>
    <row r="176" spans="1:19" x14ac:dyDescent="0.25">
      <c r="A176" s="14">
        <v>30</v>
      </c>
      <c r="B176" s="24">
        <v>46013</v>
      </c>
      <c r="C176">
        <v>37</v>
      </c>
      <c r="D176">
        <v>39</v>
      </c>
      <c r="E176">
        <v>45</v>
      </c>
      <c r="F176">
        <v>44</v>
      </c>
      <c r="G176">
        <v>27</v>
      </c>
      <c r="H176">
        <v>56</v>
      </c>
      <c r="I176">
        <v>49</v>
      </c>
      <c r="J176">
        <v>33</v>
      </c>
      <c r="K176">
        <v>48</v>
      </c>
      <c r="O176" s="23">
        <f t="shared" si="11"/>
        <v>41</v>
      </c>
      <c r="P176" s="23">
        <f t="shared" si="12"/>
        <v>7.68</v>
      </c>
      <c r="Q176">
        <f t="shared" si="10"/>
        <v>11</v>
      </c>
      <c r="R176">
        <v>39</v>
      </c>
      <c r="S176">
        <v>39</v>
      </c>
    </row>
    <row r="177" spans="1:19" x14ac:dyDescent="0.25">
      <c r="A177" s="14">
        <v>10</v>
      </c>
      <c r="B177" s="24">
        <v>46014</v>
      </c>
      <c r="C177">
        <v>23</v>
      </c>
      <c r="D177">
        <v>19</v>
      </c>
      <c r="E177">
        <v>31</v>
      </c>
      <c r="F177">
        <v>33</v>
      </c>
      <c r="G177">
        <v>19</v>
      </c>
      <c r="H177">
        <v>32</v>
      </c>
      <c r="I177">
        <v>32</v>
      </c>
      <c r="J177">
        <v>24</v>
      </c>
      <c r="K177">
        <v>22</v>
      </c>
      <c r="O177" s="23">
        <f t="shared" si="11"/>
        <v>25</v>
      </c>
      <c r="P177" s="23">
        <f t="shared" si="12"/>
        <v>5.33</v>
      </c>
      <c r="Q177">
        <f t="shared" si="10"/>
        <v>15</v>
      </c>
      <c r="R177">
        <v>20</v>
      </c>
      <c r="S177">
        <v>23</v>
      </c>
    </row>
    <row r="178" spans="1:19" x14ac:dyDescent="0.25">
      <c r="A178" s="14">
        <v>10</v>
      </c>
      <c r="B178" s="24">
        <v>46015</v>
      </c>
      <c r="C178">
        <v>4</v>
      </c>
      <c r="D178">
        <v>4</v>
      </c>
      <c r="E178">
        <v>21</v>
      </c>
      <c r="F178">
        <v>23</v>
      </c>
      <c r="G178">
        <v>18</v>
      </c>
      <c r="H178">
        <v>36</v>
      </c>
      <c r="I178">
        <v>19</v>
      </c>
      <c r="J178">
        <v>19</v>
      </c>
      <c r="K178">
        <v>7</v>
      </c>
      <c r="O178" s="23">
        <f t="shared" si="11"/>
        <v>16</v>
      </c>
      <c r="P178" s="23">
        <f t="shared" si="12"/>
        <v>8.9600000000000009</v>
      </c>
      <c r="Q178">
        <f t="shared" si="10"/>
        <v>6</v>
      </c>
      <c r="R178">
        <v>13</v>
      </c>
      <c r="S178">
        <v>13</v>
      </c>
    </row>
    <row r="179" spans="1:19" x14ac:dyDescent="0.25">
      <c r="A179" s="14">
        <v>0</v>
      </c>
      <c r="B179" s="24">
        <v>46016</v>
      </c>
      <c r="C179">
        <v>5</v>
      </c>
      <c r="D179">
        <v>6</v>
      </c>
      <c r="E179">
        <v>22</v>
      </c>
      <c r="F179">
        <v>25</v>
      </c>
      <c r="G179">
        <v>21</v>
      </c>
      <c r="H179">
        <v>38</v>
      </c>
      <c r="I179">
        <v>16</v>
      </c>
      <c r="J179">
        <v>15</v>
      </c>
      <c r="K179">
        <v>4</v>
      </c>
      <c r="O179" s="23">
        <f t="shared" si="11"/>
        <v>16</v>
      </c>
      <c r="P179" s="23">
        <f t="shared" si="12"/>
        <v>9.65</v>
      </c>
      <c r="Q179">
        <f t="shared" si="10"/>
        <v>16</v>
      </c>
      <c r="R179">
        <v>12</v>
      </c>
      <c r="S179">
        <v>12</v>
      </c>
    </row>
    <row r="180" spans="1:19" x14ac:dyDescent="0.25">
      <c r="A180" s="14">
        <v>24</v>
      </c>
      <c r="B180" s="24">
        <v>46017</v>
      </c>
      <c r="C180">
        <v>9</v>
      </c>
      <c r="D180">
        <v>13</v>
      </c>
      <c r="E180">
        <v>24</v>
      </c>
      <c r="F180">
        <v>30</v>
      </c>
      <c r="G180">
        <v>22</v>
      </c>
      <c r="H180">
        <v>40</v>
      </c>
      <c r="I180">
        <v>21</v>
      </c>
      <c r="J180">
        <v>21</v>
      </c>
      <c r="K180">
        <v>14</v>
      </c>
      <c r="O180" s="23">
        <f t="shared" si="11"/>
        <v>21</v>
      </c>
      <c r="P180" s="23">
        <f t="shared" si="12"/>
        <v>8.1199999999999992</v>
      </c>
      <c r="Q180">
        <f t="shared" si="10"/>
        <v>-3</v>
      </c>
      <c r="R180">
        <v>17</v>
      </c>
      <c r="S180">
        <v>20</v>
      </c>
    </row>
    <row r="181" spans="1:19" x14ac:dyDescent="0.25">
      <c r="A181" s="14">
        <v>65</v>
      </c>
      <c r="B181" s="24">
        <v>46018</v>
      </c>
      <c r="C181">
        <v>18</v>
      </c>
      <c r="D181">
        <v>23</v>
      </c>
      <c r="E181">
        <v>27</v>
      </c>
      <c r="F181">
        <v>36</v>
      </c>
      <c r="G181">
        <v>27</v>
      </c>
      <c r="H181">
        <v>45</v>
      </c>
      <c r="I181">
        <v>26</v>
      </c>
      <c r="J181">
        <v>27</v>
      </c>
      <c r="K181">
        <v>23</v>
      </c>
      <c r="O181" s="23">
        <f t="shared" si="11"/>
        <v>27</v>
      </c>
      <c r="P181" s="23">
        <f t="shared" si="12"/>
        <v>6.91</v>
      </c>
      <c r="Q181">
        <f t="shared" si="10"/>
        <v>-38</v>
      </c>
      <c r="R181">
        <v>25</v>
      </c>
      <c r="S181">
        <v>25</v>
      </c>
    </row>
    <row r="182" spans="1:19" x14ac:dyDescent="0.25">
      <c r="A182" s="14">
        <v>68</v>
      </c>
      <c r="B182" s="24">
        <v>46019</v>
      </c>
      <c r="C182">
        <v>32</v>
      </c>
      <c r="D182">
        <v>31</v>
      </c>
      <c r="E182">
        <v>45</v>
      </c>
      <c r="F182">
        <v>48</v>
      </c>
      <c r="G182">
        <v>40</v>
      </c>
      <c r="H182">
        <v>68</v>
      </c>
      <c r="I182">
        <v>52</v>
      </c>
      <c r="J182">
        <v>39</v>
      </c>
      <c r="K182">
        <v>38</v>
      </c>
      <c r="O182" s="23">
        <f t="shared" si="11"/>
        <v>44</v>
      </c>
      <c r="P182" s="23">
        <f t="shared" si="12"/>
        <v>9.84</v>
      </c>
      <c r="Q182">
        <f t="shared" si="10"/>
        <v>-24</v>
      </c>
      <c r="R182">
        <v>46</v>
      </c>
      <c r="S182">
        <v>40</v>
      </c>
    </row>
    <row r="183" spans="1:19" x14ac:dyDescent="0.25">
      <c r="A183" s="14">
        <v>12</v>
      </c>
      <c r="B183" s="24">
        <v>46020</v>
      </c>
      <c r="C183">
        <v>13</v>
      </c>
      <c r="D183">
        <v>24</v>
      </c>
      <c r="E183">
        <v>49</v>
      </c>
      <c r="F183">
        <v>43</v>
      </c>
      <c r="G183">
        <v>38</v>
      </c>
      <c r="H183">
        <v>58</v>
      </c>
      <c r="I183">
        <v>45</v>
      </c>
      <c r="J183">
        <v>24</v>
      </c>
      <c r="K183">
        <v>15</v>
      </c>
      <c r="O183" s="23">
        <f t="shared" si="11"/>
        <v>32</v>
      </c>
      <c r="P183" s="23">
        <f t="shared" si="12"/>
        <v>14.47</v>
      </c>
      <c r="Q183">
        <f t="shared" si="10"/>
        <v>20</v>
      </c>
      <c r="R183">
        <v>19</v>
      </c>
      <c r="S183">
        <v>24</v>
      </c>
    </row>
    <row r="184" spans="1:19" x14ac:dyDescent="0.25">
      <c r="A184" s="14">
        <v>6</v>
      </c>
      <c r="B184" s="24">
        <v>46021</v>
      </c>
      <c r="C184">
        <v>23</v>
      </c>
      <c r="D184">
        <v>24</v>
      </c>
      <c r="E184">
        <v>32</v>
      </c>
      <c r="F184">
        <v>32</v>
      </c>
      <c r="G184">
        <v>22</v>
      </c>
      <c r="H184">
        <v>40</v>
      </c>
      <c r="I184">
        <v>32</v>
      </c>
      <c r="J184">
        <v>23</v>
      </c>
      <c r="K184">
        <v>25</v>
      </c>
      <c r="O184" s="23">
        <f t="shared" si="11"/>
        <v>28</v>
      </c>
      <c r="P184" s="23">
        <f t="shared" si="12"/>
        <v>5.45</v>
      </c>
      <c r="Q184">
        <f t="shared" si="10"/>
        <v>22</v>
      </c>
      <c r="R184">
        <v>27</v>
      </c>
      <c r="S184">
        <v>23</v>
      </c>
    </row>
    <row r="185" spans="1:19" x14ac:dyDescent="0.25">
      <c r="A185" s="14">
        <v>0</v>
      </c>
      <c r="B185" s="24">
        <v>46022</v>
      </c>
      <c r="C185">
        <v>6</v>
      </c>
      <c r="D185">
        <v>7</v>
      </c>
      <c r="E185">
        <v>21</v>
      </c>
      <c r="F185">
        <v>26</v>
      </c>
      <c r="G185">
        <v>19</v>
      </c>
      <c r="H185">
        <v>40</v>
      </c>
      <c r="I185">
        <v>21</v>
      </c>
      <c r="J185">
        <v>20</v>
      </c>
      <c r="K185">
        <v>8</v>
      </c>
      <c r="O185" s="23">
        <f t="shared" si="11"/>
        <v>18</v>
      </c>
      <c r="P185" s="23">
        <f t="shared" si="12"/>
        <v>9.4700000000000006</v>
      </c>
      <c r="Q185">
        <f t="shared" si="10"/>
        <v>18</v>
      </c>
      <c r="R185">
        <v>12</v>
      </c>
      <c r="S185">
        <v>14</v>
      </c>
    </row>
    <row r="186" spans="1:19" x14ac:dyDescent="0.25">
      <c r="A186" s="14">
        <v>0</v>
      </c>
      <c r="B186" s="24">
        <v>46023</v>
      </c>
      <c r="O186" s="23" t="e">
        <f t="shared" si="11"/>
        <v>#DIV/0!</v>
      </c>
      <c r="P186" s="23" t="e">
        <f t="shared" si="12"/>
        <v>#DIV/0!</v>
      </c>
      <c r="Q186" t="e">
        <f t="shared" si="10"/>
        <v>#DIV/0!</v>
      </c>
    </row>
    <row r="187" spans="1:19" x14ac:dyDescent="0.25">
      <c r="A187" s="14">
        <v>6</v>
      </c>
      <c r="B187" s="24">
        <v>46024</v>
      </c>
      <c r="O187" s="23" t="e">
        <f t="shared" si="11"/>
        <v>#DIV/0!</v>
      </c>
      <c r="P187" s="23" t="e">
        <f t="shared" si="12"/>
        <v>#DIV/0!</v>
      </c>
      <c r="Q187" t="e">
        <f t="shared" si="10"/>
        <v>#DIV/0!</v>
      </c>
    </row>
    <row r="188" spans="1:19" x14ac:dyDescent="0.25">
      <c r="A188" s="14">
        <v>13</v>
      </c>
      <c r="B188" s="24">
        <v>46025</v>
      </c>
      <c r="O188" s="23" t="e">
        <f t="shared" si="11"/>
        <v>#DIV/0!</v>
      </c>
      <c r="P188" s="23" t="e">
        <f t="shared" si="12"/>
        <v>#DIV/0!</v>
      </c>
      <c r="Q188" t="e">
        <f t="shared" si="10"/>
        <v>#DIV/0!</v>
      </c>
    </row>
    <row r="189" spans="1:19" x14ac:dyDescent="0.25">
      <c r="A189" s="14">
        <v>4</v>
      </c>
      <c r="B189" s="24">
        <v>46026</v>
      </c>
      <c r="O189" s="23" t="e">
        <f t="shared" si="11"/>
        <v>#DIV/0!</v>
      </c>
      <c r="P189" s="23" t="e">
        <f t="shared" si="12"/>
        <v>#DIV/0!</v>
      </c>
      <c r="Q189" t="e">
        <f t="shared" si="10"/>
        <v>#DIV/0!</v>
      </c>
    </row>
    <row r="190" spans="1:19" x14ac:dyDescent="0.25">
      <c r="A190" s="14">
        <v>1</v>
      </c>
      <c r="B190" s="24">
        <v>46027</v>
      </c>
      <c r="O190" s="23" t="e">
        <f t="shared" si="11"/>
        <v>#DIV/0!</v>
      </c>
      <c r="P190" s="23" t="e">
        <f t="shared" si="12"/>
        <v>#DIV/0!</v>
      </c>
      <c r="Q190" t="e">
        <f t="shared" si="10"/>
        <v>#DIV/0!</v>
      </c>
    </row>
    <row r="191" spans="1:19" x14ac:dyDescent="0.25">
      <c r="A191" s="14">
        <v>19</v>
      </c>
      <c r="B191" s="24">
        <v>46028</v>
      </c>
      <c r="O191" s="23" t="e">
        <f t="shared" si="11"/>
        <v>#DIV/0!</v>
      </c>
      <c r="P191" s="23" t="e">
        <f t="shared" si="12"/>
        <v>#DIV/0!</v>
      </c>
      <c r="Q191" t="e">
        <f t="shared" si="10"/>
        <v>#DIV/0!</v>
      </c>
    </row>
    <row r="192" spans="1:19" x14ac:dyDescent="0.25">
      <c r="A192" s="14">
        <v>6</v>
      </c>
      <c r="B192" s="24">
        <v>46029</v>
      </c>
      <c r="O192" s="23" t="e">
        <f t="shared" si="11"/>
        <v>#DIV/0!</v>
      </c>
      <c r="P192" s="23" t="e">
        <f t="shared" si="12"/>
        <v>#DIV/0!</v>
      </c>
      <c r="Q192" t="e">
        <f t="shared" si="10"/>
        <v>#DIV/0!</v>
      </c>
    </row>
    <row r="193" spans="1:19" x14ac:dyDescent="0.25">
      <c r="A193" s="14">
        <v>9</v>
      </c>
      <c r="B193" s="24">
        <v>46030</v>
      </c>
      <c r="O193" s="23" t="e">
        <f t="shared" si="11"/>
        <v>#DIV/0!</v>
      </c>
      <c r="P193" s="23" t="e">
        <f t="shared" si="12"/>
        <v>#DIV/0!</v>
      </c>
      <c r="Q193" t="e">
        <f t="shared" si="10"/>
        <v>#DIV/0!</v>
      </c>
    </row>
    <row r="194" spans="1:19" x14ac:dyDescent="0.25">
      <c r="A194" s="14">
        <v>0</v>
      </c>
      <c r="B194" s="24">
        <v>46031</v>
      </c>
      <c r="O194" s="23" t="e">
        <f t="shared" si="11"/>
        <v>#DIV/0!</v>
      </c>
      <c r="P194" s="23" t="e">
        <f t="shared" si="12"/>
        <v>#DIV/0!</v>
      </c>
      <c r="Q194" t="e">
        <f t="shared" si="10"/>
        <v>#DIV/0!</v>
      </c>
    </row>
    <row r="195" spans="1:19" x14ac:dyDescent="0.25">
      <c r="A195" s="14">
        <v>23</v>
      </c>
      <c r="B195" s="24">
        <v>46032</v>
      </c>
      <c r="O195" s="23" t="e">
        <f t="shared" si="11"/>
        <v>#DIV/0!</v>
      </c>
      <c r="P195" s="23" t="e">
        <f t="shared" si="12"/>
        <v>#DIV/0!</v>
      </c>
      <c r="Q195" t="e">
        <f t="shared" ref="Q195:Q258" si="13">O195-A195</f>
        <v>#DIV/0!</v>
      </c>
    </row>
    <row r="196" spans="1:19" x14ac:dyDescent="0.25">
      <c r="A196" s="14">
        <v>13</v>
      </c>
      <c r="B196" s="24">
        <v>46033</v>
      </c>
      <c r="C196">
        <v>14</v>
      </c>
      <c r="D196">
        <v>32</v>
      </c>
      <c r="E196">
        <v>21</v>
      </c>
      <c r="F196">
        <v>30</v>
      </c>
      <c r="G196">
        <v>21</v>
      </c>
      <c r="H196">
        <v>35</v>
      </c>
      <c r="I196">
        <v>24</v>
      </c>
      <c r="J196">
        <v>34</v>
      </c>
      <c r="K196">
        <v>26</v>
      </c>
      <c r="L196">
        <v>30</v>
      </c>
      <c r="M196">
        <v>30</v>
      </c>
      <c r="N196">
        <v>32</v>
      </c>
      <c r="O196" s="23">
        <f t="shared" si="11"/>
        <v>29</v>
      </c>
      <c r="P196" s="23">
        <f t="shared" si="12"/>
        <v>9.7200000000000006</v>
      </c>
      <c r="Q196">
        <f t="shared" si="13"/>
        <v>16</v>
      </c>
      <c r="R196">
        <v>58</v>
      </c>
      <c r="S196">
        <v>25</v>
      </c>
    </row>
    <row r="197" spans="1:19" x14ac:dyDescent="0.25">
      <c r="A197" s="14">
        <v>7</v>
      </c>
      <c r="B197" s="24">
        <v>46034</v>
      </c>
      <c r="C197">
        <v>14</v>
      </c>
      <c r="D197">
        <v>18</v>
      </c>
      <c r="E197">
        <v>13</v>
      </c>
      <c r="F197">
        <v>19</v>
      </c>
      <c r="G197">
        <v>15</v>
      </c>
      <c r="H197">
        <v>24</v>
      </c>
      <c r="I197">
        <v>17</v>
      </c>
      <c r="J197">
        <v>22</v>
      </c>
      <c r="K197">
        <v>17</v>
      </c>
      <c r="L197">
        <v>14</v>
      </c>
      <c r="M197">
        <v>24</v>
      </c>
      <c r="N197">
        <v>18</v>
      </c>
      <c r="O197" s="23">
        <f t="shared" si="11"/>
        <v>20</v>
      </c>
      <c r="P197" s="23">
        <f t="shared" si="12"/>
        <v>6.82</v>
      </c>
      <c r="Q197">
        <f t="shared" si="13"/>
        <v>13</v>
      </c>
      <c r="R197">
        <v>41</v>
      </c>
      <c r="S197">
        <v>21</v>
      </c>
    </row>
    <row r="198" spans="1:19" x14ac:dyDescent="0.25">
      <c r="A198" s="14">
        <v>2</v>
      </c>
      <c r="B198" s="24">
        <v>46035</v>
      </c>
      <c r="C198">
        <v>34</v>
      </c>
      <c r="D198">
        <v>26</v>
      </c>
      <c r="E198">
        <v>21</v>
      </c>
      <c r="F198">
        <v>21</v>
      </c>
      <c r="G198">
        <v>15</v>
      </c>
      <c r="H198">
        <v>15</v>
      </c>
      <c r="I198">
        <v>30</v>
      </c>
      <c r="J198">
        <v>22</v>
      </c>
      <c r="K198">
        <v>27</v>
      </c>
      <c r="L198">
        <v>33</v>
      </c>
      <c r="M198">
        <v>29</v>
      </c>
      <c r="N198">
        <v>24</v>
      </c>
      <c r="O198" s="23">
        <f t="shared" si="11"/>
        <v>26</v>
      </c>
      <c r="P198" s="23">
        <f t="shared" si="12"/>
        <v>6.73</v>
      </c>
      <c r="Q198">
        <f t="shared" si="13"/>
        <v>24</v>
      </c>
      <c r="R198">
        <v>39</v>
      </c>
      <c r="S198">
        <v>22</v>
      </c>
    </row>
    <row r="199" spans="1:19" x14ac:dyDescent="0.25">
      <c r="A199" s="14">
        <v>21</v>
      </c>
      <c r="B199" s="24">
        <v>46036</v>
      </c>
      <c r="C199">
        <v>14</v>
      </c>
      <c r="D199">
        <v>13</v>
      </c>
      <c r="E199">
        <v>15</v>
      </c>
      <c r="F199">
        <v>16</v>
      </c>
      <c r="G199">
        <v>9</v>
      </c>
      <c r="H199">
        <v>9</v>
      </c>
      <c r="I199">
        <v>27</v>
      </c>
      <c r="J199">
        <v>13</v>
      </c>
      <c r="K199">
        <v>12</v>
      </c>
      <c r="L199">
        <v>18</v>
      </c>
      <c r="M199">
        <v>9</v>
      </c>
      <c r="N199">
        <v>12</v>
      </c>
      <c r="O199" s="23">
        <f t="shared" si="11"/>
        <v>16</v>
      </c>
      <c r="P199" s="23">
        <f t="shared" si="12"/>
        <v>6.17</v>
      </c>
      <c r="Q199">
        <f t="shared" si="13"/>
        <v>-5</v>
      </c>
      <c r="R199">
        <v>28</v>
      </c>
      <c r="S199">
        <v>24</v>
      </c>
    </row>
    <row r="200" spans="1:19" x14ac:dyDescent="0.25">
      <c r="A200" s="14">
        <v>11</v>
      </c>
      <c r="B200" s="24">
        <v>46037</v>
      </c>
      <c r="C200">
        <v>8</v>
      </c>
      <c r="D200">
        <v>8</v>
      </c>
      <c r="E200">
        <v>9</v>
      </c>
      <c r="F200">
        <v>7</v>
      </c>
      <c r="G200">
        <v>6</v>
      </c>
      <c r="H200">
        <v>6</v>
      </c>
      <c r="I200">
        <v>13</v>
      </c>
      <c r="J200">
        <v>7</v>
      </c>
      <c r="K200">
        <v>9</v>
      </c>
      <c r="L200">
        <v>9</v>
      </c>
      <c r="M200">
        <v>5</v>
      </c>
      <c r="N200">
        <v>8</v>
      </c>
      <c r="O200" s="23">
        <f t="shared" si="11"/>
        <v>9</v>
      </c>
      <c r="P200" s="23">
        <f t="shared" si="12"/>
        <v>4.99</v>
      </c>
      <c r="Q200">
        <f t="shared" si="13"/>
        <v>-2</v>
      </c>
      <c r="R200">
        <v>26</v>
      </c>
      <c r="S200">
        <v>9</v>
      </c>
    </row>
    <row r="201" spans="1:19" x14ac:dyDescent="0.25">
      <c r="A201" s="14">
        <v>0</v>
      </c>
      <c r="B201" s="24">
        <v>46038</v>
      </c>
      <c r="C201">
        <v>62</v>
      </c>
      <c r="D201">
        <v>24</v>
      </c>
      <c r="E201">
        <v>27</v>
      </c>
      <c r="F201">
        <v>16</v>
      </c>
      <c r="G201">
        <v>14</v>
      </c>
      <c r="H201">
        <v>10</v>
      </c>
      <c r="I201">
        <v>30</v>
      </c>
      <c r="J201">
        <v>21</v>
      </c>
      <c r="K201">
        <v>29</v>
      </c>
      <c r="L201">
        <v>31</v>
      </c>
      <c r="M201">
        <v>36</v>
      </c>
      <c r="N201">
        <v>28</v>
      </c>
      <c r="O201" s="23">
        <f t="shared" si="11"/>
        <v>29</v>
      </c>
      <c r="P201" s="23">
        <f t="shared" si="12"/>
        <v>12.42</v>
      </c>
      <c r="Q201">
        <f t="shared" si="13"/>
        <v>29</v>
      </c>
      <c r="R201">
        <v>42</v>
      </c>
      <c r="S201">
        <v>30</v>
      </c>
    </row>
    <row r="202" spans="1:19" x14ac:dyDescent="0.25">
      <c r="A202" s="14">
        <v>15</v>
      </c>
      <c r="B202" s="24">
        <v>46039</v>
      </c>
      <c r="C202">
        <v>12</v>
      </c>
      <c r="D202">
        <v>17</v>
      </c>
      <c r="E202">
        <v>13</v>
      </c>
      <c r="F202">
        <v>11</v>
      </c>
      <c r="G202">
        <v>5</v>
      </c>
      <c r="H202">
        <v>8</v>
      </c>
      <c r="I202">
        <v>11</v>
      </c>
      <c r="J202">
        <v>8</v>
      </c>
      <c r="K202">
        <v>11</v>
      </c>
      <c r="L202">
        <v>11</v>
      </c>
      <c r="M202">
        <v>13</v>
      </c>
      <c r="N202">
        <v>17</v>
      </c>
      <c r="O202" s="23">
        <f t="shared" si="11"/>
        <v>13</v>
      </c>
      <c r="P202" s="23">
        <f t="shared" si="12"/>
        <v>4.6900000000000004</v>
      </c>
      <c r="Q202">
        <f t="shared" si="13"/>
        <v>-2</v>
      </c>
      <c r="R202">
        <v>21</v>
      </c>
      <c r="S202">
        <v>22</v>
      </c>
    </row>
    <row r="203" spans="1:19" x14ac:dyDescent="0.25">
      <c r="A203" s="14">
        <v>25</v>
      </c>
      <c r="B203" s="24">
        <v>46040</v>
      </c>
      <c r="C203">
        <v>23</v>
      </c>
      <c r="D203">
        <v>27</v>
      </c>
      <c r="E203">
        <v>18</v>
      </c>
      <c r="F203">
        <v>32</v>
      </c>
      <c r="G203">
        <v>17</v>
      </c>
      <c r="H203">
        <v>34</v>
      </c>
      <c r="I203">
        <v>26</v>
      </c>
      <c r="J203">
        <v>34</v>
      </c>
      <c r="K203">
        <v>29</v>
      </c>
      <c r="L203">
        <v>27</v>
      </c>
      <c r="M203">
        <v>26</v>
      </c>
      <c r="N203">
        <v>29</v>
      </c>
      <c r="O203" s="23">
        <f t="shared" si="11"/>
        <v>30</v>
      </c>
      <c r="P203" s="23">
        <f t="shared" si="12"/>
        <v>10.25</v>
      </c>
      <c r="Q203">
        <f t="shared" si="13"/>
        <v>5</v>
      </c>
      <c r="R203">
        <v>62</v>
      </c>
      <c r="S203">
        <v>30</v>
      </c>
    </row>
    <row r="204" spans="1:19" x14ac:dyDescent="0.25">
      <c r="A204" s="14">
        <v>21</v>
      </c>
      <c r="B204" s="24">
        <v>46041</v>
      </c>
      <c r="C204">
        <v>3</v>
      </c>
      <c r="D204">
        <v>4</v>
      </c>
      <c r="E204">
        <v>10</v>
      </c>
      <c r="F204">
        <v>13</v>
      </c>
      <c r="G204">
        <v>7</v>
      </c>
      <c r="H204">
        <v>23</v>
      </c>
      <c r="I204">
        <v>12</v>
      </c>
      <c r="J204">
        <v>13</v>
      </c>
      <c r="K204">
        <v>3</v>
      </c>
      <c r="L204">
        <v>3</v>
      </c>
      <c r="M204">
        <v>5</v>
      </c>
      <c r="N204">
        <v>4</v>
      </c>
      <c r="O204" s="23">
        <f t="shared" ref="O204:O251" si="14">ROUND(AVERAGE(C204:N204,R204,S204),0)</f>
        <v>11</v>
      </c>
      <c r="P204" s="23">
        <f t="shared" ref="P204:P251" si="15">ROUND(_xlfn.STDEV.P(C204:N204,R204,S204),2)</f>
        <v>9.69</v>
      </c>
      <c r="Q204">
        <f t="shared" si="13"/>
        <v>-10</v>
      </c>
      <c r="R204">
        <v>39</v>
      </c>
      <c r="S204">
        <v>17</v>
      </c>
    </row>
    <row r="205" spans="1:19" x14ac:dyDescent="0.25">
      <c r="A205" s="14">
        <v>5</v>
      </c>
      <c r="B205" s="24">
        <v>46042</v>
      </c>
      <c r="C205">
        <v>-4</v>
      </c>
      <c r="D205">
        <v>11</v>
      </c>
      <c r="E205">
        <v>3</v>
      </c>
      <c r="F205">
        <v>14</v>
      </c>
      <c r="G205">
        <v>6</v>
      </c>
      <c r="H205">
        <v>17</v>
      </c>
      <c r="I205">
        <v>19</v>
      </c>
      <c r="J205">
        <v>13</v>
      </c>
      <c r="K205">
        <v>12</v>
      </c>
      <c r="L205">
        <v>13</v>
      </c>
      <c r="M205">
        <v>9</v>
      </c>
      <c r="N205">
        <v>13</v>
      </c>
      <c r="O205" s="23">
        <f t="shared" si="14"/>
        <v>13</v>
      </c>
      <c r="P205" s="23">
        <f t="shared" si="15"/>
        <v>9.01</v>
      </c>
      <c r="Q205">
        <f t="shared" si="13"/>
        <v>8</v>
      </c>
      <c r="R205">
        <v>38</v>
      </c>
      <c r="S205">
        <v>11</v>
      </c>
    </row>
    <row r="206" spans="1:19" x14ac:dyDescent="0.25">
      <c r="A206" s="14">
        <v>18</v>
      </c>
      <c r="B206" s="24">
        <v>46043</v>
      </c>
      <c r="C206">
        <v>14</v>
      </c>
      <c r="D206">
        <v>22</v>
      </c>
      <c r="E206">
        <v>13</v>
      </c>
      <c r="F206">
        <v>15</v>
      </c>
      <c r="G206">
        <v>7</v>
      </c>
      <c r="H206">
        <v>9</v>
      </c>
      <c r="I206">
        <v>19</v>
      </c>
      <c r="J206">
        <v>16</v>
      </c>
      <c r="K206">
        <v>18</v>
      </c>
      <c r="L206">
        <v>18</v>
      </c>
      <c r="M206">
        <v>16</v>
      </c>
      <c r="N206">
        <v>19</v>
      </c>
      <c r="O206" s="23">
        <f t="shared" si="14"/>
        <v>17</v>
      </c>
      <c r="P206" s="23">
        <f t="shared" si="15"/>
        <v>5.9</v>
      </c>
      <c r="Q206">
        <f t="shared" si="13"/>
        <v>-1</v>
      </c>
      <c r="R206">
        <v>33</v>
      </c>
      <c r="S206">
        <v>18</v>
      </c>
    </row>
    <row r="207" spans="1:19" x14ac:dyDescent="0.25">
      <c r="A207" s="14">
        <v>12</v>
      </c>
      <c r="B207" s="24">
        <v>46044</v>
      </c>
      <c r="C207">
        <v>19</v>
      </c>
      <c r="D207">
        <v>21</v>
      </c>
      <c r="E207">
        <v>16</v>
      </c>
      <c r="F207">
        <v>18</v>
      </c>
      <c r="G207">
        <v>7</v>
      </c>
      <c r="H207">
        <v>11</v>
      </c>
      <c r="I207">
        <v>20</v>
      </c>
      <c r="J207">
        <v>17</v>
      </c>
      <c r="K207">
        <v>19</v>
      </c>
      <c r="L207">
        <v>21</v>
      </c>
      <c r="M207">
        <v>19</v>
      </c>
      <c r="N207">
        <v>20</v>
      </c>
      <c r="O207" s="23">
        <f t="shared" si="14"/>
        <v>19</v>
      </c>
      <c r="P207" s="23">
        <f t="shared" si="15"/>
        <v>5.37</v>
      </c>
      <c r="Q207">
        <f t="shared" si="13"/>
        <v>7</v>
      </c>
      <c r="R207">
        <v>32</v>
      </c>
      <c r="S207">
        <v>21</v>
      </c>
    </row>
    <row r="208" spans="1:19" x14ac:dyDescent="0.25">
      <c r="A208" s="14">
        <v>7</v>
      </c>
      <c r="B208" s="24">
        <v>46045</v>
      </c>
      <c r="C208">
        <v>14</v>
      </c>
      <c r="D208">
        <v>15</v>
      </c>
      <c r="E208">
        <v>11</v>
      </c>
      <c r="F208">
        <v>12</v>
      </c>
      <c r="G208">
        <v>2</v>
      </c>
      <c r="H208">
        <v>4</v>
      </c>
      <c r="I208">
        <v>17</v>
      </c>
      <c r="J208">
        <v>10</v>
      </c>
      <c r="K208">
        <v>14</v>
      </c>
      <c r="L208">
        <v>14</v>
      </c>
      <c r="M208">
        <v>18</v>
      </c>
      <c r="N208">
        <v>14</v>
      </c>
      <c r="O208" s="23">
        <f t="shared" si="14"/>
        <v>13</v>
      </c>
      <c r="P208" s="23">
        <f t="shared" si="15"/>
        <v>5.14</v>
      </c>
      <c r="Q208">
        <f t="shared" si="13"/>
        <v>6</v>
      </c>
      <c r="R208">
        <v>22</v>
      </c>
      <c r="S208">
        <v>18</v>
      </c>
    </row>
    <row r="209" spans="1:19" x14ac:dyDescent="0.25">
      <c r="A209" s="14">
        <v>26</v>
      </c>
      <c r="B209" s="24">
        <v>46046</v>
      </c>
      <c r="C209">
        <v>16</v>
      </c>
      <c r="D209">
        <v>26</v>
      </c>
      <c r="E209">
        <v>13</v>
      </c>
      <c r="F209">
        <v>16</v>
      </c>
      <c r="G209">
        <v>2</v>
      </c>
      <c r="H209">
        <v>6</v>
      </c>
      <c r="I209">
        <v>18</v>
      </c>
      <c r="J209">
        <v>18</v>
      </c>
      <c r="K209">
        <v>22</v>
      </c>
      <c r="L209">
        <v>20</v>
      </c>
      <c r="M209">
        <v>33</v>
      </c>
      <c r="N209">
        <v>24</v>
      </c>
      <c r="O209" s="23">
        <f t="shared" si="14"/>
        <v>19</v>
      </c>
      <c r="P209" s="23">
        <f t="shared" si="15"/>
        <v>7.81</v>
      </c>
      <c r="Q209">
        <f t="shared" si="13"/>
        <v>-7</v>
      </c>
      <c r="R209">
        <v>25</v>
      </c>
      <c r="S209">
        <v>24</v>
      </c>
    </row>
    <row r="210" spans="1:19" x14ac:dyDescent="0.25">
      <c r="A210" s="14">
        <v>36</v>
      </c>
      <c r="B210" s="24">
        <v>46047</v>
      </c>
      <c r="C210">
        <v>35</v>
      </c>
      <c r="D210">
        <v>25</v>
      </c>
      <c r="E210">
        <v>25</v>
      </c>
      <c r="F210">
        <v>53</v>
      </c>
      <c r="G210">
        <v>26</v>
      </c>
      <c r="H210">
        <v>57</v>
      </c>
      <c r="I210">
        <v>46</v>
      </c>
      <c r="J210">
        <v>44</v>
      </c>
      <c r="K210">
        <v>26</v>
      </c>
      <c r="L210">
        <v>34</v>
      </c>
      <c r="M210">
        <v>41</v>
      </c>
      <c r="N210">
        <v>28</v>
      </c>
      <c r="O210" s="23">
        <f t="shared" si="14"/>
        <v>39</v>
      </c>
      <c r="P210" s="23">
        <f t="shared" si="15"/>
        <v>14.02</v>
      </c>
      <c r="Q210">
        <f t="shared" si="13"/>
        <v>3</v>
      </c>
      <c r="R210">
        <v>74</v>
      </c>
      <c r="S210">
        <v>33</v>
      </c>
    </row>
    <row r="211" spans="1:19" x14ac:dyDescent="0.25">
      <c r="A211" s="14">
        <v>11</v>
      </c>
      <c r="B211" s="24">
        <v>46048</v>
      </c>
      <c r="C211">
        <v>26</v>
      </c>
      <c r="D211">
        <v>14</v>
      </c>
      <c r="E211">
        <v>17</v>
      </c>
      <c r="F211">
        <v>34</v>
      </c>
      <c r="G211">
        <v>21</v>
      </c>
      <c r="H211">
        <v>33</v>
      </c>
      <c r="I211">
        <v>30</v>
      </c>
      <c r="J211">
        <v>28</v>
      </c>
      <c r="K211">
        <v>12</v>
      </c>
      <c r="L211">
        <v>15</v>
      </c>
      <c r="M211">
        <v>30</v>
      </c>
      <c r="N211">
        <v>18</v>
      </c>
      <c r="O211" s="23">
        <f t="shared" si="14"/>
        <v>25</v>
      </c>
      <c r="P211" s="23">
        <f t="shared" si="15"/>
        <v>12.02</v>
      </c>
      <c r="Q211">
        <f t="shared" si="13"/>
        <v>14</v>
      </c>
      <c r="R211">
        <v>59</v>
      </c>
      <c r="S211">
        <v>13</v>
      </c>
    </row>
    <row r="212" spans="1:19" x14ac:dyDescent="0.25">
      <c r="A212" s="14">
        <v>9</v>
      </c>
      <c r="B212" s="24">
        <v>46049</v>
      </c>
      <c r="C212">
        <v>-4</v>
      </c>
      <c r="D212">
        <v>7</v>
      </c>
      <c r="E212">
        <v>8</v>
      </c>
      <c r="F212">
        <v>19</v>
      </c>
      <c r="G212">
        <v>12</v>
      </c>
      <c r="H212">
        <v>24</v>
      </c>
      <c r="I212">
        <v>14</v>
      </c>
      <c r="J212">
        <v>13</v>
      </c>
      <c r="K212">
        <v>7</v>
      </c>
      <c r="L212">
        <v>6</v>
      </c>
      <c r="M212">
        <v>2</v>
      </c>
      <c r="N212">
        <v>7</v>
      </c>
      <c r="O212" s="23">
        <f t="shared" si="14"/>
        <v>11</v>
      </c>
      <c r="P212" s="23">
        <f t="shared" si="15"/>
        <v>10.19</v>
      </c>
      <c r="Q212">
        <f t="shared" si="13"/>
        <v>2</v>
      </c>
      <c r="R212">
        <v>39</v>
      </c>
      <c r="S212">
        <v>5</v>
      </c>
    </row>
    <row r="213" spans="1:19" x14ac:dyDescent="0.25">
      <c r="A213" s="14">
        <v>14</v>
      </c>
      <c r="B213" s="24">
        <v>46050</v>
      </c>
      <c r="C213">
        <v>14</v>
      </c>
      <c r="D213">
        <v>15</v>
      </c>
      <c r="E213">
        <v>10</v>
      </c>
      <c r="F213">
        <v>14</v>
      </c>
      <c r="G213">
        <v>5</v>
      </c>
      <c r="H213">
        <v>8</v>
      </c>
      <c r="I213">
        <v>18</v>
      </c>
      <c r="J213">
        <v>14</v>
      </c>
      <c r="K213">
        <v>16</v>
      </c>
      <c r="L213">
        <v>16</v>
      </c>
      <c r="M213">
        <v>17</v>
      </c>
      <c r="N213">
        <v>14</v>
      </c>
      <c r="O213" s="23">
        <f t="shared" si="14"/>
        <v>15</v>
      </c>
      <c r="P213" s="23">
        <f t="shared" si="15"/>
        <v>5.7</v>
      </c>
      <c r="Q213">
        <f t="shared" si="13"/>
        <v>1</v>
      </c>
      <c r="R213">
        <v>31</v>
      </c>
      <c r="S213">
        <v>12</v>
      </c>
    </row>
    <row r="214" spans="1:19" x14ac:dyDescent="0.25">
      <c r="A214" s="14">
        <v>10</v>
      </c>
      <c r="B214" s="24">
        <v>46051</v>
      </c>
      <c r="C214">
        <v>8</v>
      </c>
      <c r="D214">
        <v>17</v>
      </c>
      <c r="E214">
        <v>9</v>
      </c>
      <c r="F214">
        <v>12</v>
      </c>
      <c r="G214">
        <v>7</v>
      </c>
      <c r="H214">
        <v>7</v>
      </c>
      <c r="I214">
        <v>13</v>
      </c>
      <c r="J214">
        <v>11</v>
      </c>
      <c r="K214">
        <v>17</v>
      </c>
      <c r="L214">
        <v>15</v>
      </c>
      <c r="M214">
        <v>19</v>
      </c>
      <c r="N214">
        <v>13</v>
      </c>
      <c r="O214" s="23">
        <f t="shared" si="14"/>
        <v>14</v>
      </c>
      <c r="P214" s="23">
        <f t="shared" si="15"/>
        <v>5.25</v>
      </c>
      <c r="Q214">
        <f t="shared" si="13"/>
        <v>4</v>
      </c>
      <c r="R214">
        <v>26</v>
      </c>
      <c r="S214">
        <v>19</v>
      </c>
    </row>
    <row r="215" spans="1:19" x14ac:dyDescent="0.25">
      <c r="A215" s="14">
        <v>19</v>
      </c>
      <c r="B215" s="24">
        <v>46052</v>
      </c>
      <c r="C215">
        <v>45</v>
      </c>
      <c r="D215">
        <v>21</v>
      </c>
      <c r="E215">
        <v>22</v>
      </c>
      <c r="F215">
        <v>21</v>
      </c>
      <c r="G215">
        <v>3</v>
      </c>
      <c r="H215">
        <v>8</v>
      </c>
      <c r="I215">
        <v>27</v>
      </c>
      <c r="J215">
        <v>16</v>
      </c>
      <c r="K215">
        <v>29</v>
      </c>
      <c r="L215">
        <v>27</v>
      </c>
      <c r="M215">
        <v>15</v>
      </c>
      <c r="N215">
        <v>18</v>
      </c>
      <c r="O215" s="23">
        <f t="shared" si="14"/>
        <v>22</v>
      </c>
      <c r="P215" s="23">
        <f t="shared" si="15"/>
        <v>9.6300000000000008</v>
      </c>
      <c r="Q215">
        <f t="shared" si="13"/>
        <v>3</v>
      </c>
      <c r="R215">
        <v>25</v>
      </c>
      <c r="S215">
        <v>24</v>
      </c>
    </row>
    <row r="216" spans="1:19" x14ac:dyDescent="0.25">
      <c r="A216" s="14">
        <v>28</v>
      </c>
      <c r="B216" s="24">
        <v>46053</v>
      </c>
      <c r="C216">
        <v>25</v>
      </c>
      <c r="D216">
        <v>22</v>
      </c>
      <c r="E216">
        <v>17</v>
      </c>
      <c r="F216">
        <v>15</v>
      </c>
      <c r="G216">
        <v>3</v>
      </c>
      <c r="H216">
        <v>12</v>
      </c>
      <c r="I216">
        <v>17</v>
      </c>
      <c r="J216">
        <v>15</v>
      </c>
      <c r="K216">
        <v>20</v>
      </c>
      <c r="L216">
        <v>22</v>
      </c>
      <c r="M216">
        <v>19</v>
      </c>
      <c r="N216">
        <v>21</v>
      </c>
      <c r="O216" s="23">
        <f t="shared" si="14"/>
        <v>18</v>
      </c>
      <c r="P216" s="23">
        <f t="shared" si="15"/>
        <v>5.73</v>
      </c>
      <c r="Q216">
        <f t="shared" si="13"/>
        <v>-10</v>
      </c>
      <c r="R216">
        <v>27</v>
      </c>
      <c r="S216">
        <v>20</v>
      </c>
    </row>
    <row r="217" spans="1:19" x14ac:dyDescent="0.25">
      <c r="A217" s="14">
        <v>11</v>
      </c>
      <c r="B217" s="24">
        <v>46054</v>
      </c>
      <c r="C217">
        <v>13</v>
      </c>
      <c r="D217">
        <v>28</v>
      </c>
      <c r="E217">
        <v>16</v>
      </c>
      <c r="F217">
        <v>28</v>
      </c>
      <c r="G217">
        <v>17</v>
      </c>
      <c r="H217">
        <v>31</v>
      </c>
      <c r="I217">
        <v>23</v>
      </c>
      <c r="J217">
        <v>32</v>
      </c>
      <c r="K217">
        <v>27</v>
      </c>
      <c r="L217">
        <v>29</v>
      </c>
      <c r="M217">
        <v>27</v>
      </c>
      <c r="N217">
        <v>30</v>
      </c>
      <c r="O217" s="23">
        <f t="shared" si="14"/>
        <v>27</v>
      </c>
      <c r="P217" s="23">
        <f t="shared" si="15"/>
        <v>9.32</v>
      </c>
      <c r="Q217">
        <f t="shared" si="13"/>
        <v>16</v>
      </c>
      <c r="R217">
        <v>54</v>
      </c>
      <c r="S217">
        <v>28</v>
      </c>
    </row>
    <row r="218" spans="1:19" x14ac:dyDescent="0.25">
      <c r="A218" s="14">
        <v>4</v>
      </c>
      <c r="B218" s="24">
        <v>46055</v>
      </c>
      <c r="C218">
        <v>9</v>
      </c>
      <c r="D218">
        <v>8</v>
      </c>
      <c r="E218">
        <v>7</v>
      </c>
      <c r="F218">
        <v>12</v>
      </c>
      <c r="G218">
        <v>7</v>
      </c>
      <c r="H218">
        <v>19</v>
      </c>
      <c r="I218">
        <v>9</v>
      </c>
      <c r="J218">
        <v>10</v>
      </c>
      <c r="K218">
        <v>5</v>
      </c>
      <c r="L218">
        <v>6</v>
      </c>
      <c r="M218">
        <v>8</v>
      </c>
      <c r="N218">
        <v>8</v>
      </c>
      <c r="O218" s="23">
        <f t="shared" si="14"/>
        <v>11</v>
      </c>
      <c r="P218" s="23">
        <f t="shared" si="15"/>
        <v>6.52</v>
      </c>
      <c r="Q218">
        <f t="shared" si="13"/>
        <v>7</v>
      </c>
      <c r="R218">
        <v>31</v>
      </c>
      <c r="S218">
        <v>9</v>
      </c>
    </row>
    <row r="219" spans="1:19" x14ac:dyDescent="0.25">
      <c r="A219" s="14">
        <v>11</v>
      </c>
      <c r="B219" s="24">
        <v>46056</v>
      </c>
      <c r="C219">
        <v>6</v>
      </c>
      <c r="D219">
        <v>7</v>
      </c>
      <c r="E219">
        <v>11</v>
      </c>
      <c r="F219">
        <v>22</v>
      </c>
      <c r="G219">
        <v>15</v>
      </c>
      <c r="H219">
        <v>24</v>
      </c>
      <c r="I219">
        <v>15</v>
      </c>
      <c r="J219">
        <v>14</v>
      </c>
      <c r="K219">
        <v>8</v>
      </c>
      <c r="L219">
        <v>8</v>
      </c>
      <c r="M219">
        <v>8</v>
      </c>
      <c r="N219">
        <v>9</v>
      </c>
      <c r="O219" s="23">
        <f t="shared" si="14"/>
        <v>14</v>
      </c>
      <c r="P219" s="23">
        <f t="shared" si="15"/>
        <v>9.17</v>
      </c>
      <c r="Q219">
        <f t="shared" si="13"/>
        <v>3</v>
      </c>
      <c r="R219">
        <v>40</v>
      </c>
      <c r="S219">
        <v>5</v>
      </c>
    </row>
    <row r="220" spans="1:19" x14ac:dyDescent="0.25">
      <c r="A220" s="14">
        <v>18</v>
      </c>
      <c r="B220" s="24">
        <v>46057</v>
      </c>
      <c r="C220">
        <v>14</v>
      </c>
      <c r="D220">
        <v>11</v>
      </c>
      <c r="E220">
        <v>9</v>
      </c>
      <c r="F220">
        <v>16</v>
      </c>
      <c r="G220">
        <v>2</v>
      </c>
      <c r="H220">
        <v>8</v>
      </c>
      <c r="I220">
        <v>15</v>
      </c>
      <c r="J220">
        <v>11</v>
      </c>
      <c r="K220">
        <v>14</v>
      </c>
      <c r="L220">
        <v>15</v>
      </c>
      <c r="M220">
        <v>17</v>
      </c>
      <c r="N220">
        <v>12</v>
      </c>
      <c r="O220" s="23">
        <f t="shared" si="14"/>
        <v>13</v>
      </c>
      <c r="P220" s="23">
        <f t="shared" si="15"/>
        <v>5.55</v>
      </c>
      <c r="Q220">
        <f t="shared" si="13"/>
        <v>-5</v>
      </c>
      <c r="R220">
        <v>28</v>
      </c>
      <c r="S220">
        <v>12</v>
      </c>
    </row>
    <row r="221" spans="1:19" x14ac:dyDescent="0.25">
      <c r="A221" s="14">
        <v>8</v>
      </c>
      <c r="B221" s="24">
        <v>46058</v>
      </c>
      <c r="C221">
        <v>22</v>
      </c>
      <c r="D221">
        <v>15</v>
      </c>
      <c r="E221">
        <v>16</v>
      </c>
      <c r="F221">
        <v>15</v>
      </c>
      <c r="G221">
        <v>5</v>
      </c>
      <c r="H221">
        <v>15</v>
      </c>
      <c r="I221">
        <v>18</v>
      </c>
      <c r="J221">
        <v>13</v>
      </c>
      <c r="K221">
        <v>16</v>
      </c>
      <c r="L221">
        <v>17</v>
      </c>
      <c r="M221">
        <v>21</v>
      </c>
      <c r="N221">
        <v>15</v>
      </c>
      <c r="O221" s="23">
        <f t="shared" si="14"/>
        <v>17</v>
      </c>
      <c r="P221" s="23">
        <f t="shared" si="15"/>
        <v>5.45</v>
      </c>
      <c r="Q221">
        <f t="shared" si="13"/>
        <v>9</v>
      </c>
      <c r="R221">
        <v>31</v>
      </c>
      <c r="S221">
        <v>17</v>
      </c>
    </row>
    <row r="222" spans="1:19" x14ac:dyDescent="0.25">
      <c r="A222" s="14">
        <v>17</v>
      </c>
      <c r="B222" s="24">
        <v>46059</v>
      </c>
      <c r="C222">
        <v>27</v>
      </c>
      <c r="D222">
        <v>15</v>
      </c>
      <c r="E222">
        <v>18</v>
      </c>
      <c r="F222">
        <v>11</v>
      </c>
      <c r="G222">
        <v>8</v>
      </c>
      <c r="H222">
        <v>9</v>
      </c>
      <c r="I222">
        <v>22</v>
      </c>
      <c r="J222">
        <v>14</v>
      </c>
      <c r="K222">
        <v>19</v>
      </c>
      <c r="L222">
        <v>19</v>
      </c>
      <c r="M222">
        <v>24</v>
      </c>
      <c r="N222">
        <v>22</v>
      </c>
      <c r="O222" s="23">
        <f t="shared" si="14"/>
        <v>19</v>
      </c>
      <c r="P222" s="23">
        <f t="shared" si="15"/>
        <v>6.69</v>
      </c>
      <c r="Q222">
        <f t="shared" si="13"/>
        <v>2</v>
      </c>
      <c r="R222">
        <v>33</v>
      </c>
      <c r="S222">
        <v>19</v>
      </c>
    </row>
    <row r="223" spans="1:19" x14ac:dyDescent="0.25">
      <c r="A223" s="14">
        <v>39</v>
      </c>
      <c r="B223" s="24">
        <v>46060</v>
      </c>
      <c r="C223">
        <v>20</v>
      </c>
      <c r="D223">
        <v>16</v>
      </c>
      <c r="E223">
        <v>14</v>
      </c>
      <c r="F223">
        <v>13</v>
      </c>
      <c r="G223">
        <v>8</v>
      </c>
      <c r="H223">
        <v>10</v>
      </c>
      <c r="I223">
        <v>17</v>
      </c>
      <c r="J223">
        <v>12</v>
      </c>
      <c r="K223">
        <v>15</v>
      </c>
      <c r="L223">
        <v>16</v>
      </c>
      <c r="M223">
        <v>17</v>
      </c>
      <c r="N223">
        <v>17</v>
      </c>
      <c r="O223" s="23">
        <f t="shared" si="14"/>
        <v>15</v>
      </c>
      <c r="P223" s="23">
        <f t="shared" si="15"/>
        <v>3.85</v>
      </c>
      <c r="Q223">
        <f t="shared" si="13"/>
        <v>-24</v>
      </c>
      <c r="R223">
        <v>24</v>
      </c>
      <c r="S223">
        <v>16</v>
      </c>
    </row>
    <row r="224" spans="1:19" x14ac:dyDescent="0.25">
      <c r="A224" s="14">
        <v>16</v>
      </c>
      <c r="B224" s="24">
        <v>46061</v>
      </c>
      <c r="C224">
        <v>-8</v>
      </c>
      <c r="D224">
        <v>4</v>
      </c>
      <c r="E224">
        <v>6</v>
      </c>
      <c r="F224">
        <v>17</v>
      </c>
      <c r="G224">
        <v>13</v>
      </c>
      <c r="H224">
        <v>34</v>
      </c>
      <c r="I224">
        <v>14</v>
      </c>
      <c r="J224">
        <v>17</v>
      </c>
      <c r="K224">
        <v>4</v>
      </c>
      <c r="L224">
        <v>3</v>
      </c>
      <c r="M224">
        <v>0</v>
      </c>
      <c r="N224">
        <v>4</v>
      </c>
      <c r="O224" s="23">
        <f t="shared" si="14"/>
        <v>13</v>
      </c>
      <c r="P224" s="23">
        <f t="shared" si="15"/>
        <v>13.45</v>
      </c>
      <c r="Q224">
        <f t="shared" si="13"/>
        <v>-3</v>
      </c>
      <c r="R224">
        <v>44</v>
      </c>
      <c r="S224">
        <v>23</v>
      </c>
    </row>
    <row r="225" spans="1:19" x14ac:dyDescent="0.25">
      <c r="A225" s="14">
        <v>2</v>
      </c>
      <c r="B225" s="24">
        <v>46062</v>
      </c>
      <c r="C225">
        <v>22</v>
      </c>
      <c r="D225">
        <v>20</v>
      </c>
      <c r="E225">
        <v>21</v>
      </c>
      <c r="F225">
        <v>22</v>
      </c>
      <c r="G225">
        <v>20</v>
      </c>
      <c r="H225">
        <v>22</v>
      </c>
      <c r="I225">
        <v>19</v>
      </c>
      <c r="J225">
        <v>26</v>
      </c>
      <c r="K225">
        <v>25</v>
      </c>
      <c r="L225">
        <v>31</v>
      </c>
      <c r="M225">
        <v>28</v>
      </c>
      <c r="N225">
        <v>28</v>
      </c>
      <c r="O225" s="23">
        <f t="shared" si="14"/>
        <v>26</v>
      </c>
      <c r="P225" s="23">
        <f t="shared" si="15"/>
        <v>8.1</v>
      </c>
      <c r="Q225">
        <f t="shared" si="13"/>
        <v>24</v>
      </c>
      <c r="R225">
        <v>52</v>
      </c>
      <c r="S225">
        <v>22</v>
      </c>
    </row>
    <row r="226" spans="1:19" x14ac:dyDescent="0.25">
      <c r="A226" s="14">
        <v>19</v>
      </c>
      <c r="B226" s="24">
        <v>46063</v>
      </c>
      <c r="C226">
        <v>1</v>
      </c>
      <c r="D226">
        <v>7</v>
      </c>
      <c r="E226">
        <v>4</v>
      </c>
      <c r="F226">
        <v>12</v>
      </c>
      <c r="G226">
        <v>3</v>
      </c>
      <c r="H226">
        <v>13</v>
      </c>
      <c r="I226">
        <v>12</v>
      </c>
      <c r="J226">
        <v>9</v>
      </c>
      <c r="K226">
        <v>8</v>
      </c>
      <c r="L226">
        <v>6</v>
      </c>
      <c r="M226">
        <v>6</v>
      </c>
      <c r="N226">
        <v>7</v>
      </c>
      <c r="O226" s="23">
        <f t="shared" si="14"/>
        <v>8</v>
      </c>
      <c r="P226" s="23">
        <f t="shared" si="15"/>
        <v>6.87</v>
      </c>
      <c r="Q226">
        <f t="shared" si="13"/>
        <v>-11</v>
      </c>
      <c r="R226">
        <v>29</v>
      </c>
      <c r="S226">
        <v>0</v>
      </c>
    </row>
    <row r="227" spans="1:19" x14ac:dyDescent="0.25">
      <c r="A227" s="14">
        <v>5</v>
      </c>
      <c r="B227" s="24">
        <v>46064</v>
      </c>
      <c r="C227">
        <v>10</v>
      </c>
      <c r="D227">
        <v>7</v>
      </c>
      <c r="E227">
        <v>9</v>
      </c>
      <c r="F227">
        <v>13</v>
      </c>
      <c r="G227">
        <v>8</v>
      </c>
      <c r="H227">
        <v>17</v>
      </c>
      <c r="I227">
        <v>13</v>
      </c>
      <c r="J227">
        <v>9</v>
      </c>
      <c r="K227">
        <v>6</v>
      </c>
      <c r="L227">
        <v>4</v>
      </c>
      <c r="M227">
        <v>3</v>
      </c>
      <c r="N227">
        <v>7</v>
      </c>
      <c r="O227" s="23">
        <f t="shared" si="14"/>
        <v>10</v>
      </c>
      <c r="P227" s="23">
        <f t="shared" si="15"/>
        <v>6.5</v>
      </c>
      <c r="Q227">
        <f t="shared" si="13"/>
        <v>5</v>
      </c>
      <c r="R227">
        <v>30</v>
      </c>
      <c r="S227">
        <v>9</v>
      </c>
    </row>
    <row r="228" spans="1:19" x14ac:dyDescent="0.25">
      <c r="A228" s="14">
        <v>2</v>
      </c>
      <c r="B228" s="24">
        <v>46065</v>
      </c>
      <c r="C228">
        <v>17</v>
      </c>
      <c r="D228">
        <v>8</v>
      </c>
      <c r="E228">
        <v>10</v>
      </c>
      <c r="F228">
        <v>11</v>
      </c>
      <c r="G228">
        <v>7</v>
      </c>
      <c r="H228">
        <v>12</v>
      </c>
      <c r="I228">
        <v>12</v>
      </c>
      <c r="J228">
        <v>7</v>
      </c>
      <c r="K228">
        <v>6</v>
      </c>
      <c r="L228">
        <v>6</v>
      </c>
      <c r="M228">
        <v>11</v>
      </c>
      <c r="N228">
        <v>10</v>
      </c>
      <c r="O228" s="23">
        <f t="shared" si="14"/>
        <v>11</v>
      </c>
      <c r="P228" s="23">
        <f t="shared" si="15"/>
        <v>5.0999999999999996</v>
      </c>
      <c r="Q228">
        <f t="shared" si="13"/>
        <v>9</v>
      </c>
      <c r="R228">
        <v>26</v>
      </c>
      <c r="S228">
        <v>8</v>
      </c>
    </row>
    <row r="229" spans="1:19" x14ac:dyDescent="0.25">
      <c r="A229" s="14">
        <v>31</v>
      </c>
      <c r="B229" s="24">
        <v>46066</v>
      </c>
      <c r="C229">
        <v>20</v>
      </c>
      <c r="D229">
        <v>12</v>
      </c>
      <c r="E229">
        <v>12</v>
      </c>
      <c r="F229">
        <v>9</v>
      </c>
      <c r="G229">
        <v>6</v>
      </c>
      <c r="H229">
        <v>10</v>
      </c>
      <c r="I229">
        <v>15</v>
      </c>
      <c r="J229">
        <v>10</v>
      </c>
      <c r="K229">
        <v>9</v>
      </c>
      <c r="L229">
        <v>11</v>
      </c>
      <c r="M229">
        <v>19</v>
      </c>
      <c r="N229">
        <v>13</v>
      </c>
      <c r="O229" s="23">
        <f t="shared" si="14"/>
        <v>13</v>
      </c>
      <c r="P229" s="23">
        <f t="shared" si="15"/>
        <v>4.46</v>
      </c>
      <c r="Q229">
        <f t="shared" si="13"/>
        <v>-18</v>
      </c>
      <c r="R229">
        <v>22</v>
      </c>
      <c r="S229">
        <v>11</v>
      </c>
    </row>
    <row r="230" spans="1:19" x14ac:dyDescent="0.25">
      <c r="A230" s="14">
        <v>78</v>
      </c>
      <c r="B230" s="24">
        <v>46067</v>
      </c>
      <c r="C230">
        <v>21</v>
      </c>
      <c r="D230">
        <v>34</v>
      </c>
      <c r="E230">
        <v>13</v>
      </c>
      <c r="F230">
        <v>14</v>
      </c>
      <c r="G230">
        <v>7</v>
      </c>
      <c r="H230">
        <v>12</v>
      </c>
      <c r="I230">
        <v>21</v>
      </c>
      <c r="J230">
        <v>16</v>
      </c>
      <c r="K230">
        <v>26</v>
      </c>
      <c r="L230">
        <v>24</v>
      </c>
      <c r="M230">
        <v>19</v>
      </c>
      <c r="N230">
        <v>30</v>
      </c>
      <c r="O230" s="23">
        <f t="shared" si="14"/>
        <v>20</v>
      </c>
      <c r="P230" s="23">
        <f t="shared" si="15"/>
        <v>7.31</v>
      </c>
      <c r="Q230">
        <f t="shared" si="13"/>
        <v>-58</v>
      </c>
      <c r="R230">
        <v>28</v>
      </c>
      <c r="S230">
        <v>21</v>
      </c>
    </row>
    <row r="231" spans="1:19" x14ac:dyDescent="0.25">
      <c r="A231" s="14">
        <v>43</v>
      </c>
      <c r="B231" s="24">
        <v>46068</v>
      </c>
      <c r="C231">
        <v>19</v>
      </c>
      <c r="D231">
        <v>26</v>
      </c>
      <c r="E231">
        <v>18</v>
      </c>
      <c r="F231">
        <v>30</v>
      </c>
      <c r="G231">
        <v>16</v>
      </c>
      <c r="H231">
        <v>32</v>
      </c>
      <c r="I231">
        <v>24</v>
      </c>
      <c r="J231">
        <v>33</v>
      </c>
      <c r="K231">
        <v>27</v>
      </c>
      <c r="L231">
        <v>28</v>
      </c>
      <c r="M231">
        <v>27</v>
      </c>
      <c r="N231">
        <v>30</v>
      </c>
      <c r="O231" s="23">
        <f t="shared" si="14"/>
        <v>28</v>
      </c>
      <c r="P231" s="23">
        <f t="shared" si="15"/>
        <v>9.18</v>
      </c>
      <c r="Q231">
        <f t="shared" si="13"/>
        <v>-15</v>
      </c>
      <c r="R231">
        <v>56</v>
      </c>
      <c r="S231">
        <v>28</v>
      </c>
    </row>
    <row r="232" spans="1:19" x14ac:dyDescent="0.25">
      <c r="A232" s="14">
        <v>20</v>
      </c>
      <c r="B232" s="24">
        <v>46069</v>
      </c>
      <c r="C232">
        <v>12</v>
      </c>
      <c r="D232">
        <v>6</v>
      </c>
      <c r="E232">
        <v>10</v>
      </c>
      <c r="F232">
        <v>20</v>
      </c>
      <c r="G232">
        <v>13</v>
      </c>
      <c r="H232">
        <v>31</v>
      </c>
      <c r="I232">
        <v>22</v>
      </c>
      <c r="J232">
        <v>19</v>
      </c>
      <c r="K232">
        <v>6</v>
      </c>
      <c r="L232">
        <v>2</v>
      </c>
      <c r="M232">
        <v>2</v>
      </c>
      <c r="N232">
        <v>4</v>
      </c>
      <c r="O232" s="23">
        <f t="shared" si="14"/>
        <v>15</v>
      </c>
      <c r="P232" s="23">
        <f t="shared" si="15"/>
        <v>10.78</v>
      </c>
      <c r="Q232">
        <f t="shared" si="13"/>
        <v>-5</v>
      </c>
      <c r="R232">
        <v>40</v>
      </c>
      <c r="S232">
        <v>16</v>
      </c>
    </row>
    <row r="233" spans="1:19" x14ac:dyDescent="0.25">
      <c r="A233" s="14">
        <v>12</v>
      </c>
      <c r="B233" s="24">
        <v>46070</v>
      </c>
      <c r="C233">
        <v>14</v>
      </c>
      <c r="D233">
        <v>10</v>
      </c>
      <c r="E233">
        <v>13</v>
      </c>
      <c r="F233">
        <v>23</v>
      </c>
      <c r="G233">
        <v>16</v>
      </c>
      <c r="H233">
        <v>23</v>
      </c>
      <c r="I233">
        <v>17</v>
      </c>
      <c r="J233">
        <v>16</v>
      </c>
      <c r="K233">
        <v>9</v>
      </c>
      <c r="L233">
        <v>13</v>
      </c>
      <c r="M233">
        <v>13</v>
      </c>
      <c r="N233">
        <v>12</v>
      </c>
      <c r="O233" s="23">
        <f t="shared" si="14"/>
        <v>16</v>
      </c>
      <c r="P233" s="23">
        <f t="shared" si="15"/>
        <v>7.84</v>
      </c>
      <c r="Q233">
        <f t="shared" si="13"/>
        <v>4</v>
      </c>
      <c r="R233">
        <v>39</v>
      </c>
      <c r="S233">
        <v>6</v>
      </c>
    </row>
    <row r="234" spans="1:19" x14ac:dyDescent="0.25">
      <c r="A234" s="14">
        <v>3</v>
      </c>
      <c r="B234" s="24">
        <v>46071</v>
      </c>
      <c r="C234">
        <v>21</v>
      </c>
      <c r="D234">
        <v>18</v>
      </c>
      <c r="E234">
        <v>23</v>
      </c>
      <c r="F234">
        <v>14</v>
      </c>
      <c r="G234">
        <v>26</v>
      </c>
      <c r="H234">
        <v>19</v>
      </c>
      <c r="I234">
        <v>21</v>
      </c>
      <c r="J234">
        <v>15</v>
      </c>
      <c r="K234">
        <v>13</v>
      </c>
      <c r="L234">
        <v>17</v>
      </c>
      <c r="M234">
        <v>20</v>
      </c>
      <c r="N234">
        <v>18</v>
      </c>
      <c r="O234" s="23">
        <f t="shared" si="14"/>
        <v>18</v>
      </c>
      <c r="P234" s="23">
        <f t="shared" si="15"/>
        <v>3.5</v>
      </c>
      <c r="Q234">
        <f t="shared" si="13"/>
        <v>15</v>
      </c>
      <c r="R234">
        <v>15</v>
      </c>
      <c r="S234">
        <v>17</v>
      </c>
    </row>
    <row r="235" spans="1:19" x14ac:dyDescent="0.25">
      <c r="A235" s="14">
        <v>10</v>
      </c>
      <c r="B235" s="24">
        <v>46072</v>
      </c>
      <c r="C235">
        <v>12</v>
      </c>
      <c r="D235">
        <v>16</v>
      </c>
      <c r="E235">
        <v>19</v>
      </c>
      <c r="F235">
        <v>17</v>
      </c>
      <c r="G235">
        <v>22</v>
      </c>
      <c r="H235">
        <v>17</v>
      </c>
      <c r="I235">
        <v>17</v>
      </c>
      <c r="J235">
        <v>16</v>
      </c>
      <c r="K235">
        <v>14</v>
      </c>
      <c r="L235">
        <v>19</v>
      </c>
      <c r="M235">
        <v>15</v>
      </c>
      <c r="N235">
        <v>17</v>
      </c>
      <c r="O235" s="23">
        <f t="shared" si="14"/>
        <v>17</v>
      </c>
      <c r="P235" s="23">
        <f t="shared" si="15"/>
        <v>2.4300000000000002</v>
      </c>
      <c r="Q235">
        <f t="shared" si="13"/>
        <v>7</v>
      </c>
      <c r="R235">
        <v>20</v>
      </c>
      <c r="S235">
        <v>16</v>
      </c>
    </row>
    <row r="236" spans="1:19" x14ac:dyDescent="0.25">
      <c r="A236" s="14">
        <v>18</v>
      </c>
      <c r="B236" s="24">
        <v>46073</v>
      </c>
      <c r="C236">
        <v>10</v>
      </c>
      <c r="D236">
        <v>26</v>
      </c>
      <c r="E236">
        <v>20</v>
      </c>
      <c r="F236">
        <v>21</v>
      </c>
      <c r="G236">
        <v>15</v>
      </c>
      <c r="H236">
        <v>23</v>
      </c>
      <c r="I236">
        <v>12</v>
      </c>
      <c r="J236">
        <v>22</v>
      </c>
      <c r="K236">
        <v>12</v>
      </c>
      <c r="L236">
        <v>22</v>
      </c>
      <c r="M236">
        <v>14</v>
      </c>
      <c r="N236">
        <v>22</v>
      </c>
      <c r="O236" s="23">
        <f t="shared" si="14"/>
        <v>19</v>
      </c>
      <c r="P236" s="23">
        <f t="shared" si="15"/>
        <v>4.95</v>
      </c>
      <c r="Q236">
        <f t="shared" si="13"/>
        <v>1</v>
      </c>
      <c r="R236">
        <v>20</v>
      </c>
      <c r="S236">
        <v>24</v>
      </c>
    </row>
    <row r="237" spans="1:19" x14ac:dyDescent="0.25">
      <c r="A237" s="14">
        <v>19</v>
      </c>
      <c r="B237" s="24">
        <v>46074</v>
      </c>
      <c r="C237">
        <v>44</v>
      </c>
      <c r="D237">
        <v>26</v>
      </c>
      <c r="E237">
        <v>27</v>
      </c>
      <c r="F237">
        <v>19</v>
      </c>
      <c r="G237">
        <v>15</v>
      </c>
      <c r="H237">
        <v>17</v>
      </c>
      <c r="I237">
        <v>21</v>
      </c>
      <c r="J237">
        <v>24</v>
      </c>
      <c r="K237">
        <v>15</v>
      </c>
      <c r="L237">
        <v>24</v>
      </c>
      <c r="M237">
        <v>47</v>
      </c>
      <c r="N237">
        <v>25</v>
      </c>
      <c r="O237" s="23">
        <f t="shared" si="14"/>
        <v>25</v>
      </c>
      <c r="P237" s="23">
        <f t="shared" si="15"/>
        <v>9.1999999999999993</v>
      </c>
      <c r="Q237">
        <f t="shared" si="13"/>
        <v>6</v>
      </c>
      <c r="R237">
        <v>22</v>
      </c>
      <c r="S237">
        <v>22</v>
      </c>
    </row>
    <row r="238" spans="1:19" x14ac:dyDescent="0.25">
      <c r="A238" s="14">
        <v>29</v>
      </c>
      <c r="B238" s="24">
        <v>46075</v>
      </c>
      <c r="C238">
        <v>37</v>
      </c>
      <c r="D238">
        <v>23</v>
      </c>
      <c r="E238">
        <v>32</v>
      </c>
      <c r="F238">
        <v>29</v>
      </c>
      <c r="G238">
        <v>37</v>
      </c>
      <c r="H238">
        <v>43</v>
      </c>
      <c r="I238">
        <v>22</v>
      </c>
      <c r="J238">
        <v>24</v>
      </c>
      <c r="K238">
        <v>16</v>
      </c>
      <c r="L238">
        <v>23</v>
      </c>
      <c r="M238">
        <v>22</v>
      </c>
      <c r="N238">
        <v>23</v>
      </c>
      <c r="O238" s="23">
        <f t="shared" si="14"/>
        <v>27</v>
      </c>
      <c r="P238" s="23">
        <f t="shared" si="15"/>
        <v>7.55</v>
      </c>
      <c r="Q238">
        <f t="shared" si="13"/>
        <v>-2</v>
      </c>
      <c r="R238">
        <v>18</v>
      </c>
      <c r="S238">
        <v>29</v>
      </c>
    </row>
    <row r="239" spans="1:19" x14ac:dyDescent="0.25">
      <c r="A239" s="14">
        <v>12</v>
      </c>
      <c r="B239" s="24">
        <v>46076</v>
      </c>
      <c r="C239">
        <v>10</v>
      </c>
      <c r="D239">
        <v>14</v>
      </c>
      <c r="E239">
        <v>19</v>
      </c>
      <c r="F239">
        <v>19</v>
      </c>
      <c r="G239">
        <v>15</v>
      </c>
      <c r="H239">
        <v>32</v>
      </c>
      <c r="I239">
        <v>11</v>
      </c>
      <c r="J239">
        <v>20</v>
      </c>
      <c r="K239">
        <v>18</v>
      </c>
      <c r="L239">
        <v>19</v>
      </c>
      <c r="M239">
        <v>12</v>
      </c>
      <c r="N239">
        <v>14</v>
      </c>
      <c r="O239" s="23">
        <f t="shared" si="14"/>
        <v>17</v>
      </c>
      <c r="P239" s="23">
        <f t="shared" si="15"/>
        <v>5.23</v>
      </c>
      <c r="Q239">
        <f t="shared" si="13"/>
        <v>5</v>
      </c>
      <c r="R239">
        <v>19</v>
      </c>
      <c r="S239">
        <v>17</v>
      </c>
    </row>
    <row r="240" spans="1:19" x14ac:dyDescent="0.25">
      <c r="A240" s="14">
        <v>8</v>
      </c>
      <c r="B240" s="24">
        <v>46077</v>
      </c>
      <c r="C240">
        <v>14</v>
      </c>
      <c r="D240">
        <v>14</v>
      </c>
      <c r="E240">
        <v>23</v>
      </c>
      <c r="F240">
        <v>12</v>
      </c>
      <c r="G240">
        <v>24</v>
      </c>
      <c r="H240">
        <v>19</v>
      </c>
      <c r="I240">
        <v>21</v>
      </c>
      <c r="J240">
        <v>13</v>
      </c>
      <c r="K240">
        <v>16</v>
      </c>
      <c r="L240">
        <v>13</v>
      </c>
      <c r="M240">
        <v>16</v>
      </c>
      <c r="N240">
        <v>12</v>
      </c>
      <c r="O240" s="23">
        <f t="shared" si="14"/>
        <v>16</v>
      </c>
      <c r="P240" s="23">
        <f t="shared" si="15"/>
        <v>3.97</v>
      </c>
      <c r="Q240">
        <f t="shared" si="13"/>
        <v>8</v>
      </c>
      <c r="R240">
        <v>16</v>
      </c>
      <c r="S240">
        <v>12</v>
      </c>
    </row>
    <row r="241" spans="1:19" x14ac:dyDescent="0.25">
      <c r="A241" s="14">
        <v>16</v>
      </c>
      <c r="B241" s="24">
        <v>46078</v>
      </c>
      <c r="C241">
        <v>16</v>
      </c>
      <c r="D241">
        <v>18</v>
      </c>
      <c r="E241">
        <v>14</v>
      </c>
      <c r="F241">
        <v>12</v>
      </c>
      <c r="G241">
        <v>15</v>
      </c>
      <c r="H241">
        <v>14</v>
      </c>
      <c r="I241">
        <v>11</v>
      </c>
      <c r="J241">
        <v>13</v>
      </c>
      <c r="K241">
        <v>11</v>
      </c>
      <c r="L241">
        <v>14</v>
      </c>
      <c r="M241">
        <v>18</v>
      </c>
      <c r="N241">
        <v>14</v>
      </c>
      <c r="O241" s="23">
        <f t="shared" si="14"/>
        <v>14</v>
      </c>
      <c r="P241" s="23">
        <f t="shared" si="15"/>
        <v>2.15</v>
      </c>
      <c r="Q241">
        <f t="shared" si="13"/>
        <v>-2</v>
      </c>
      <c r="R241">
        <v>12</v>
      </c>
      <c r="S241">
        <v>13</v>
      </c>
    </row>
    <row r="242" spans="1:19" x14ac:dyDescent="0.25">
      <c r="A242" s="14">
        <v>15</v>
      </c>
      <c r="B242" s="24">
        <v>46079</v>
      </c>
      <c r="C242">
        <v>25</v>
      </c>
      <c r="D242">
        <v>17</v>
      </c>
      <c r="E242">
        <v>20</v>
      </c>
      <c r="F242">
        <v>14</v>
      </c>
      <c r="G242">
        <v>16</v>
      </c>
      <c r="H242">
        <v>18</v>
      </c>
      <c r="I242">
        <v>20</v>
      </c>
      <c r="J242">
        <v>17</v>
      </c>
      <c r="K242">
        <v>12</v>
      </c>
      <c r="L242">
        <v>19</v>
      </c>
      <c r="M242">
        <v>25</v>
      </c>
      <c r="N242">
        <v>15</v>
      </c>
      <c r="O242" s="23">
        <f t="shared" si="14"/>
        <v>18</v>
      </c>
      <c r="P242" s="23">
        <f t="shared" si="15"/>
        <v>3.65</v>
      </c>
      <c r="Q242">
        <f t="shared" si="13"/>
        <v>3</v>
      </c>
      <c r="R242">
        <v>15</v>
      </c>
      <c r="S242">
        <v>16</v>
      </c>
    </row>
    <row r="243" spans="1:19" x14ac:dyDescent="0.25">
      <c r="A243" s="14">
        <v>28</v>
      </c>
      <c r="B243" s="24">
        <v>46080</v>
      </c>
      <c r="C243">
        <v>17</v>
      </c>
      <c r="D243">
        <v>24</v>
      </c>
      <c r="E243">
        <v>25</v>
      </c>
      <c r="F243">
        <v>22</v>
      </c>
      <c r="G243">
        <v>15</v>
      </c>
      <c r="H243">
        <v>17</v>
      </c>
      <c r="I243">
        <v>17</v>
      </c>
      <c r="J243">
        <v>23</v>
      </c>
      <c r="K243">
        <v>15</v>
      </c>
      <c r="L243">
        <v>24</v>
      </c>
      <c r="M243">
        <v>22</v>
      </c>
      <c r="N243">
        <v>28</v>
      </c>
      <c r="O243" s="23">
        <f t="shared" si="14"/>
        <v>21</v>
      </c>
      <c r="P243" s="23">
        <f t="shared" si="15"/>
        <v>3.94</v>
      </c>
      <c r="Q243">
        <f t="shared" si="13"/>
        <v>-7</v>
      </c>
      <c r="R243">
        <v>23</v>
      </c>
      <c r="S243">
        <v>23</v>
      </c>
    </row>
    <row r="244" spans="1:19" x14ac:dyDescent="0.25">
      <c r="A244" s="14">
        <v>17</v>
      </c>
      <c r="B244" s="24">
        <v>46081</v>
      </c>
      <c r="C244">
        <v>17</v>
      </c>
      <c r="D244">
        <v>28</v>
      </c>
      <c r="E244">
        <v>23</v>
      </c>
      <c r="F244">
        <v>23</v>
      </c>
      <c r="G244">
        <v>19</v>
      </c>
      <c r="H244">
        <v>24</v>
      </c>
      <c r="I244">
        <v>38</v>
      </c>
      <c r="J244">
        <v>26</v>
      </c>
      <c r="K244">
        <v>15</v>
      </c>
      <c r="L244">
        <v>33</v>
      </c>
      <c r="M244">
        <v>18</v>
      </c>
      <c r="N244">
        <v>29</v>
      </c>
      <c r="O244" s="23">
        <f t="shared" si="14"/>
        <v>25</v>
      </c>
      <c r="P244" s="23">
        <f t="shared" si="15"/>
        <v>6.65</v>
      </c>
      <c r="Q244">
        <f t="shared" si="13"/>
        <v>8</v>
      </c>
      <c r="R244">
        <v>35</v>
      </c>
      <c r="S244">
        <v>27</v>
      </c>
    </row>
    <row r="245" spans="1:19" x14ac:dyDescent="0.25">
      <c r="A245" s="14">
        <v>70</v>
      </c>
      <c r="B245" s="24">
        <v>46082</v>
      </c>
      <c r="C245">
        <v>19</v>
      </c>
      <c r="D245">
        <v>28</v>
      </c>
      <c r="E245">
        <v>26</v>
      </c>
      <c r="F245">
        <v>32</v>
      </c>
      <c r="G245">
        <v>29</v>
      </c>
      <c r="H245">
        <v>45</v>
      </c>
      <c r="I245">
        <v>28</v>
      </c>
      <c r="J245">
        <v>29</v>
      </c>
      <c r="K245">
        <v>17</v>
      </c>
      <c r="L245">
        <v>26</v>
      </c>
      <c r="M245">
        <v>14</v>
      </c>
      <c r="N245">
        <v>25</v>
      </c>
      <c r="O245" s="23">
        <f t="shared" si="14"/>
        <v>27</v>
      </c>
      <c r="P245" s="23">
        <f t="shared" si="15"/>
        <v>7.06</v>
      </c>
      <c r="Q245">
        <f t="shared" si="13"/>
        <v>-43</v>
      </c>
      <c r="R245">
        <v>26</v>
      </c>
      <c r="S245">
        <v>28</v>
      </c>
    </row>
    <row r="246" spans="1:19" x14ac:dyDescent="0.25">
      <c r="A246" s="14">
        <v>21</v>
      </c>
      <c r="B246" s="24">
        <v>46083</v>
      </c>
      <c r="C246">
        <v>30</v>
      </c>
      <c r="D246">
        <v>24</v>
      </c>
      <c r="E246">
        <v>24</v>
      </c>
      <c r="F246">
        <v>25</v>
      </c>
      <c r="G246">
        <v>16</v>
      </c>
      <c r="H246">
        <v>37</v>
      </c>
      <c r="I246">
        <v>14</v>
      </c>
      <c r="J246">
        <v>31</v>
      </c>
      <c r="K246">
        <v>23</v>
      </c>
      <c r="L246">
        <v>28</v>
      </c>
      <c r="M246">
        <v>34</v>
      </c>
      <c r="N246">
        <v>26</v>
      </c>
      <c r="O246" s="23">
        <f t="shared" si="14"/>
        <v>26</v>
      </c>
      <c r="P246" s="23">
        <f t="shared" si="15"/>
        <v>6.03</v>
      </c>
      <c r="Q246">
        <f t="shared" si="13"/>
        <v>5</v>
      </c>
      <c r="R246">
        <v>30</v>
      </c>
      <c r="S246">
        <v>25</v>
      </c>
    </row>
    <row r="247" spans="1:19" x14ac:dyDescent="0.25">
      <c r="A247" s="14">
        <v>9</v>
      </c>
      <c r="B247" s="24">
        <v>46084</v>
      </c>
      <c r="C247">
        <v>15</v>
      </c>
      <c r="D247">
        <v>14</v>
      </c>
      <c r="E247">
        <v>19</v>
      </c>
      <c r="F247">
        <v>13</v>
      </c>
      <c r="G247">
        <v>15</v>
      </c>
      <c r="H247">
        <v>27</v>
      </c>
      <c r="I247">
        <v>11</v>
      </c>
      <c r="J247">
        <v>17</v>
      </c>
      <c r="K247">
        <v>13</v>
      </c>
      <c r="L247">
        <v>14</v>
      </c>
      <c r="M247">
        <v>12</v>
      </c>
      <c r="N247">
        <v>14</v>
      </c>
      <c r="O247" s="23">
        <f t="shared" si="14"/>
        <v>15</v>
      </c>
      <c r="P247" s="23">
        <f t="shared" si="15"/>
        <v>3.83</v>
      </c>
      <c r="Q247">
        <f t="shared" si="13"/>
        <v>6</v>
      </c>
      <c r="R247">
        <v>14</v>
      </c>
      <c r="S247">
        <v>13</v>
      </c>
    </row>
    <row r="248" spans="1:19" x14ac:dyDescent="0.25">
      <c r="A248" s="14">
        <v>18</v>
      </c>
      <c r="B248" s="24">
        <v>46085</v>
      </c>
      <c r="C248">
        <v>11</v>
      </c>
      <c r="D248">
        <v>15</v>
      </c>
      <c r="E248">
        <v>23</v>
      </c>
      <c r="F248">
        <v>13</v>
      </c>
      <c r="G248">
        <v>16</v>
      </c>
      <c r="H248">
        <v>13</v>
      </c>
      <c r="I248">
        <v>12</v>
      </c>
      <c r="J248">
        <v>13</v>
      </c>
      <c r="K248">
        <v>20</v>
      </c>
      <c r="L248">
        <v>14</v>
      </c>
      <c r="M248">
        <v>10</v>
      </c>
      <c r="N248">
        <v>15</v>
      </c>
      <c r="O248" s="23">
        <f t="shared" si="14"/>
        <v>15</v>
      </c>
      <c r="P248" s="23">
        <f t="shared" si="15"/>
        <v>3.71</v>
      </c>
      <c r="Q248">
        <f t="shared" si="13"/>
        <v>-3</v>
      </c>
      <c r="R248">
        <v>21</v>
      </c>
      <c r="S248">
        <v>13</v>
      </c>
    </row>
    <row r="249" spans="1:19" x14ac:dyDescent="0.25">
      <c r="A249" s="14">
        <v>7</v>
      </c>
      <c r="B249" s="24">
        <v>46086</v>
      </c>
      <c r="C249">
        <v>19</v>
      </c>
      <c r="D249">
        <v>17</v>
      </c>
      <c r="E249">
        <v>20</v>
      </c>
      <c r="F249">
        <v>14</v>
      </c>
      <c r="G249">
        <v>19</v>
      </c>
      <c r="H249">
        <v>21</v>
      </c>
      <c r="I249">
        <v>20</v>
      </c>
      <c r="J249">
        <v>16</v>
      </c>
      <c r="K249">
        <v>14</v>
      </c>
      <c r="L249">
        <v>18</v>
      </c>
      <c r="M249">
        <v>24</v>
      </c>
      <c r="N249">
        <v>16</v>
      </c>
      <c r="O249" s="23">
        <f t="shared" si="14"/>
        <v>18</v>
      </c>
      <c r="P249" s="23">
        <f t="shared" si="15"/>
        <v>2.82</v>
      </c>
      <c r="Q249">
        <f t="shared" si="13"/>
        <v>11</v>
      </c>
      <c r="R249">
        <v>22</v>
      </c>
      <c r="S249">
        <v>17</v>
      </c>
    </row>
    <row r="250" spans="1:19" x14ac:dyDescent="0.25">
      <c r="A250" s="14">
        <v>6</v>
      </c>
      <c r="B250" s="24">
        <v>46087</v>
      </c>
      <c r="C250">
        <v>10</v>
      </c>
      <c r="D250">
        <v>14</v>
      </c>
      <c r="E250">
        <v>16</v>
      </c>
      <c r="F250">
        <v>15</v>
      </c>
      <c r="G250">
        <v>15</v>
      </c>
      <c r="H250">
        <v>14</v>
      </c>
      <c r="I250">
        <v>12</v>
      </c>
      <c r="J250">
        <v>13</v>
      </c>
      <c r="K250">
        <v>20</v>
      </c>
      <c r="L250">
        <v>12</v>
      </c>
      <c r="M250">
        <v>11</v>
      </c>
      <c r="N250">
        <v>13</v>
      </c>
      <c r="O250" s="23">
        <f t="shared" si="14"/>
        <v>14</v>
      </c>
      <c r="P250" s="23">
        <f t="shared" si="15"/>
        <v>2.38</v>
      </c>
      <c r="Q250">
        <f t="shared" si="13"/>
        <v>8</v>
      </c>
      <c r="R250">
        <v>13</v>
      </c>
      <c r="S250">
        <v>12</v>
      </c>
    </row>
    <row r="251" spans="1:19" x14ac:dyDescent="0.25">
      <c r="A251" s="14">
        <v>13</v>
      </c>
      <c r="B251" s="24">
        <v>46088</v>
      </c>
      <c r="C251">
        <v>34</v>
      </c>
      <c r="D251">
        <v>19</v>
      </c>
      <c r="E251">
        <v>26</v>
      </c>
      <c r="F251">
        <v>20</v>
      </c>
      <c r="G251">
        <v>20</v>
      </c>
      <c r="H251">
        <v>22</v>
      </c>
      <c r="I251">
        <v>17</v>
      </c>
      <c r="J251">
        <v>23</v>
      </c>
      <c r="K251">
        <v>30</v>
      </c>
      <c r="L251">
        <v>26</v>
      </c>
      <c r="M251">
        <v>33</v>
      </c>
      <c r="N251">
        <v>28</v>
      </c>
      <c r="O251" s="23">
        <f t="shared" si="14"/>
        <v>25</v>
      </c>
      <c r="P251" s="23">
        <f t="shared" si="15"/>
        <v>5.36</v>
      </c>
      <c r="Q251">
        <f t="shared" si="13"/>
        <v>12</v>
      </c>
      <c r="R251">
        <v>32</v>
      </c>
      <c r="S251">
        <v>22</v>
      </c>
    </row>
    <row r="252" spans="1:19" x14ac:dyDescent="0.25">
      <c r="A252" s="14">
        <v>73</v>
      </c>
      <c r="B252" s="24">
        <v>46089</v>
      </c>
      <c r="D252">
        <v>23</v>
      </c>
      <c r="F252">
        <v>30</v>
      </c>
      <c r="H252">
        <v>46</v>
      </c>
      <c r="J252">
        <v>26</v>
      </c>
      <c r="L252">
        <v>19</v>
      </c>
      <c r="N252">
        <v>24</v>
      </c>
      <c r="O252" s="23">
        <f t="shared" ref="O252:O292" si="16">ROUND(AVERAGE(C252:N252,R252,S252),0)</f>
        <v>29</v>
      </c>
      <c r="P252" s="23">
        <f t="shared" ref="P252:P292" si="17">ROUND(_xlfn.STDEV.P(C252:N252,R252,S252),2)</f>
        <v>8.24</v>
      </c>
      <c r="Q252">
        <f t="shared" si="13"/>
        <v>-44</v>
      </c>
      <c r="S252">
        <v>33</v>
      </c>
    </row>
    <row r="253" spans="1:19" x14ac:dyDescent="0.25">
      <c r="A253" s="14">
        <v>12</v>
      </c>
      <c r="B253" s="24">
        <v>46090</v>
      </c>
      <c r="D253">
        <v>14</v>
      </c>
      <c r="F253">
        <v>14</v>
      </c>
      <c r="H253">
        <v>23</v>
      </c>
      <c r="J253">
        <v>16</v>
      </c>
      <c r="L253">
        <v>15</v>
      </c>
      <c r="N253">
        <v>12</v>
      </c>
      <c r="O253" s="23">
        <f t="shared" si="16"/>
        <v>15</v>
      </c>
      <c r="P253" s="23">
        <f t="shared" si="17"/>
        <v>3.37</v>
      </c>
      <c r="Q253">
        <f t="shared" si="13"/>
        <v>3</v>
      </c>
      <c r="S253">
        <v>13</v>
      </c>
    </row>
    <row r="254" spans="1:19" x14ac:dyDescent="0.25">
      <c r="A254" s="14">
        <v>27</v>
      </c>
      <c r="B254" s="24">
        <v>46091</v>
      </c>
      <c r="D254">
        <v>17</v>
      </c>
      <c r="F254">
        <v>13</v>
      </c>
      <c r="H254">
        <v>15</v>
      </c>
      <c r="J254">
        <v>15</v>
      </c>
      <c r="L254">
        <v>13</v>
      </c>
      <c r="N254">
        <v>14</v>
      </c>
      <c r="O254" s="23">
        <f t="shared" si="16"/>
        <v>14</v>
      </c>
      <c r="P254" s="23">
        <f t="shared" si="17"/>
        <v>1.29</v>
      </c>
      <c r="Q254">
        <f t="shared" si="13"/>
        <v>-13</v>
      </c>
      <c r="S254">
        <v>14</v>
      </c>
    </row>
    <row r="255" spans="1:19" x14ac:dyDescent="0.25">
      <c r="A255" s="14">
        <v>24</v>
      </c>
      <c r="B255" s="24">
        <v>46092</v>
      </c>
      <c r="D255">
        <v>12</v>
      </c>
      <c r="F255">
        <v>9</v>
      </c>
      <c r="H255">
        <v>11</v>
      </c>
      <c r="J255">
        <v>12</v>
      </c>
      <c r="L255">
        <v>12</v>
      </c>
      <c r="N255">
        <v>11</v>
      </c>
      <c r="O255" s="23">
        <f t="shared" si="16"/>
        <v>11</v>
      </c>
      <c r="P255" s="23">
        <f t="shared" si="17"/>
        <v>0.99</v>
      </c>
      <c r="Q255">
        <f t="shared" si="13"/>
        <v>-13</v>
      </c>
      <c r="S255">
        <v>11</v>
      </c>
    </row>
    <row r="256" spans="1:19" x14ac:dyDescent="0.25">
      <c r="A256" s="14">
        <v>4</v>
      </c>
      <c r="B256" s="24">
        <v>46093</v>
      </c>
      <c r="D256">
        <v>14</v>
      </c>
      <c r="F256">
        <v>14</v>
      </c>
      <c r="H256">
        <v>13</v>
      </c>
      <c r="J256">
        <v>13</v>
      </c>
      <c r="L256">
        <v>13</v>
      </c>
      <c r="N256">
        <v>13</v>
      </c>
      <c r="O256" s="23">
        <f t="shared" si="16"/>
        <v>13</v>
      </c>
      <c r="P256" s="23">
        <f t="shared" si="17"/>
        <v>0.64</v>
      </c>
      <c r="Q256">
        <f t="shared" si="13"/>
        <v>9</v>
      </c>
      <c r="S256">
        <v>12</v>
      </c>
    </row>
    <row r="257" spans="1:19" x14ac:dyDescent="0.25">
      <c r="A257" s="14">
        <v>28</v>
      </c>
      <c r="B257" s="24">
        <v>46094</v>
      </c>
      <c r="D257">
        <v>22</v>
      </c>
      <c r="F257">
        <v>20</v>
      </c>
      <c r="H257">
        <v>22</v>
      </c>
      <c r="J257">
        <v>23</v>
      </c>
      <c r="L257">
        <v>24</v>
      </c>
      <c r="N257">
        <v>25</v>
      </c>
      <c r="O257" s="23">
        <f t="shared" si="16"/>
        <v>23</v>
      </c>
      <c r="P257" s="23">
        <f t="shared" si="17"/>
        <v>1.55</v>
      </c>
      <c r="Q257">
        <f t="shared" si="13"/>
        <v>-5</v>
      </c>
      <c r="S257">
        <v>24</v>
      </c>
    </row>
    <row r="258" spans="1:19" x14ac:dyDescent="0.25">
      <c r="A258" s="14">
        <v>17</v>
      </c>
      <c r="B258" s="24">
        <v>46095</v>
      </c>
      <c r="D258">
        <v>23</v>
      </c>
      <c r="F258">
        <v>18</v>
      </c>
      <c r="H258">
        <v>17</v>
      </c>
      <c r="J258">
        <v>21</v>
      </c>
      <c r="L258">
        <v>24</v>
      </c>
      <c r="N258">
        <v>21</v>
      </c>
      <c r="O258" s="23">
        <f t="shared" si="16"/>
        <v>21</v>
      </c>
      <c r="P258" s="23">
        <f t="shared" si="17"/>
        <v>2.31</v>
      </c>
      <c r="Q258">
        <f t="shared" si="13"/>
        <v>4</v>
      </c>
      <c r="S258">
        <v>21</v>
      </c>
    </row>
    <row r="259" spans="1:19" x14ac:dyDescent="0.25">
      <c r="A259" s="14">
        <v>66</v>
      </c>
      <c r="B259" s="24">
        <v>46096</v>
      </c>
      <c r="D259">
        <v>23</v>
      </c>
      <c r="F259">
        <v>26</v>
      </c>
      <c r="H259">
        <v>34</v>
      </c>
      <c r="J259">
        <v>24</v>
      </c>
      <c r="L259">
        <v>17</v>
      </c>
      <c r="N259">
        <v>25</v>
      </c>
      <c r="O259" s="23">
        <f t="shared" si="16"/>
        <v>25</v>
      </c>
      <c r="P259" s="23">
        <f t="shared" si="17"/>
        <v>4.7699999999999996</v>
      </c>
      <c r="Q259">
        <f t="shared" ref="Q259:Q260" si="18">O259-A259</f>
        <v>-41</v>
      </c>
      <c r="S259">
        <v>28</v>
      </c>
    </row>
    <row r="260" spans="1:19" x14ac:dyDescent="0.25">
      <c r="A260" s="14">
        <v>7</v>
      </c>
      <c r="B260" s="24">
        <v>46097</v>
      </c>
      <c r="D260">
        <v>13</v>
      </c>
      <c r="F260">
        <v>14</v>
      </c>
      <c r="H260">
        <v>23</v>
      </c>
      <c r="J260">
        <v>15</v>
      </c>
      <c r="L260">
        <v>13</v>
      </c>
      <c r="N260">
        <v>13</v>
      </c>
      <c r="O260" s="23">
        <f t="shared" si="16"/>
        <v>15</v>
      </c>
      <c r="P260" s="23">
        <f t="shared" si="17"/>
        <v>3.34</v>
      </c>
      <c r="Q260">
        <f t="shared" si="18"/>
        <v>8</v>
      </c>
      <c r="S260">
        <v>14</v>
      </c>
    </row>
    <row r="261" spans="1:19" x14ac:dyDescent="0.25">
      <c r="A261" s="26"/>
      <c r="B261" s="27">
        <v>46098</v>
      </c>
      <c r="C261" s="26">
        <v>11</v>
      </c>
      <c r="D261" s="26">
        <v>15</v>
      </c>
      <c r="E261" s="26">
        <v>14</v>
      </c>
      <c r="F261" s="26">
        <v>13</v>
      </c>
      <c r="G261" s="26">
        <v>22</v>
      </c>
      <c r="H261" s="26">
        <v>15</v>
      </c>
      <c r="I261" s="26">
        <v>13</v>
      </c>
      <c r="J261" s="26">
        <v>13</v>
      </c>
      <c r="K261" s="26">
        <v>12</v>
      </c>
      <c r="L261" s="26">
        <v>14</v>
      </c>
      <c r="M261" s="26">
        <v>15</v>
      </c>
      <c r="N261" s="26">
        <v>12</v>
      </c>
      <c r="O261" s="28">
        <f t="shared" si="16"/>
        <v>14</v>
      </c>
      <c r="P261" s="28">
        <f t="shared" si="17"/>
        <v>2.4900000000000002</v>
      </c>
      <c r="Q261" s="26"/>
      <c r="R261" s="26">
        <v>14</v>
      </c>
      <c r="S261" s="26">
        <v>14</v>
      </c>
    </row>
    <row r="262" spans="1:19" x14ac:dyDescent="0.25">
      <c r="B262" s="24">
        <v>46099</v>
      </c>
      <c r="C262">
        <v>19</v>
      </c>
      <c r="D262">
        <v>14</v>
      </c>
      <c r="E262">
        <v>13</v>
      </c>
      <c r="F262">
        <v>14</v>
      </c>
      <c r="G262">
        <v>17</v>
      </c>
      <c r="H262">
        <v>13</v>
      </c>
      <c r="I262">
        <v>14</v>
      </c>
      <c r="J262">
        <v>14</v>
      </c>
      <c r="K262">
        <v>21</v>
      </c>
      <c r="L262">
        <v>14</v>
      </c>
      <c r="M262">
        <v>16</v>
      </c>
      <c r="N262">
        <v>15</v>
      </c>
      <c r="O262" s="23">
        <f t="shared" si="16"/>
        <v>15</v>
      </c>
      <c r="P262" s="23">
        <f t="shared" si="17"/>
        <v>2.34</v>
      </c>
      <c r="R262">
        <v>13</v>
      </c>
      <c r="S262">
        <v>17</v>
      </c>
    </row>
    <row r="263" spans="1:19" x14ac:dyDescent="0.25">
      <c r="B263" s="24">
        <v>46100</v>
      </c>
      <c r="C263">
        <v>12</v>
      </c>
      <c r="D263">
        <v>10</v>
      </c>
      <c r="E263">
        <v>13</v>
      </c>
      <c r="F263">
        <v>12</v>
      </c>
      <c r="G263">
        <v>13</v>
      </c>
      <c r="H263">
        <v>11</v>
      </c>
      <c r="I263">
        <v>14</v>
      </c>
      <c r="J263">
        <v>12</v>
      </c>
      <c r="K263">
        <v>14</v>
      </c>
      <c r="L263">
        <v>14</v>
      </c>
      <c r="M263">
        <v>16</v>
      </c>
      <c r="N263">
        <v>12</v>
      </c>
      <c r="O263" s="23">
        <f t="shared" si="16"/>
        <v>13</v>
      </c>
      <c r="P263" s="23">
        <f t="shared" si="17"/>
        <v>1.44</v>
      </c>
      <c r="R263">
        <v>12</v>
      </c>
      <c r="S263">
        <v>13</v>
      </c>
    </row>
    <row r="264" spans="1:19" x14ac:dyDescent="0.25">
      <c r="B264" s="24">
        <v>46101</v>
      </c>
      <c r="C264">
        <v>21</v>
      </c>
      <c r="D264">
        <v>17</v>
      </c>
      <c r="E264">
        <v>30</v>
      </c>
      <c r="F264">
        <v>19</v>
      </c>
      <c r="G264">
        <v>16</v>
      </c>
      <c r="H264">
        <v>18</v>
      </c>
      <c r="I264">
        <v>25</v>
      </c>
      <c r="J264">
        <v>18</v>
      </c>
      <c r="K264">
        <v>30</v>
      </c>
      <c r="L264">
        <v>18</v>
      </c>
      <c r="M264">
        <v>19</v>
      </c>
      <c r="N264">
        <v>17</v>
      </c>
      <c r="O264" s="23">
        <f t="shared" si="16"/>
        <v>22</v>
      </c>
      <c r="P264" s="23">
        <f t="shared" si="17"/>
        <v>7.48</v>
      </c>
      <c r="R264">
        <v>44</v>
      </c>
      <c r="S264">
        <v>19</v>
      </c>
    </row>
    <row r="265" spans="1:19" x14ac:dyDescent="0.25">
      <c r="B265" s="24">
        <v>46102</v>
      </c>
      <c r="C265">
        <v>41</v>
      </c>
      <c r="D265">
        <v>28</v>
      </c>
      <c r="E265">
        <v>57</v>
      </c>
      <c r="F265">
        <v>25</v>
      </c>
      <c r="G265">
        <v>28</v>
      </c>
      <c r="H265">
        <v>26</v>
      </c>
      <c r="I265">
        <v>47</v>
      </c>
      <c r="J265">
        <v>26</v>
      </c>
      <c r="K265">
        <v>62</v>
      </c>
      <c r="L265">
        <v>25</v>
      </c>
      <c r="M265">
        <v>32</v>
      </c>
      <c r="N265">
        <v>25</v>
      </c>
      <c r="O265" s="23">
        <f t="shared" si="16"/>
        <v>38</v>
      </c>
      <c r="P265" s="23">
        <f t="shared" si="17"/>
        <v>15.66</v>
      </c>
      <c r="R265">
        <v>74</v>
      </c>
      <c r="S265">
        <v>29</v>
      </c>
    </row>
    <row r="266" spans="1:19" x14ac:dyDescent="0.25">
      <c r="B266" s="24">
        <v>46103</v>
      </c>
      <c r="C266">
        <v>35</v>
      </c>
      <c r="D266">
        <v>25</v>
      </c>
      <c r="E266">
        <v>36</v>
      </c>
      <c r="F266">
        <v>23</v>
      </c>
      <c r="G266">
        <v>29</v>
      </c>
      <c r="H266">
        <v>26</v>
      </c>
      <c r="I266">
        <v>56</v>
      </c>
      <c r="J266">
        <v>26</v>
      </c>
      <c r="K266">
        <v>27</v>
      </c>
      <c r="L266">
        <v>24</v>
      </c>
      <c r="M266">
        <v>36</v>
      </c>
      <c r="N266">
        <v>25</v>
      </c>
      <c r="O266" s="23">
        <f t="shared" si="16"/>
        <v>31</v>
      </c>
      <c r="P266" s="23">
        <f t="shared" si="17"/>
        <v>8.39</v>
      </c>
      <c r="R266">
        <v>35</v>
      </c>
      <c r="S266">
        <v>26</v>
      </c>
    </row>
    <row r="267" spans="1:19" x14ac:dyDescent="0.25">
      <c r="B267" s="24">
        <v>46104</v>
      </c>
      <c r="C267">
        <v>17</v>
      </c>
      <c r="D267">
        <v>19</v>
      </c>
      <c r="E267">
        <v>29</v>
      </c>
      <c r="F267">
        <v>23</v>
      </c>
      <c r="G267">
        <v>34</v>
      </c>
      <c r="H267">
        <v>25</v>
      </c>
      <c r="I267">
        <v>24</v>
      </c>
      <c r="J267">
        <v>20</v>
      </c>
      <c r="K267">
        <v>12</v>
      </c>
      <c r="L267">
        <v>20</v>
      </c>
      <c r="M267">
        <v>23</v>
      </c>
      <c r="N267">
        <v>24</v>
      </c>
      <c r="O267" s="23">
        <f t="shared" si="16"/>
        <v>24</v>
      </c>
      <c r="P267" s="23">
        <f t="shared" si="17"/>
        <v>5.83</v>
      </c>
      <c r="R267">
        <v>34</v>
      </c>
      <c r="S267">
        <v>25</v>
      </c>
    </row>
    <row r="268" spans="1:19" x14ac:dyDescent="0.25">
      <c r="B268" s="24">
        <v>46105</v>
      </c>
      <c r="C268">
        <v>16</v>
      </c>
      <c r="D268">
        <v>16</v>
      </c>
      <c r="E268">
        <v>17</v>
      </c>
      <c r="F268">
        <v>19</v>
      </c>
      <c r="G268">
        <v>26</v>
      </c>
      <c r="H268">
        <v>23</v>
      </c>
      <c r="I268">
        <v>17</v>
      </c>
      <c r="J268">
        <v>18</v>
      </c>
      <c r="K268">
        <v>16</v>
      </c>
      <c r="L268">
        <v>15</v>
      </c>
      <c r="M268">
        <v>16</v>
      </c>
      <c r="N268">
        <v>17</v>
      </c>
      <c r="O268" s="23">
        <f t="shared" si="16"/>
        <v>19</v>
      </c>
      <c r="P268" s="23">
        <f t="shared" si="17"/>
        <v>3.56</v>
      </c>
      <c r="R268">
        <v>26</v>
      </c>
      <c r="S268">
        <v>18</v>
      </c>
    </row>
    <row r="269" spans="1:19" x14ac:dyDescent="0.25">
      <c r="B269" s="24">
        <v>46106</v>
      </c>
      <c r="C269">
        <v>20</v>
      </c>
      <c r="D269">
        <v>20</v>
      </c>
      <c r="E269">
        <v>14</v>
      </c>
      <c r="F269">
        <v>18</v>
      </c>
      <c r="G269">
        <v>19</v>
      </c>
      <c r="H269">
        <v>22</v>
      </c>
      <c r="I269">
        <v>29</v>
      </c>
      <c r="J269">
        <v>19</v>
      </c>
      <c r="K269">
        <v>20</v>
      </c>
      <c r="L269">
        <v>18</v>
      </c>
      <c r="M269">
        <v>22</v>
      </c>
      <c r="N269">
        <v>21</v>
      </c>
      <c r="O269" s="23">
        <f t="shared" si="16"/>
        <v>20</v>
      </c>
      <c r="P269" s="23">
        <f t="shared" si="17"/>
        <v>3.13</v>
      </c>
      <c r="R269">
        <v>21</v>
      </c>
      <c r="S269">
        <v>21</v>
      </c>
    </row>
    <row r="270" spans="1:19" x14ac:dyDescent="0.25">
      <c r="B270" s="24">
        <v>46107</v>
      </c>
      <c r="C270">
        <v>28</v>
      </c>
      <c r="D270">
        <v>17</v>
      </c>
      <c r="E270">
        <v>18</v>
      </c>
      <c r="F270">
        <v>16</v>
      </c>
      <c r="G270">
        <v>21</v>
      </c>
      <c r="H270">
        <v>20</v>
      </c>
      <c r="I270">
        <v>28</v>
      </c>
      <c r="J270">
        <v>19</v>
      </c>
      <c r="K270">
        <v>28</v>
      </c>
      <c r="L270">
        <v>17</v>
      </c>
      <c r="M270">
        <v>25</v>
      </c>
      <c r="N270">
        <v>21</v>
      </c>
      <c r="O270" s="23">
        <f t="shared" si="16"/>
        <v>22</v>
      </c>
      <c r="P270" s="23">
        <f t="shared" si="17"/>
        <v>4.1399999999999997</v>
      </c>
      <c r="R270">
        <v>24</v>
      </c>
      <c r="S270">
        <v>20</v>
      </c>
    </row>
    <row r="271" spans="1:19" x14ac:dyDescent="0.25">
      <c r="B271" s="24">
        <v>46108</v>
      </c>
      <c r="C271">
        <v>26</v>
      </c>
      <c r="D271">
        <v>18</v>
      </c>
      <c r="E271">
        <v>22</v>
      </c>
      <c r="F271">
        <v>22</v>
      </c>
      <c r="G271">
        <v>18</v>
      </c>
      <c r="H271">
        <v>18</v>
      </c>
      <c r="I271">
        <v>25</v>
      </c>
      <c r="J271">
        <v>21</v>
      </c>
      <c r="K271">
        <v>23</v>
      </c>
      <c r="L271">
        <v>24</v>
      </c>
      <c r="M271">
        <v>23</v>
      </c>
      <c r="N271">
        <v>20</v>
      </c>
      <c r="O271" s="23">
        <f t="shared" si="16"/>
        <v>22</v>
      </c>
      <c r="P271" s="23">
        <f t="shared" si="17"/>
        <v>3.47</v>
      </c>
      <c r="R271">
        <v>31</v>
      </c>
      <c r="S271">
        <v>20</v>
      </c>
    </row>
    <row r="272" spans="1:19" x14ac:dyDescent="0.25">
      <c r="B272" s="24">
        <v>46109</v>
      </c>
      <c r="C272">
        <v>15</v>
      </c>
      <c r="D272">
        <v>23</v>
      </c>
      <c r="E272">
        <v>37</v>
      </c>
      <c r="F272">
        <v>26</v>
      </c>
      <c r="G272">
        <v>19</v>
      </c>
      <c r="H272">
        <v>30</v>
      </c>
      <c r="I272">
        <v>24</v>
      </c>
      <c r="J272">
        <v>20</v>
      </c>
      <c r="K272">
        <v>12</v>
      </c>
      <c r="L272">
        <v>24</v>
      </c>
      <c r="M272">
        <v>17</v>
      </c>
      <c r="N272">
        <v>19</v>
      </c>
      <c r="O272" s="23">
        <f t="shared" si="16"/>
        <v>22</v>
      </c>
      <c r="P272" s="23">
        <f t="shared" si="17"/>
        <v>6.11</v>
      </c>
      <c r="R272">
        <v>26</v>
      </c>
      <c r="S272">
        <v>22</v>
      </c>
    </row>
    <row r="273" spans="2:19" x14ac:dyDescent="0.25">
      <c r="B273" s="24">
        <v>46110</v>
      </c>
      <c r="C273">
        <v>44</v>
      </c>
      <c r="D273">
        <v>44</v>
      </c>
      <c r="E273">
        <v>32</v>
      </c>
      <c r="F273">
        <v>40</v>
      </c>
      <c r="G273">
        <v>49</v>
      </c>
      <c r="H273">
        <v>38</v>
      </c>
      <c r="I273">
        <v>35</v>
      </c>
      <c r="J273">
        <v>40</v>
      </c>
      <c r="K273">
        <v>37</v>
      </c>
      <c r="L273">
        <v>40</v>
      </c>
      <c r="M273">
        <v>41</v>
      </c>
      <c r="N273">
        <v>41</v>
      </c>
      <c r="O273" s="23">
        <f t="shared" si="16"/>
        <v>41</v>
      </c>
      <c r="P273" s="23">
        <f t="shared" si="17"/>
        <v>4.2699999999999996</v>
      </c>
      <c r="R273">
        <v>46</v>
      </c>
      <c r="S273">
        <v>43</v>
      </c>
    </row>
    <row r="274" spans="2:19" x14ac:dyDescent="0.25">
      <c r="B274" s="24">
        <v>46111</v>
      </c>
      <c r="C274">
        <v>12</v>
      </c>
      <c r="D274">
        <v>15</v>
      </c>
      <c r="E274">
        <v>24</v>
      </c>
      <c r="F274">
        <v>13</v>
      </c>
      <c r="G274">
        <v>20</v>
      </c>
      <c r="H274">
        <v>15</v>
      </c>
      <c r="I274">
        <v>14</v>
      </c>
      <c r="J274">
        <v>14</v>
      </c>
      <c r="K274">
        <v>12</v>
      </c>
      <c r="L274">
        <v>13</v>
      </c>
      <c r="M274">
        <v>16</v>
      </c>
      <c r="N274">
        <v>16</v>
      </c>
      <c r="O274" s="23">
        <f t="shared" si="16"/>
        <v>16</v>
      </c>
      <c r="P274" s="23">
        <f t="shared" si="17"/>
        <v>3.24</v>
      </c>
      <c r="R274">
        <v>19</v>
      </c>
      <c r="S274">
        <v>16</v>
      </c>
    </row>
    <row r="275" spans="2:19" x14ac:dyDescent="0.25">
      <c r="B275" s="24">
        <v>46112</v>
      </c>
      <c r="C275">
        <v>11</v>
      </c>
      <c r="D275">
        <v>10</v>
      </c>
      <c r="E275">
        <v>14</v>
      </c>
      <c r="F275">
        <v>11</v>
      </c>
      <c r="G275">
        <v>20</v>
      </c>
      <c r="H275">
        <v>15</v>
      </c>
      <c r="I275">
        <v>10</v>
      </c>
      <c r="J275">
        <v>11</v>
      </c>
      <c r="K275">
        <v>12</v>
      </c>
      <c r="L275">
        <v>12</v>
      </c>
      <c r="M275">
        <v>15</v>
      </c>
      <c r="N275">
        <v>11</v>
      </c>
      <c r="O275" s="23">
        <f t="shared" si="16"/>
        <v>13</v>
      </c>
      <c r="P275" s="23">
        <f t="shared" si="17"/>
        <v>2.58</v>
      </c>
      <c r="R275">
        <v>12</v>
      </c>
      <c r="S275">
        <v>13</v>
      </c>
    </row>
    <row r="276" spans="2:19" x14ac:dyDescent="0.25">
      <c r="B276" s="24">
        <v>46113</v>
      </c>
      <c r="C276">
        <v>25</v>
      </c>
      <c r="D276">
        <v>15</v>
      </c>
      <c r="E276">
        <v>21</v>
      </c>
      <c r="F276">
        <v>14</v>
      </c>
      <c r="G276">
        <v>14</v>
      </c>
      <c r="H276">
        <v>12</v>
      </c>
      <c r="I276">
        <v>14</v>
      </c>
      <c r="J276">
        <v>14</v>
      </c>
      <c r="K276">
        <v>24</v>
      </c>
      <c r="L276">
        <v>15</v>
      </c>
      <c r="M276">
        <v>17</v>
      </c>
      <c r="N276">
        <v>18</v>
      </c>
      <c r="O276" s="23">
        <f t="shared" si="16"/>
        <v>17</v>
      </c>
      <c r="P276" s="23">
        <f t="shared" si="17"/>
        <v>4.0599999999999996</v>
      </c>
      <c r="R276">
        <v>21</v>
      </c>
      <c r="S276">
        <v>13</v>
      </c>
    </row>
    <row r="277" spans="2:19" x14ac:dyDescent="0.25">
      <c r="B277" s="24">
        <v>46114</v>
      </c>
      <c r="C277">
        <v>11</v>
      </c>
      <c r="D277">
        <v>10</v>
      </c>
      <c r="E277">
        <v>14</v>
      </c>
      <c r="F277">
        <v>11</v>
      </c>
      <c r="G277">
        <v>11</v>
      </c>
      <c r="H277">
        <v>16</v>
      </c>
      <c r="I277">
        <v>1</v>
      </c>
      <c r="J277">
        <v>11</v>
      </c>
      <c r="K277">
        <v>15</v>
      </c>
      <c r="L277">
        <v>12</v>
      </c>
      <c r="M277">
        <v>10</v>
      </c>
      <c r="N277">
        <v>11</v>
      </c>
      <c r="O277" s="23">
        <f t="shared" si="16"/>
        <v>11</v>
      </c>
      <c r="P277" s="23">
        <f t="shared" si="17"/>
        <v>3.33</v>
      </c>
      <c r="R277">
        <v>12</v>
      </c>
      <c r="S277">
        <v>10</v>
      </c>
    </row>
    <row r="278" spans="2:19" x14ac:dyDescent="0.25">
      <c r="B278" s="24">
        <v>46115</v>
      </c>
      <c r="C278">
        <v>13</v>
      </c>
      <c r="D278">
        <v>13</v>
      </c>
      <c r="E278">
        <v>17</v>
      </c>
      <c r="F278">
        <v>16</v>
      </c>
      <c r="G278">
        <v>14</v>
      </c>
      <c r="H278">
        <v>12</v>
      </c>
      <c r="I278">
        <v>11</v>
      </c>
      <c r="J278">
        <v>16</v>
      </c>
      <c r="K278">
        <v>12</v>
      </c>
      <c r="L278">
        <v>14</v>
      </c>
      <c r="M278">
        <v>18</v>
      </c>
      <c r="N278">
        <v>17</v>
      </c>
      <c r="O278" s="23">
        <f t="shared" si="16"/>
        <v>15</v>
      </c>
      <c r="P278" s="23">
        <f t="shared" si="17"/>
        <v>2.5099999999999998</v>
      </c>
      <c r="R278">
        <v>20</v>
      </c>
      <c r="S278">
        <v>14</v>
      </c>
    </row>
    <row r="279" spans="2:19" x14ac:dyDescent="0.25">
      <c r="B279" s="24">
        <v>46116</v>
      </c>
      <c r="C279">
        <v>16</v>
      </c>
      <c r="D279">
        <v>11</v>
      </c>
      <c r="E279">
        <v>22</v>
      </c>
      <c r="F279">
        <v>19</v>
      </c>
      <c r="G279">
        <v>18</v>
      </c>
      <c r="H279">
        <v>26</v>
      </c>
      <c r="I279">
        <v>18</v>
      </c>
      <c r="J279">
        <v>16</v>
      </c>
      <c r="K279">
        <v>13</v>
      </c>
      <c r="L279">
        <v>16</v>
      </c>
      <c r="M279">
        <v>18</v>
      </c>
      <c r="N279">
        <v>13</v>
      </c>
      <c r="O279" s="23">
        <f t="shared" si="16"/>
        <v>18</v>
      </c>
      <c r="P279" s="23">
        <f t="shared" si="17"/>
        <v>5.48</v>
      </c>
      <c r="R279">
        <v>33</v>
      </c>
      <c r="S279">
        <v>16</v>
      </c>
    </row>
    <row r="280" spans="2:19" x14ac:dyDescent="0.25">
      <c r="B280" s="24">
        <v>46117</v>
      </c>
      <c r="C280">
        <v>100</v>
      </c>
      <c r="D280">
        <v>92</v>
      </c>
      <c r="E280">
        <v>67</v>
      </c>
      <c r="F280">
        <v>65</v>
      </c>
      <c r="G280">
        <v>64</v>
      </c>
      <c r="H280">
        <v>58</v>
      </c>
      <c r="I280">
        <v>89</v>
      </c>
      <c r="J280">
        <v>81</v>
      </c>
      <c r="K280">
        <v>108</v>
      </c>
      <c r="L280">
        <v>94</v>
      </c>
      <c r="M280">
        <v>91</v>
      </c>
      <c r="N280">
        <v>89</v>
      </c>
      <c r="O280" s="23">
        <f t="shared" si="16"/>
        <v>83</v>
      </c>
      <c r="P280" s="23">
        <f t="shared" si="17"/>
        <v>14.23</v>
      </c>
      <c r="R280">
        <v>87</v>
      </c>
      <c r="S280">
        <v>83</v>
      </c>
    </row>
    <row r="281" spans="2:19" x14ac:dyDescent="0.25">
      <c r="B281" s="24">
        <v>46118</v>
      </c>
      <c r="C281">
        <v>12</v>
      </c>
      <c r="D281">
        <v>13</v>
      </c>
      <c r="E281">
        <v>15</v>
      </c>
      <c r="F281">
        <v>13</v>
      </c>
      <c r="G281">
        <v>20</v>
      </c>
      <c r="H281">
        <v>18</v>
      </c>
      <c r="I281">
        <v>14</v>
      </c>
      <c r="J281">
        <v>14</v>
      </c>
      <c r="K281">
        <v>14</v>
      </c>
      <c r="L281">
        <v>15</v>
      </c>
      <c r="M281">
        <v>15</v>
      </c>
      <c r="N281">
        <v>14</v>
      </c>
      <c r="O281" s="23">
        <f t="shared" si="16"/>
        <v>15</v>
      </c>
      <c r="P281" s="23">
        <f t="shared" si="17"/>
        <v>1.99</v>
      </c>
      <c r="R281">
        <v>16</v>
      </c>
      <c r="S281">
        <v>15</v>
      </c>
    </row>
    <row r="282" spans="2:19" x14ac:dyDescent="0.25">
      <c r="B282" s="24">
        <v>46119</v>
      </c>
      <c r="C282">
        <v>14</v>
      </c>
      <c r="D282">
        <v>15</v>
      </c>
      <c r="E282">
        <v>13</v>
      </c>
      <c r="F282">
        <v>12</v>
      </c>
      <c r="G282">
        <v>15</v>
      </c>
      <c r="H282">
        <v>15</v>
      </c>
      <c r="I282">
        <v>10</v>
      </c>
      <c r="J282">
        <v>14</v>
      </c>
      <c r="K282">
        <v>12</v>
      </c>
      <c r="L282">
        <v>14</v>
      </c>
      <c r="M282">
        <v>14</v>
      </c>
      <c r="N282">
        <v>12</v>
      </c>
      <c r="O282" s="23">
        <f t="shared" si="16"/>
        <v>13</v>
      </c>
      <c r="P282" s="23">
        <f t="shared" si="17"/>
        <v>1.4</v>
      </c>
      <c r="R282">
        <v>14</v>
      </c>
      <c r="S282">
        <v>14</v>
      </c>
    </row>
    <row r="283" spans="2:19" x14ac:dyDescent="0.25">
      <c r="B283" s="24">
        <v>46120</v>
      </c>
      <c r="C283">
        <v>19</v>
      </c>
      <c r="D283">
        <v>21</v>
      </c>
      <c r="E283">
        <v>21</v>
      </c>
      <c r="F283">
        <v>21</v>
      </c>
      <c r="G283">
        <v>34</v>
      </c>
      <c r="H283">
        <v>25</v>
      </c>
      <c r="I283">
        <v>22</v>
      </c>
      <c r="J283">
        <v>17</v>
      </c>
      <c r="K283">
        <v>12</v>
      </c>
      <c r="L283">
        <v>13</v>
      </c>
      <c r="M283">
        <v>20</v>
      </c>
      <c r="N283">
        <v>20</v>
      </c>
      <c r="O283" s="23">
        <f t="shared" si="16"/>
        <v>21</v>
      </c>
      <c r="P283" s="23">
        <f t="shared" si="17"/>
        <v>5.25</v>
      </c>
      <c r="R283">
        <v>26</v>
      </c>
      <c r="S283">
        <v>18</v>
      </c>
    </row>
    <row r="284" spans="2:19" x14ac:dyDescent="0.25">
      <c r="B284" s="24">
        <v>46121</v>
      </c>
      <c r="C284">
        <v>12</v>
      </c>
      <c r="D284">
        <v>14</v>
      </c>
      <c r="E284">
        <v>16</v>
      </c>
      <c r="F284">
        <v>16</v>
      </c>
      <c r="G284">
        <v>14</v>
      </c>
      <c r="H284">
        <v>21</v>
      </c>
      <c r="I284">
        <v>17</v>
      </c>
      <c r="J284">
        <v>15</v>
      </c>
      <c r="K284">
        <v>12</v>
      </c>
      <c r="L284">
        <v>14</v>
      </c>
      <c r="M284">
        <v>16</v>
      </c>
      <c r="N284">
        <v>14</v>
      </c>
      <c r="O284" s="23">
        <f t="shared" si="16"/>
        <v>15</v>
      </c>
      <c r="P284" s="23">
        <f t="shared" si="17"/>
        <v>2.5</v>
      </c>
      <c r="R284">
        <v>20</v>
      </c>
      <c r="S284">
        <v>15</v>
      </c>
    </row>
    <row r="285" spans="2:19" x14ac:dyDescent="0.25">
      <c r="B285" s="24">
        <v>46122</v>
      </c>
      <c r="C285">
        <v>16</v>
      </c>
      <c r="D285">
        <v>16</v>
      </c>
      <c r="E285">
        <v>14</v>
      </c>
      <c r="F285">
        <v>17</v>
      </c>
      <c r="G285">
        <v>18</v>
      </c>
      <c r="H285">
        <v>24</v>
      </c>
      <c r="I285">
        <v>13</v>
      </c>
      <c r="J285">
        <v>15</v>
      </c>
      <c r="K285">
        <v>19</v>
      </c>
      <c r="L285">
        <v>14</v>
      </c>
      <c r="M285">
        <v>15</v>
      </c>
      <c r="N285">
        <v>13</v>
      </c>
      <c r="O285" s="23">
        <f t="shared" si="16"/>
        <v>16</v>
      </c>
      <c r="P285" s="23">
        <f t="shared" si="17"/>
        <v>2.81</v>
      </c>
      <c r="R285">
        <v>15</v>
      </c>
      <c r="S285">
        <v>14</v>
      </c>
    </row>
    <row r="286" spans="2:19" x14ac:dyDescent="0.25">
      <c r="B286" s="24">
        <v>46123</v>
      </c>
      <c r="C286">
        <v>28</v>
      </c>
      <c r="D286">
        <v>34</v>
      </c>
      <c r="E286">
        <v>20</v>
      </c>
      <c r="F286">
        <v>24</v>
      </c>
      <c r="G286">
        <v>17</v>
      </c>
      <c r="H286">
        <v>18</v>
      </c>
      <c r="I286">
        <v>18</v>
      </c>
      <c r="J286">
        <v>38</v>
      </c>
      <c r="K286">
        <v>22</v>
      </c>
      <c r="L286">
        <v>27</v>
      </c>
      <c r="M286">
        <v>24</v>
      </c>
      <c r="N286">
        <v>32</v>
      </c>
      <c r="O286" s="23">
        <f t="shared" si="16"/>
        <v>26</v>
      </c>
      <c r="P286" s="23">
        <f t="shared" si="17"/>
        <v>6.09</v>
      </c>
      <c r="R286">
        <v>27</v>
      </c>
      <c r="S286">
        <v>28</v>
      </c>
    </row>
    <row r="287" spans="2:19" x14ac:dyDescent="0.25">
      <c r="B287" s="24">
        <v>46124</v>
      </c>
      <c r="C287">
        <v>31</v>
      </c>
      <c r="D287">
        <v>34</v>
      </c>
      <c r="E287">
        <v>26</v>
      </c>
      <c r="F287">
        <v>32</v>
      </c>
      <c r="G287">
        <v>37</v>
      </c>
      <c r="H287">
        <v>28</v>
      </c>
      <c r="I287">
        <v>39</v>
      </c>
      <c r="J287">
        <v>33</v>
      </c>
      <c r="K287">
        <v>33</v>
      </c>
      <c r="L287">
        <v>35</v>
      </c>
      <c r="M287">
        <v>28</v>
      </c>
      <c r="N287">
        <v>36</v>
      </c>
      <c r="O287" s="23">
        <f t="shared" si="16"/>
        <v>33</v>
      </c>
      <c r="P287" s="23">
        <f t="shared" si="17"/>
        <v>3.66</v>
      </c>
      <c r="R287">
        <v>36</v>
      </c>
      <c r="S287">
        <v>36</v>
      </c>
    </row>
    <row r="288" spans="2:19" x14ac:dyDescent="0.25">
      <c r="B288" s="24">
        <v>46125</v>
      </c>
      <c r="C288">
        <v>42</v>
      </c>
      <c r="D288">
        <v>25</v>
      </c>
      <c r="E288">
        <v>21</v>
      </c>
      <c r="F288">
        <v>29</v>
      </c>
      <c r="G288">
        <v>28</v>
      </c>
      <c r="H288">
        <v>26</v>
      </c>
      <c r="I288">
        <v>16</v>
      </c>
      <c r="J288">
        <v>30</v>
      </c>
      <c r="K288">
        <v>41</v>
      </c>
      <c r="L288">
        <v>24</v>
      </c>
      <c r="M288">
        <v>22</v>
      </c>
      <c r="N288">
        <v>25</v>
      </c>
      <c r="O288" s="23">
        <f t="shared" si="16"/>
        <v>27</v>
      </c>
      <c r="P288" s="23">
        <f t="shared" si="17"/>
        <v>6.73</v>
      </c>
      <c r="R288">
        <v>27</v>
      </c>
      <c r="S288">
        <v>27</v>
      </c>
    </row>
    <row r="289" spans="2:19" x14ac:dyDescent="0.25">
      <c r="B289" s="24">
        <v>46126</v>
      </c>
      <c r="C289">
        <v>11</v>
      </c>
      <c r="D289">
        <v>9</v>
      </c>
      <c r="E289">
        <v>13</v>
      </c>
      <c r="F289">
        <v>11</v>
      </c>
      <c r="G289">
        <v>15</v>
      </c>
      <c r="H289">
        <v>14</v>
      </c>
      <c r="I289">
        <v>4</v>
      </c>
      <c r="J289">
        <v>10</v>
      </c>
      <c r="K289">
        <v>12</v>
      </c>
      <c r="L289">
        <v>12</v>
      </c>
      <c r="M289">
        <v>10</v>
      </c>
      <c r="N289">
        <v>11</v>
      </c>
      <c r="O289" s="23">
        <f t="shared" si="16"/>
        <v>11</v>
      </c>
      <c r="P289" s="23">
        <f t="shared" si="17"/>
        <v>2.5</v>
      </c>
      <c r="R289">
        <v>12</v>
      </c>
      <c r="S289">
        <v>12</v>
      </c>
    </row>
    <row r="290" spans="2:19" x14ac:dyDescent="0.25">
      <c r="B290" s="24">
        <v>46127</v>
      </c>
      <c r="C290">
        <v>17</v>
      </c>
      <c r="D290">
        <v>20</v>
      </c>
      <c r="E290">
        <v>13</v>
      </c>
      <c r="F290">
        <v>16</v>
      </c>
      <c r="G290">
        <v>16</v>
      </c>
      <c r="H290">
        <v>18</v>
      </c>
      <c r="I290">
        <v>12</v>
      </c>
      <c r="J290">
        <v>16</v>
      </c>
      <c r="K290">
        <v>16</v>
      </c>
      <c r="L290">
        <v>16</v>
      </c>
      <c r="M290">
        <v>15</v>
      </c>
      <c r="N290">
        <v>19</v>
      </c>
      <c r="O290" s="23">
        <f t="shared" si="16"/>
        <v>16</v>
      </c>
      <c r="P290" s="23">
        <f t="shared" si="17"/>
        <v>2.2200000000000002</v>
      </c>
      <c r="R290">
        <v>13</v>
      </c>
      <c r="S290">
        <v>18</v>
      </c>
    </row>
    <row r="291" spans="2:19" x14ac:dyDescent="0.25">
      <c r="B291" s="24">
        <v>46128</v>
      </c>
      <c r="C291">
        <v>11</v>
      </c>
      <c r="D291">
        <v>13</v>
      </c>
      <c r="E291">
        <v>14</v>
      </c>
      <c r="F291">
        <v>13</v>
      </c>
      <c r="G291">
        <v>13</v>
      </c>
      <c r="H291">
        <v>18</v>
      </c>
      <c r="I291">
        <v>16</v>
      </c>
      <c r="J291">
        <v>13</v>
      </c>
      <c r="K291">
        <v>12</v>
      </c>
      <c r="L291">
        <v>13</v>
      </c>
      <c r="M291">
        <v>15</v>
      </c>
      <c r="N291">
        <v>12</v>
      </c>
      <c r="O291" s="23">
        <f t="shared" si="16"/>
        <v>14</v>
      </c>
      <c r="P291" s="23">
        <f t="shared" si="17"/>
        <v>1.76</v>
      </c>
      <c r="R291">
        <v>15</v>
      </c>
      <c r="S291">
        <v>13</v>
      </c>
    </row>
    <row r="292" spans="2:19" x14ac:dyDescent="0.25">
      <c r="B292" s="24">
        <v>46129</v>
      </c>
      <c r="C292">
        <v>17</v>
      </c>
      <c r="D292">
        <v>13</v>
      </c>
      <c r="E292">
        <v>20</v>
      </c>
      <c r="F292">
        <v>16</v>
      </c>
      <c r="G292">
        <v>16</v>
      </c>
      <c r="H292">
        <v>16</v>
      </c>
      <c r="I292">
        <v>20</v>
      </c>
      <c r="J292">
        <v>15</v>
      </c>
      <c r="K292">
        <v>20</v>
      </c>
      <c r="L292">
        <v>16</v>
      </c>
      <c r="M292">
        <v>17</v>
      </c>
      <c r="N292">
        <v>14</v>
      </c>
      <c r="O292" s="23">
        <f t="shared" si="16"/>
        <v>17</v>
      </c>
      <c r="P292" s="23">
        <f t="shared" si="17"/>
        <v>3.17</v>
      </c>
      <c r="R292">
        <v>26</v>
      </c>
      <c r="S292">
        <v>16</v>
      </c>
    </row>
    <row r="293" spans="2:19" x14ac:dyDescent="0.25">
      <c r="B293" s="31" t="s">
        <v>41</v>
      </c>
      <c r="C293" s="32">
        <v>28.3</v>
      </c>
      <c r="D293" s="32">
        <v>27.95</v>
      </c>
      <c r="E293" s="32">
        <v>28.76</v>
      </c>
      <c r="F293" s="32">
        <v>24.98</v>
      </c>
      <c r="G293" s="32">
        <v>22.59</v>
      </c>
      <c r="H293" s="32">
        <v>19.03</v>
      </c>
      <c r="I293" s="32">
        <v>30.36</v>
      </c>
      <c r="J293" s="32">
        <v>28.18</v>
      </c>
      <c r="K293" s="32">
        <v>31.82</v>
      </c>
      <c r="L293" s="32">
        <v>34.909999999999997</v>
      </c>
      <c r="M293" s="32">
        <v>32.5</v>
      </c>
      <c r="N293" s="33">
        <v>31.77</v>
      </c>
      <c r="O293" s="34">
        <f>ROUND(AVERAGE(C293:N293,R293,S293),2)</f>
        <v>28.41</v>
      </c>
      <c r="P293" s="34">
        <f>ROUND(_xlfn.STDEV.P(C293:N293,R293,S293),2)</f>
        <v>3.98</v>
      </c>
      <c r="R293">
        <v>29.39</v>
      </c>
      <c r="S293">
        <v>27.22</v>
      </c>
    </row>
    <row r="294" spans="2:19" x14ac:dyDescent="0.25">
      <c r="B294" s="20" t="s">
        <v>42</v>
      </c>
      <c r="C294" s="16">
        <v>13.62</v>
      </c>
      <c r="D294" s="16">
        <v>13.56</v>
      </c>
      <c r="E294" s="16">
        <v>14.55</v>
      </c>
      <c r="F294" s="16">
        <v>16.350000000000001</v>
      </c>
      <c r="G294" s="16">
        <v>17.670000000000002</v>
      </c>
      <c r="H294" s="16">
        <v>19.489999999999998</v>
      </c>
      <c r="I294" s="16">
        <v>14.2</v>
      </c>
      <c r="J294" s="16">
        <v>13.42</v>
      </c>
      <c r="K294" s="16">
        <v>13.15</v>
      </c>
      <c r="L294" s="16">
        <v>11.42</v>
      </c>
      <c r="M294" s="16">
        <v>12.51</v>
      </c>
      <c r="N294" s="17">
        <v>12.85</v>
      </c>
      <c r="O294" s="34">
        <f>ROUND(AVERAGE(C294:N294,R294,S294),2)</f>
        <v>14.56</v>
      </c>
      <c r="P294" s="34">
        <f>ROUND(_xlfn.STDEV.P(C294:N294,R294,S294),2)</f>
        <v>2.16</v>
      </c>
      <c r="R294">
        <v>14.17</v>
      </c>
      <c r="S294">
        <v>16.91</v>
      </c>
    </row>
    <row r="295" spans="2:19" x14ac:dyDescent="0.25">
      <c r="B295" s="24"/>
      <c r="C295" s="47" t="s">
        <v>46</v>
      </c>
      <c r="D295" s="47"/>
      <c r="E295" s="47" t="s">
        <v>47</v>
      </c>
      <c r="F295" s="47"/>
      <c r="G295" s="47" t="s">
        <v>48</v>
      </c>
      <c r="H295" s="47"/>
      <c r="I295" s="47" t="s">
        <v>49</v>
      </c>
      <c r="J295" s="47"/>
      <c r="K295" s="48" t="s">
        <v>50</v>
      </c>
      <c r="L295" s="48"/>
      <c r="M295" s="48" t="s">
        <v>51</v>
      </c>
      <c r="N295" s="48"/>
      <c r="R295" s="47" t="s">
        <v>54</v>
      </c>
      <c r="S295" s="47"/>
    </row>
    <row r="296" spans="2:19" x14ac:dyDescent="0.25">
      <c r="C296" t="s">
        <v>55</v>
      </c>
      <c r="D296" t="s">
        <v>56</v>
      </c>
      <c r="E296" t="s">
        <v>55</v>
      </c>
      <c r="F296" t="s">
        <v>56</v>
      </c>
      <c r="G296" t="s">
        <v>55</v>
      </c>
      <c r="H296" t="s">
        <v>56</v>
      </c>
      <c r="I296" t="s">
        <v>55</v>
      </c>
      <c r="J296" t="s">
        <v>56</v>
      </c>
      <c r="K296" t="s">
        <v>55</v>
      </c>
      <c r="L296" t="s">
        <v>56</v>
      </c>
      <c r="M296" t="s">
        <v>55</v>
      </c>
      <c r="N296" t="s">
        <v>56</v>
      </c>
      <c r="R296" t="s">
        <v>55</v>
      </c>
      <c r="S296" t="s">
        <v>56</v>
      </c>
    </row>
    <row r="297" spans="2:19" x14ac:dyDescent="0.25">
      <c r="B297" t="s">
        <v>57</v>
      </c>
      <c r="C297">
        <v>75.162000000000006</v>
      </c>
      <c r="D297">
        <v>71.727000000000004</v>
      </c>
      <c r="E297">
        <v>88.418999999999997</v>
      </c>
      <c r="F297">
        <v>89.831999999999994</v>
      </c>
      <c r="G297">
        <v>26.315000000000001</v>
      </c>
      <c r="H297">
        <v>15.343</v>
      </c>
      <c r="I297">
        <v>105.959</v>
      </c>
      <c r="J297">
        <v>114.395</v>
      </c>
      <c r="K297">
        <v>108.185</v>
      </c>
      <c r="L297">
        <v>103.062</v>
      </c>
      <c r="M297">
        <v>164.20099999999999</v>
      </c>
      <c r="N297">
        <v>187.61600000000001</v>
      </c>
      <c r="R297">
        <v>205.511</v>
      </c>
      <c r="S297">
        <v>201.929</v>
      </c>
    </row>
    <row r="298" spans="2:19" x14ac:dyDescent="0.25">
      <c r="B298" t="s">
        <v>58</v>
      </c>
      <c r="C298" s="38"/>
      <c r="D298" s="38"/>
      <c r="E298" s="38"/>
      <c r="F298" s="38"/>
      <c r="G298" s="38"/>
      <c r="H298" s="38"/>
      <c r="I298" s="39">
        <v>0.67169999999999996</v>
      </c>
      <c r="J298" s="39">
        <v>0.78900000000000003</v>
      </c>
      <c r="K298" s="39">
        <v>0.84830000000000005</v>
      </c>
      <c r="L298" s="39">
        <v>0.77790000000000004</v>
      </c>
      <c r="M298" s="39">
        <v>0.76829999999999998</v>
      </c>
      <c r="N298" s="39">
        <v>0.85519999999999996</v>
      </c>
      <c r="R298" s="39">
        <v>0.85240000000000005</v>
      </c>
      <c r="S298" s="39">
        <v>0.83450000000000002</v>
      </c>
    </row>
  </sheetData>
  <mergeCells count="8">
    <mergeCell ref="R295:S295"/>
    <mergeCell ref="C1:N1"/>
    <mergeCell ref="C295:D295"/>
    <mergeCell ref="E295:F295"/>
    <mergeCell ref="G295:H295"/>
    <mergeCell ref="I295:J295"/>
    <mergeCell ref="K295:L295"/>
    <mergeCell ref="M295:N295"/>
  </mergeCells>
  <conditionalFormatting sqref="C293:N294">
    <cfRule type="cellIs" dxfId="8" priority="2" operator="lessThan">
      <formula>20</formula>
    </cfRule>
    <cfRule type="aboveAverage" dxfId="7" priority="3"/>
  </conditionalFormatting>
  <conditionalFormatting sqref="C116:O121">
    <cfRule type="expression" dxfId="6" priority="5">
      <formula>ABS(C116-$A116)&lt;=10</formula>
    </cfRule>
  </conditionalFormatting>
  <conditionalFormatting sqref="Q1:Q260">
    <cfRule type="cellIs" dxfId="5" priority="7" operator="lessThan">
      <formula>0</formula>
    </cfRule>
    <cfRule type="cellIs" dxfId="4" priority="8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A6AB-8DBE-4210-8EFE-4E449AA3F45B}">
  <dimension ref="A1:S293"/>
  <sheetViews>
    <sheetView topLeftCell="A248" zoomScaleNormal="100" workbookViewId="0">
      <selection activeCell="P292" sqref="O261:P292"/>
    </sheetView>
  </sheetViews>
  <sheetFormatPr defaultColWidth="9.140625" defaultRowHeight="15" x14ac:dyDescent="0.25"/>
  <cols>
    <col min="2" max="2" width="10.85546875" customWidth="1"/>
  </cols>
  <sheetData>
    <row r="1" spans="1:17" ht="15.75" thickBot="1" x14ac:dyDescent="0.3">
      <c r="A1" t="s">
        <v>43</v>
      </c>
      <c r="B1" s="7"/>
      <c r="C1" s="43">
        <v>0.85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O1" s="22" t="s">
        <v>39</v>
      </c>
      <c r="P1" s="22" t="s">
        <v>40</v>
      </c>
    </row>
    <row r="2" spans="1:17" x14ac:dyDescent="0.25">
      <c r="A2">
        <v>10</v>
      </c>
      <c r="B2" s="24">
        <v>45839</v>
      </c>
      <c r="C2" s="16">
        <v>18</v>
      </c>
      <c r="D2">
        <v>17</v>
      </c>
      <c r="E2">
        <v>23</v>
      </c>
      <c r="F2">
        <v>27</v>
      </c>
      <c r="H2">
        <v>19</v>
      </c>
      <c r="I2">
        <v>19</v>
      </c>
      <c r="J2">
        <v>14</v>
      </c>
      <c r="K2">
        <v>13</v>
      </c>
      <c r="L2">
        <v>10</v>
      </c>
      <c r="M2">
        <v>19</v>
      </c>
      <c r="N2">
        <v>21</v>
      </c>
      <c r="O2" s="23">
        <f t="shared" ref="O2:O63" si="0">ROUND(AVERAGE(C2:N2),0)</f>
        <v>18</v>
      </c>
      <c r="P2" s="23">
        <f>ROUND(_xlfn.STDEV.P(C2:N2),2)</f>
        <v>4.51</v>
      </c>
      <c r="Q2">
        <f>O2-A2</f>
        <v>8</v>
      </c>
    </row>
    <row r="3" spans="1:17" x14ac:dyDescent="0.25">
      <c r="A3">
        <v>25</v>
      </c>
      <c r="B3" s="24">
        <v>45840</v>
      </c>
      <c r="C3" s="16">
        <v>15</v>
      </c>
      <c r="D3">
        <v>3</v>
      </c>
      <c r="E3">
        <v>3</v>
      </c>
      <c r="F3">
        <v>25</v>
      </c>
      <c r="H3">
        <v>20</v>
      </c>
      <c r="I3">
        <v>26</v>
      </c>
      <c r="J3">
        <v>8</v>
      </c>
      <c r="K3">
        <v>17</v>
      </c>
      <c r="L3">
        <v>2</v>
      </c>
      <c r="M3">
        <v>12</v>
      </c>
      <c r="N3">
        <v>24</v>
      </c>
      <c r="O3" s="23">
        <f t="shared" si="0"/>
        <v>14</v>
      </c>
      <c r="P3" s="23">
        <f t="shared" ref="P3:P66" si="1">ROUND(_xlfn.STDEV.P(C3:N3),2)</f>
        <v>8.7200000000000006</v>
      </c>
      <c r="Q3">
        <f t="shared" ref="Q3:Q66" si="2">O3-A3</f>
        <v>-11</v>
      </c>
    </row>
    <row r="4" spans="1:17" x14ac:dyDescent="0.25">
      <c r="A4">
        <v>6</v>
      </c>
      <c r="B4" s="24">
        <v>45841</v>
      </c>
      <c r="C4" s="16">
        <v>32</v>
      </c>
      <c r="D4">
        <v>24</v>
      </c>
      <c r="E4">
        <v>11</v>
      </c>
      <c r="F4">
        <v>20</v>
      </c>
      <c r="H4">
        <v>29</v>
      </c>
      <c r="I4">
        <v>27</v>
      </c>
      <c r="J4">
        <v>31</v>
      </c>
      <c r="K4">
        <v>14</v>
      </c>
      <c r="L4">
        <v>30</v>
      </c>
      <c r="M4">
        <v>11</v>
      </c>
      <c r="N4">
        <v>19</v>
      </c>
      <c r="O4" s="23">
        <f t="shared" si="0"/>
        <v>23</v>
      </c>
      <c r="P4" s="23">
        <f t="shared" si="1"/>
        <v>7.62</v>
      </c>
      <c r="Q4">
        <f t="shared" si="2"/>
        <v>17</v>
      </c>
    </row>
    <row r="5" spans="1:17" x14ac:dyDescent="0.25">
      <c r="A5">
        <v>0</v>
      </c>
      <c r="B5" s="24">
        <v>45842</v>
      </c>
      <c r="C5" s="16">
        <v>1</v>
      </c>
      <c r="D5">
        <v>1</v>
      </c>
      <c r="E5">
        <v>1</v>
      </c>
      <c r="F5">
        <v>19</v>
      </c>
      <c r="H5">
        <v>11</v>
      </c>
      <c r="I5">
        <v>2</v>
      </c>
      <c r="J5">
        <v>1</v>
      </c>
      <c r="K5">
        <v>2</v>
      </c>
      <c r="L5">
        <v>5</v>
      </c>
      <c r="M5">
        <v>2</v>
      </c>
      <c r="N5">
        <v>12</v>
      </c>
      <c r="O5" s="23">
        <f t="shared" si="0"/>
        <v>5</v>
      </c>
      <c r="P5" s="23">
        <f t="shared" si="1"/>
        <v>5.81</v>
      </c>
      <c r="Q5">
        <f t="shared" si="2"/>
        <v>5</v>
      </c>
    </row>
    <row r="6" spans="1:17" x14ac:dyDescent="0.25">
      <c r="A6">
        <v>10</v>
      </c>
      <c r="B6" s="24">
        <v>45843</v>
      </c>
      <c r="C6" s="16">
        <v>2</v>
      </c>
      <c r="D6">
        <v>4</v>
      </c>
      <c r="E6">
        <v>11</v>
      </c>
      <c r="F6">
        <v>3</v>
      </c>
      <c r="H6">
        <v>16</v>
      </c>
      <c r="I6">
        <v>14</v>
      </c>
      <c r="J6">
        <v>5</v>
      </c>
      <c r="K6">
        <v>9</v>
      </c>
      <c r="L6">
        <v>6</v>
      </c>
      <c r="M6">
        <v>-7</v>
      </c>
      <c r="N6">
        <v>4</v>
      </c>
      <c r="O6" s="23">
        <f t="shared" si="0"/>
        <v>6</v>
      </c>
      <c r="P6" s="23">
        <f t="shared" si="1"/>
        <v>6.04</v>
      </c>
      <c r="Q6">
        <f t="shared" si="2"/>
        <v>-4</v>
      </c>
    </row>
    <row r="7" spans="1:17" x14ac:dyDescent="0.25">
      <c r="A7">
        <v>50</v>
      </c>
      <c r="B7" s="24">
        <v>45844</v>
      </c>
      <c r="C7" s="16">
        <v>11</v>
      </c>
      <c r="D7">
        <v>3</v>
      </c>
      <c r="E7">
        <v>12</v>
      </c>
      <c r="F7">
        <v>0</v>
      </c>
      <c r="H7">
        <v>16</v>
      </c>
      <c r="I7">
        <v>14</v>
      </c>
      <c r="J7">
        <v>4</v>
      </c>
      <c r="K7">
        <v>4</v>
      </c>
      <c r="L7">
        <v>17</v>
      </c>
      <c r="M7">
        <v>10</v>
      </c>
      <c r="N7">
        <v>8</v>
      </c>
      <c r="O7" s="23">
        <f t="shared" si="0"/>
        <v>9</v>
      </c>
      <c r="P7" s="23">
        <f t="shared" si="1"/>
        <v>5.39</v>
      </c>
      <c r="Q7">
        <f t="shared" si="2"/>
        <v>-41</v>
      </c>
    </row>
    <row r="8" spans="1:17" x14ac:dyDescent="0.25">
      <c r="A8" s="14">
        <v>13</v>
      </c>
      <c r="B8" s="24">
        <v>45845</v>
      </c>
      <c r="C8" s="16">
        <v>26</v>
      </c>
      <c r="D8">
        <v>30</v>
      </c>
      <c r="E8">
        <v>16</v>
      </c>
      <c r="F8">
        <v>15</v>
      </c>
      <c r="G8">
        <v>21</v>
      </c>
      <c r="H8">
        <v>16</v>
      </c>
      <c r="I8">
        <v>34</v>
      </c>
      <c r="J8">
        <v>9</v>
      </c>
      <c r="K8">
        <v>32</v>
      </c>
      <c r="L8">
        <v>36</v>
      </c>
      <c r="M8">
        <v>39</v>
      </c>
      <c r="N8">
        <v>23</v>
      </c>
      <c r="O8" s="23">
        <f t="shared" si="0"/>
        <v>25</v>
      </c>
      <c r="P8" s="23">
        <f t="shared" si="1"/>
        <v>9.18</v>
      </c>
      <c r="Q8">
        <f t="shared" si="2"/>
        <v>12</v>
      </c>
    </row>
    <row r="9" spans="1:17" x14ac:dyDescent="0.25">
      <c r="A9" s="14">
        <v>12</v>
      </c>
      <c r="B9" s="24">
        <v>45846</v>
      </c>
      <c r="C9" s="16">
        <v>39</v>
      </c>
      <c r="D9">
        <v>23</v>
      </c>
      <c r="E9">
        <v>28</v>
      </c>
      <c r="F9">
        <v>23</v>
      </c>
      <c r="G9">
        <v>79</v>
      </c>
      <c r="H9">
        <v>45</v>
      </c>
      <c r="I9">
        <v>16</v>
      </c>
      <c r="J9">
        <v>29</v>
      </c>
      <c r="K9">
        <v>23</v>
      </c>
      <c r="L9">
        <v>48</v>
      </c>
      <c r="M9">
        <v>78</v>
      </c>
      <c r="N9">
        <v>36</v>
      </c>
      <c r="O9" s="23">
        <f t="shared" si="0"/>
        <v>39</v>
      </c>
      <c r="P9" s="23">
        <f t="shared" si="1"/>
        <v>19.93</v>
      </c>
      <c r="Q9">
        <f t="shared" si="2"/>
        <v>27</v>
      </c>
    </row>
    <row r="10" spans="1:17" x14ac:dyDescent="0.25">
      <c r="A10" s="14">
        <v>10</v>
      </c>
      <c r="B10" s="24">
        <v>45847</v>
      </c>
      <c r="C10" s="16">
        <v>26</v>
      </c>
      <c r="D10">
        <v>34</v>
      </c>
      <c r="E10">
        <v>24</v>
      </c>
      <c r="F10">
        <v>27</v>
      </c>
      <c r="G10">
        <v>14</v>
      </c>
      <c r="H10">
        <v>29</v>
      </c>
      <c r="I10">
        <v>24</v>
      </c>
      <c r="J10">
        <v>28</v>
      </c>
      <c r="K10">
        <v>25</v>
      </c>
      <c r="L10">
        <v>31</v>
      </c>
      <c r="M10">
        <v>26</v>
      </c>
      <c r="N10">
        <v>21</v>
      </c>
      <c r="O10" s="23">
        <f t="shared" si="0"/>
        <v>26</v>
      </c>
      <c r="P10" s="23">
        <f t="shared" si="1"/>
        <v>4.83</v>
      </c>
      <c r="Q10">
        <f t="shared" si="2"/>
        <v>16</v>
      </c>
    </row>
    <row r="11" spans="1:17" x14ac:dyDescent="0.25">
      <c r="A11" s="14">
        <v>25</v>
      </c>
      <c r="B11" s="24">
        <v>45848</v>
      </c>
      <c r="C11" s="16">
        <v>22</v>
      </c>
      <c r="D11">
        <v>41</v>
      </c>
      <c r="E11">
        <v>37</v>
      </c>
      <c r="F11">
        <v>23</v>
      </c>
      <c r="G11">
        <v>21</v>
      </c>
      <c r="H11">
        <v>29</v>
      </c>
      <c r="I11">
        <v>20</v>
      </c>
      <c r="J11">
        <v>43</v>
      </c>
      <c r="K11">
        <v>26</v>
      </c>
      <c r="L11">
        <v>28</v>
      </c>
      <c r="M11">
        <v>31</v>
      </c>
      <c r="N11">
        <v>25</v>
      </c>
      <c r="O11" s="23">
        <f t="shared" si="0"/>
        <v>29</v>
      </c>
      <c r="P11" s="23">
        <f t="shared" si="1"/>
        <v>7.44</v>
      </c>
      <c r="Q11">
        <f t="shared" si="2"/>
        <v>4</v>
      </c>
    </row>
    <row r="12" spans="1:17" x14ac:dyDescent="0.25">
      <c r="A12" s="14">
        <v>29</v>
      </c>
      <c r="B12" s="24">
        <v>45849</v>
      </c>
      <c r="C12" s="16">
        <v>10</v>
      </c>
      <c r="D12">
        <v>8</v>
      </c>
      <c r="E12">
        <v>10</v>
      </c>
      <c r="F12">
        <v>5</v>
      </c>
      <c r="G12">
        <v>9</v>
      </c>
      <c r="H12">
        <v>11</v>
      </c>
      <c r="I12">
        <v>10</v>
      </c>
      <c r="J12">
        <v>15</v>
      </c>
      <c r="K12">
        <v>8</v>
      </c>
      <c r="L12">
        <v>17</v>
      </c>
      <c r="M12">
        <v>9</v>
      </c>
      <c r="N12">
        <v>14</v>
      </c>
      <c r="O12" s="23">
        <f t="shared" si="0"/>
        <v>11</v>
      </c>
      <c r="P12" s="23">
        <f t="shared" si="1"/>
        <v>3.2</v>
      </c>
      <c r="Q12">
        <f t="shared" si="2"/>
        <v>-18</v>
      </c>
    </row>
    <row r="13" spans="1:17" x14ac:dyDescent="0.25">
      <c r="A13" s="14">
        <v>43</v>
      </c>
      <c r="B13" s="24">
        <v>45850</v>
      </c>
      <c r="C13" s="16">
        <v>18</v>
      </c>
      <c r="D13">
        <v>21</v>
      </c>
      <c r="E13">
        <v>36</v>
      </c>
      <c r="F13">
        <v>19</v>
      </c>
      <c r="G13">
        <v>15</v>
      </c>
      <c r="H13">
        <v>12</v>
      </c>
      <c r="I13">
        <v>29</v>
      </c>
      <c r="J13">
        <v>45</v>
      </c>
      <c r="K13">
        <v>36</v>
      </c>
      <c r="L13">
        <v>19</v>
      </c>
      <c r="M13">
        <v>23</v>
      </c>
      <c r="N13">
        <v>30</v>
      </c>
      <c r="O13" s="23">
        <f t="shared" si="0"/>
        <v>25</v>
      </c>
      <c r="P13" s="23">
        <f t="shared" si="1"/>
        <v>9.5399999999999991</v>
      </c>
      <c r="Q13">
        <f t="shared" si="2"/>
        <v>-18</v>
      </c>
    </row>
    <row r="14" spans="1:17" x14ac:dyDescent="0.25">
      <c r="A14" s="14">
        <v>32</v>
      </c>
      <c r="B14" s="24">
        <v>45851</v>
      </c>
      <c r="C14" s="16">
        <v>27</v>
      </c>
      <c r="D14">
        <v>17</v>
      </c>
      <c r="E14">
        <v>21</v>
      </c>
      <c r="F14">
        <v>17</v>
      </c>
      <c r="G14">
        <v>17</v>
      </c>
      <c r="H14">
        <v>21</v>
      </c>
      <c r="I14">
        <v>22</v>
      </c>
      <c r="J14">
        <v>21</v>
      </c>
      <c r="K14">
        <v>20</v>
      </c>
      <c r="L14">
        <v>42</v>
      </c>
      <c r="M14">
        <v>28</v>
      </c>
      <c r="N14">
        <v>28</v>
      </c>
      <c r="O14" s="23">
        <f t="shared" si="0"/>
        <v>23</v>
      </c>
      <c r="P14" s="23">
        <f t="shared" si="1"/>
        <v>6.8</v>
      </c>
      <c r="Q14">
        <f t="shared" si="2"/>
        <v>-9</v>
      </c>
    </row>
    <row r="15" spans="1:17" x14ac:dyDescent="0.25">
      <c r="A15" s="14">
        <v>20</v>
      </c>
      <c r="B15" s="24">
        <v>45852</v>
      </c>
      <c r="C15" s="16">
        <v>24</v>
      </c>
      <c r="D15">
        <v>23</v>
      </c>
      <c r="E15">
        <v>18</v>
      </c>
      <c r="F15">
        <v>21</v>
      </c>
      <c r="G15">
        <v>19</v>
      </c>
      <c r="H15">
        <v>18</v>
      </c>
      <c r="I15">
        <v>23</v>
      </c>
      <c r="J15">
        <v>18</v>
      </c>
      <c r="K15">
        <v>12</v>
      </c>
      <c r="L15">
        <v>23</v>
      </c>
      <c r="M15">
        <v>32</v>
      </c>
      <c r="N15">
        <v>33</v>
      </c>
      <c r="O15" s="23">
        <f t="shared" si="0"/>
        <v>22</v>
      </c>
      <c r="P15" s="23">
        <f t="shared" si="1"/>
        <v>5.67</v>
      </c>
      <c r="Q15">
        <f t="shared" si="2"/>
        <v>2</v>
      </c>
    </row>
    <row r="16" spans="1:17" x14ac:dyDescent="0.25">
      <c r="A16" s="14">
        <v>11</v>
      </c>
      <c r="B16" s="24">
        <v>45853</v>
      </c>
      <c r="C16" s="16">
        <v>44</v>
      </c>
      <c r="D16">
        <v>42</v>
      </c>
      <c r="E16">
        <v>54</v>
      </c>
      <c r="F16">
        <v>35</v>
      </c>
      <c r="G16">
        <v>39</v>
      </c>
      <c r="H16">
        <v>79</v>
      </c>
      <c r="I16">
        <v>38</v>
      </c>
      <c r="J16">
        <v>75</v>
      </c>
      <c r="K16">
        <v>36</v>
      </c>
      <c r="L16">
        <v>44</v>
      </c>
      <c r="M16">
        <v>37</v>
      </c>
      <c r="N16">
        <v>36</v>
      </c>
      <c r="O16" s="23">
        <f t="shared" si="0"/>
        <v>47</v>
      </c>
      <c r="P16" s="23">
        <f t="shared" si="1"/>
        <v>14.52</v>
      </c>
      <c r="Q16">
        <f t="shared" si="2"/>
        <v>36</v>
      </c>
    </row>
    <row r="17" spans="1:17" x14ac:dyDescent="0.25">
      <c r="A17" s="14">
        <v>27</v>
      </c>
      <c r="B17" s="24">
        <v>45854</v>
      </c>
      <c r="C17" s="16">
        <v>22</v>
      </c>
      <c r="D17">
        <v>17</v>
      </c>
      <c r="E17">
        <v>18</v>
      </c>
      <c r="F17">
        <v>22</v>
      </c>
      <c r="G17">
        <v>10</v>
      </c>
      <c r="H17">
        <v>18</v>
      </c>
      <c r="I17">
        <v>10</v>
      </c>
      <c r="J17">
        <v>30</v>
      </c>
      <c r="K17">
        <v>22</v>
      </c>
      <c r="L17">
        <v>22</v>
      </c>
      <c r="M17">
        <v>21</v>
      </c>
      <c r="N17">
        <v>12</v>
      </c>
      <c r="O17" s="23">
        <f t="shared" si="0"/>
        <v>19</v>
      </c>
      <c r="P17" s="23">
        <f t="shared" si="1"/>
        <v>5.6</v>
      </c>
      <c r="Q17">
        <f t="shared" si="2"/>
        <v>-8</v>
      </c>
    </row>
    <row r="18" spans="1:17" x14ac:dyDescent="0.25">
      <c r="A18" s="14">
        <v>15</v>
      </c>
      <c r="B18" s="24">
        <v>45855</v>
      </c>
      <c r="C18" s="16">
        <v>24</v>
      </c>
      <c r="D18">
        <v>22</v>
      </c>
      <c r="E18">
        <v>26</v>
      </c>
      <c r="F18">
        <v>23</v>
      </c>
      <c r="G18">
        <v>14</v>
      </c>
      <c r="H18">
        <v>19</v>
      </c>
      <c r="I18">
        <v>20</v>
      </c>
      <c r="J18">
        <v>16</v>
      </c>
      <c r="K18">
        <v>24</v>
      </c>
      <c r="L18">
        <v>25</v>
      </c>
      <c r="M18">
        <v>47</v>
      </c>
      <c r="N18">
        <v>18</v>
      </c>
      <c r="O18" s="23">
        <f t="shared" si="0"/>
        <v>23</v>
      </c>
      <c r="P18" s="23">
        <f t="shared" si="1"/>
        <v>8.02</v>
      </c>
      <c r="Q18">
        <f t="shared" si="2"/>
        <v>8</v>
      </c>
    </row>
    <row r="19" spans="1:17" x14ac:dyDescent="0.25">
      <c r="A19" s="14">
        <v>27</v>
      </c>
      <c r="B19" s="24">
        <v>45856</v>
      </c>
      <c r="C19" s="16">
        <v>21</v>
      </c>
      <c r="D19">
        <v>10</v>
      </c>
      <c r="E19">
        <v>16</v>
      </c>
      <c r="F19">
        <v>17</v>
      </c>
      <c r="G19">
        <v>11</v>
      </c>
      <c r="H19">
        <v>10</v>
      </c>
      <c r="I19">
        <v>15</v>
      </c>
      <c r="J19">
        <v>17</v>
      </c>
      <c r="K19">
        <v>16</v>
      </c>
      <c r="L19">
        <v>20</v>
      </c>
      <c r="M19">
        <v>19</v>
      </c>
      <c r="N19">
        <v>6</v>
      </c>
      <c r="O19" s="23">
        <f t="shared" si="0"/>
        <v>15</v>
      </c>
      <c r="P19" s="23">
        <f t="shared" si="1"/>
        <v>4.41</v>
      </c>
      <c r="Q19">
        <f t="shared" si="2"/>
        <v>-12</v>
      </c>
    </row>
    <row r="20" spans="1:17" x14ac:dyDescent="0.25">
      <c r="A20" s="14">
        <v>35</v>
      </c>
      <c r="B20" s="24">
        <v>45857</v>
      </c>
      <c r="C20" s="16">
        <v>20</v>
      </c>
      <c r="D20">
        <v>19</v>
      </c>
      <c r="E20">
        <v>34</v>
      </c>
      <c r="F20">
        <v>24</v>
      </c>
      <c r="G20">
        <v>17</v>
      </c>
      <c r="H20">
        <v>22</v>
      </c>
      <c r="I20">
        <v>28</v>
      </c>
      <c r="J20">
        <v>40</v>
      </c>
      <c r="K20">
        <v>46</v>
      </c>
      <c r="L20">
        <v>28</v>
      </c>
      <c r="M20">
        <v>25</v>
      </c>
      <c r="N20">
        <v>31</v>
      </c>
      <c r="O20" s="23">
        <f t="shared" si="0"/>
        <v>28</v>
      </c>
      <c r="P20" s="23">
        <f t="shared" si="1"/>
        <v>8.36</v>
      </c>
      <c r="Q20">
        <f t="shared" si="2"/>
        <v>-7</v>
      </c>
    </row>
    <row r="21" spans="1:17" x14ac:dyDescent="0.25">
      <c r="A21" s="14">
        <v>20</v>
      </c>
      <c r="B21" s="24">
        <v>45858</v>
      </c>
      <c r="C21" s="16">
        <v>54</v>
      </c>
      <c r="D21">
        <v>52</v>
      </c>
      <c r="E21">
        <v>51</v>
      </c>
      <c r="F21">
        <v>50</v>
      </c>
      <c r="G21">
        <v>36</v>
      </c>
      <c r="H21">
        <v>43</v>
      </c>
      <c r="I21">
        <v>45</v>
      </c>
      <c r="J21">
        <v>44</v>
      </c>
      <c r="K21">
        <v>40</v>
      </c>
      <c r="L21">
        <v>42</v>
      </c>
      <c r="O21" s="23">
        <f t="shared" si="0"/>
        <v>46</v>
      </c>
      <c r="P21" s="23">
        <f t="shared" si="1"/>
        <v>5.53</v>
      </c>
      <c r="Q21">
        <f t="shared" si="2"/>
        <v>26</v>
      </c>
    </row>
    <row r="22" spans="1:17" x14ac:dyDescent="0.25">
      <c r="A22" s="14">
        <v>12</v>
      </c>
      <c r="B22" s="24">
        <v>45859</v>
      </c>
      <c r="C22" s="16">
        <v>32</v>
      </c>
      <c r="D22">
        <v>31</v>
      </c>
      <c r="E22">
        <v>27</v>
      </c>
      <c r="F22">
        <v>21</v>
      </c>
      <c r="G22">
        <v>24</v>
      </c>
      <c r="H22">
        <v>31</v>
      </c>
      <c r="I22">
        <v>24</v>
      </c>
      <c r="J22">
        <v>28</v>
      </c>
      <c r="K22">
        <v>19</v>
      </c>
      <c r="L22">
        <v>17</v>
      </c>
      <c r="O22" s="23">
        <f t="shared" si="0"/>
        <v>25</v>
      </c>
      <c r="P22" s="23">
        <f t="shared" si="1"/>
        <v>5</v>
      </c>
      <c r="Q22">
        <f t="shared" si="2"/>
        <v>13</v>
      </c>
    </row>
    <row r="23" spans="1:17" x14ac:dyDescent="0.25">
      <c r="A23" s="14">
        <v>14</v>
      </c>
      <c r="B23" s="24">
        <v>45860</v>
      </c>
      <c r="C23" s="16">
        <v>13</v>
      </c>
      <c r="D23">
        <v>15</v>
      </c>
      <c r="O23" s="23">
        <f t="shared" si="0"/>
        <v>14</v>
      </c>
      <c r="P23" s="23">
        <f t="shared" si="1"/>
        <v>1</v>
      </c>
      <c r="Q23">
        <f t="shared" si="2"/>
        <v>0</v>
      </c>
    </row>
    <row r="24" spans="1:17" x14ac:dyDescent="0.25">
      <c r="A24" s="14">
        <v>31</v>
      </c>
      <c r="B24" s="24">
        <v>45861</v>
      </c>
      <c r="C24" s="16">
        <v>13</v>
      </c>
      <c r="D24">
        <v>10</v>
      </c>
      <c r="E24">
        <v>9</v>
      </c>
      <c r="F24">
        <v>14</v>
      </c>
      <c r="G24">
        <v>11</v>
      </c>
      <c r="H24">
        <v>14</v>
      </c>
      <c r="I24">
        <v>12</v>
      </c>
      <c r="J24">
        <v>11</v>
      </c>
      <c r="K24">
        <v>12</v>
      </c>
      <c r="L24">
        <v>13</v>
      </c>
      <c r="O24" s="23">
        <f t="shared" si="0"/>
        <v>12</v>
      </c>
      <c r="P24" s="23">
        <f t="shared" si="1"/>
        <v>1.58</v>
      </c>
      <c r="Q24">
        <f t="shared" si="2"/>
        <v>-19</v>
      </c>
    </row>
    <row r="25" spans="1:17" x14ac:dyDescent="0.25">
      <c r="A25" s="14">
        <v>24</v>
      </c>
      <c r="B25" s="24">
        <v>45862</v>
      </c>
      <c r="C25" s="16">
        <v>11</v>
      </c>
      <c r="D25">
        <v>8</v>
      </c>
      <c r="E25">
        <v>10</v>
      </c>
      <c r="F25">
        <v>10</v>
      </c>
      <c r="G25">
        <v>8</v>
      </c>
      <c r="H25">
        <v>19</v>
      </c>
      <c r="I25">
        <v>11</v>
      </c>
      <c r="J25">
        <v>11</v>
      </c>
      <c r="K25">
        <v>13</v>
      </c>
      <c r="L25">
        <v>11</v>
      </c>
      <c r="O25" s="23">
        <f t="shared" si="0"/>
        <v>11</v>
      </c>
      <c r="P25" s="23">
        <f t="shared" si="1"/>
        <v>2.96</v>
      </c>
      <c r="Q25">
        <f t="shared" si="2"/>
        <v>-13</v>
      </c>
    </row>
    <row r="26" spans="1:17" x14ac:dyDescent="0.25">
      <c r="A26" s="14">
        <v>21</v>
      </c>
      <c r="B26" s="24">
        <v>45863</v>
      </c>
      <c r="C26" s="16">
        <v>16</v>
      </c>
      <c r="D26" s="16">
        <v>12</v>
      </c>
      <c r="E26" s="16">
        <v>15</v>
      </c>
      <c r="F26" s="16">
        <v>21</v>
      </c>
      <c r="G26" s="16">
        <v>17</v>
      </c>
      <c r="H26" s="20">
        <v>16</v>
      </c>
      <c r="I26" s="16">
        <v>18</v>
      </c>
      <c r="J26" s="16">
        <v>18</v>
      </c>
      <c r="K26" s="16">
        <v>19</v>
      </c>
      <c r="L26" s="16">
        <v>14</v>
      </c>
      <c r="N26" s="17"/>
      <c r="O26" s="23">
        <f t="shared" si="0"/>
        <v>17</v>
      </c>
      <c r="P26" s="23">
        <f t="shared" si="1"/>
        <v>2.46</v>
      </c>
      <c r="Q26">
        <f t="shared" si="2"/>
        <v>-4</v>
      </c>
    </row>
    <row r="27" spans="1:17" x14ac:dyDescent="0.25">
      <c r="A27" s="14">
        <v>35</v>
      </c>
      <c r="B27" s="24">
        <v>45864</v>
      </c>
      <c r="C27" s="16">
        <v>24</v>
      </c>
      <c r="D27" s="16">
        <v>23</v>
      </c>
      <c r="E27" s="16">
        <v>21</v>
      </c>
      <c r="F27" s="16">
        <v>25</v>
      </c>
      <c r="G27" s="16">
        <v>21</v>
      </c>
      <c r="H27" s="20">
        <v>23</v>
      </c>
      <c r="I27" s="16">
        <v>21</v>
      </c>
      <c r="J27" s="16">
        <v>21</v>
      </c>
      <c r="K27" s="16">
        <v>20</v>
      </c>
      <c r="L27" s="16">
        <v>21</v>
      </c>
      <c r="N27" s="17"/>
      <c r="O27" s="23">
        <f t="shared" si="0"/>
        <v>22</v>
      </c>
      <c r="P27" s="23">
        <f t="shared" si="1"/>
        <v>1.55</v>
      </c>
      <c r="Q27">
        <f t="shared" si="2"/>
        <v>-13</v>
      </c>
    </row>
    <row r="28" spans="1:17" x14ac:dyDescent="0.25">
      <c r="A28" s="14">
        <v>31</v>
      </c>
      <c r="B28" s="24">
        <v>45865</v>
      </c>
      <c r="C28" s="16">
        <v>13</v>
      </c>
      <c r="D28" s="16">
        <v>18</v>
      </c>
      <c r="E28" s="16">
        <v>17</v>
      </c>
      <c r="F28" s="16">
        <v>13</v>
      </c>
      <c r="G28" s="16">
        <v>16</v>
      </c>
      <c r="H28" s="20">
        <v>16</v>
      </c>
      <c r="I28" s="16">
        <v>13</v>
      </c>
      <c r="J28" s="16">
        <v>18</v>
      </c>
      <c r="K28" s="16">
        <v>16</v>
      </c>
      <c r="L28" s="16">
        <v>17</v>
      </c>
      <c r="N28" s="17"/>
      <c r="O28" s="23">
        <f t="shared" si="0"/>
        <v>16</v>
      </c>
      <c r="P28" s="23">
        <f t="shared" si="1"/>
        <v>1.9</v>
      </c>
      <c r="Q28">
        <f t="shared" si="2"/>
        <v>-15</v>
      </c>
    </row>
    <row r="29" spans="1:17" x14ac:dyDescent="0.25">
      <c r="A29" s="14">
        <v>11</v>
      </c>
      <c r="B29" s="24">
        <v>45866</v>
      </c>
      <c r="C29" s="16">
        <v>14</v>
      </c>
      <c r="D29" s="16">
        <v>14</v>
      </c>
      <c r="E29" s="16">
        <v>14</v>
      </c>
      <c r="F29" s="16">
        <v>12</v>
      </c>
      <c r="G29" s="16">
        <v>13</v>
      </c>
      <c r="H29" s="20">
        <v>13</v>
      </c>
      <c r="I29" s="16">
        <v>13</v>
      </c>
      <c r="J29" s="16">
        <v>8</v>
      </c>
      <c r="K29" s="16">
        <v>13</v>
      </c>
      <c r="L29" s="16">
        <v>13</v>
      </c>
      <c r="N29" s="17"/>
      <c r="O29" s="23">
        <f t="shared" si="0"/>
        <v>13</v>
      </c>
      <c r="P29" s="23">
        <f t="shared" si="1"/>
        <v>1.68</v>
      </c>
      <c r="Q29">
        <f t="shared" si="2"/>
        <v>2</v>
      </c>
    </row>
    <row r="30" spans="1:17" x14ac:dyDescent="0.25">
      <c r="A30" s="14">
        <v>4</v>
      </c>
      <c r="B30" s="24">
        <v>45867</v>
      </c>
      <c r="C30" s="16">
        <v>16</v>
      </c>
      <c r="D30" s="16">
        <v>13</v>
      </c>
      <c r="E30" s="16">
        <v>18</v>
      </c>
      <c r="F30" s="16">
        <v>17</v>
      </c>
      <c r="G30" s="16">
        <v>12</v>
      </c>
      <c r="H30" s="20">
        <v>18</v>
      </c>
      <c r="I30" s="16">
        <v>13</v>
      </c>
      <c r="J30" s="16">
        <v>13</v>
      </c>
      <c r="K30" s="16">
        <v>15</v>
      </c>
      <c r="L30" s="16">
        <v>15</v>
      </c>
      <c r="N30" s="17"/>
      <c r="O30" s="23">
        <f t="shared" si="0"/>
        <v>15</v>
      </c>
      <c r="P30" s="23">
        <f t="shared" si="1"/>
        <v>2.1</v>
      </c>
      <c r="Q30">
        <f t="shared" si="2"/>
        <v>11</v>
      </c>
    </row>
    <row r="31" spans="1:17" x14ac:dyDescent="0.25">
      <c r="A31" s="14">
        <v>14</v>
      </c>
      <c r="B31" s="24">
        <v>45868</v>
      </c>
      <c r="C31" s="16">
        <v>9</v>
      </c>
      <c r="D31" s="16">
        <v>7</v>
      </c>
      <c r="E31" s="16">
        <v>10</v>
      </c>
      <c r="F31" s="16">
        <v>10</v>
      </c>
      <c r="G31" s="16">
        <v>8</v>
      </c>
      <c r="H31" s="20">
        <v>6</v>
      </c>
      <c r="I31" s="16">
        <v>10</v>
      </c>
      <c r="J31" s="16">
        <v>10</v>
      </c>
      <c r="K31" s="16">
        <v>8</v>
      </c>
      <c r="L31" s="16">
        <v>9</v>
      </c>
      <c r="M31">
        <v>8</v>
      </c>
      <c r="N31" s="17">
        <v>10</v>
      </c>
      <c r="O31" s="23">
        <f t="shared" si="0"/>
        <v>9</v>
      </c>
      <c r="P31" s="23">
        <f t="shared" si="1"/>
        <v>1.3</v>
      </c>
      <c r="Q31">
        <f t="shared" si="2"/>
        <v>-5</v>
      </c>
    </row>
    <row r="32" spans="1:17" x14ac:dyDescent="0.25">
      <c r="A32" s="14">
        <v>41</v>
      </c>
      <c r="B32" s="24">
        <v>45869</v>
      </c>
      <c r="C32" s="16">
        <v>14</v>
      </c>
      <c r="D32" s="16">
        <v>19</v>
      </c>
      <c r="E32" s="16">
        <v>20</v>
      </c>
      <c r="F32" s="16">
        <v>16</v>
      </c>
      <c r="G32" s="16">
        <v>16</v>
      </c>
      <c r="H32" s="20">
        <v>18</v>
      </c>
      <c r="I32" s="16">
        <v>17</v>
      </c>
      <c r="J32" s="16">
        <v>15</v>
      </c>
      <c r="K32" s="16">
        <v>18</v>
      </c>
      <c r="L32" s="16">
        <v>19</v>
      </c>
      <c r="M32">
        <v>19</v>
      </c>
      <c r="N32" s="17">
        <v>16</v>
      </c>
      <c r="O32" s="23">
        <f t="shared" si="0"/>
        <v>17</v>
      </c>
      <c r="P32" s="23">
        <f t="shared" si="1"/>
        <v>1.79</v>
      </c>
      <c r="Q32">
        <f t="shared" si="2"/>
        <v>-24</v>
      </c>
    </row>
    <row r="33" spans="1:17" x14ac:dyDescent="0.25">
      <c r="A33">
        <v>24</v>
      </c>
      <c r="B33" s="24">
        <v>45870</v>
      </c>
      <c r="C33" s="16">
        <v>35</v>
      </c>
      <c r="D33" s="16">
        <v>32</v>
      </c>
      <c r="E33" s="16">
        <v>30</v>
      </c>
      <c r="F33" s="16">
        <v>34</v>
      </c>
      <c r="G33" s="16">
        <v>25</v>
      </c>
      <c r="H33" s="20">
        <v>33</v>
      </c>
      <c r="I33" s="16">
        <v>33</v>
      </c>
      <c r="J33" s="16">
        <v>31</v>
      </c>
      <c r="K33" s="16">
        <v>33</v>
      </c>
      <c r="L33" s="16">
        <v>28</v>
      </c>
      <c r="M33">
        <v>36</v>
      </c>
      <c r="N33" s="17">
        <v>37</v>
      </c>
      <c r="O33" s="23">
        <f t="shared" si="0"/>
        <v>32</v>
      </c>
      <c r="P33" s="23">
        <f t="shared" si="1"/>
        <v>3.24</v>
      </c>
      <c r="Q33">
        <f t="shared" si="2"/>
        <v>8</v>
      </c>
    </row>
    <row r="34" spans="1:17" x14ac:dyDescent="0.25">
      <c r="A34">
        <v>87</v>
      </c>
      <c r="B34" s="24">
        <v>45871</v>
      </c>
      <c r="C34" s="16">
        <v>18</v>
      </c>
      <c r="D34" s="16">
        <v>17</v>
      </c>
      <c r="E34" s="16">
        <v>16</v>
      </c>
      <c r="F34" s="16">
        <v>16</v>
      </c>
      <c r="G34" s="16">
        <v>17</v>
      </c>
      <c r="H34" s="20">
        <v>17</v>
      </c>
      <c r="I34" s="16">
        <v>17</v>
      </c>
      <c r="J34" s="16">
        <v>17</v>
      </c>
      <c r="K34" s="16">
        <v>17</v>
      </c>
      <c r="L34" s="16">
        <v>18</v>
      </c>
      <c r="M34">
        <v>15</v>
      </c>
      <c r="N34" s="17">
        <v>19</v>
      </c>
      <c r="O34" s="23">
        <f t="shared" si="0"/>
        <v>17</v>
      </c>
      <c r="P34" s="23">
        <f t="shared" si="1"/>
        <v>1</v>
      </c>
      <c r="Q34">
        <f t="shared" si="2"/>
        <v>-70</v>
      </c>
    </row>
    <row r="35" spans="1:17" x14ac:dyDescent="0.25">
      <c r="A35">
        <v>34</v>
      </c>
      <c r="B35" s="24">
        <v>45872</v>
      </c>
      <c r="C35" s="16">
        <v>38</v>
      </c>
      <c r="D35" s="16">
        <v>55</v>
      </c>
      <c r="E35" s="16">
        <v>39</v>
      </c>
      <c r="F35" s="16">
        <v>54</v>
      </c>
      <c r="G35" s="16">
        <v>49</v>
      </c>
      <c r="H35" s="20">
        <v>46</v>
      </c>
      <c r="I35" s="16">
        <v>51</v>
      </c>
      <c r="J35" s="16">
        <v>40</v>
      </c>
      <c r="K35" s="16">
        <v>57</v>
      </c>
      <c r="L35" s="16">
        <v>38</v>
      </c>
      <c r="M35">
        <v>35</v>
      </c>
      <c r="N35" s="17">
        <v>41</v>
      </c>
      <c r="O35" s="23">
        <f t="shared" si="0"/>
        <v>45</v>
      </c>
      <c r="P35" s="23">
        <f t="shared" si="1"/>
        <v>7.37</v>
      </c>
      <c r="Q35">
        <f t="shared" si="2"/>
        <v>11</v>
      </c>
    </row>
    <row r="36" spans="1:17" x14ac:dyDescent="0.25">
      <c r="A36">
        <v>16</v>
      </c>
      <c r="B36" s="24">
        <v>45873</v>
      </c>
      <c r="C36" s="16">
        <v>22</v>
      </c>
      <c r="D36" s="16">
        <v>27</v>
      </c>
      <c r="E36" s="16">
        <v>25</v>
      </c>
      <c r="F36" s="16">
        <v>25</v>
      </c>
      <c r="G36" s="16">
        <v>23</v>
      </c>
      <c r="H36" s="20">
        <v>27</v>
      </c>
      <c r="I36" s="16">
        <v>24</v>
      </c>
      <c r="J36" s="16">
        <v>24</v>
      </c>
      <c r="K36" s="16">
        <v>25</v>
      </c>
      <c r="L36" s="16">
        <v>23</v>
      </c>
      <c r="M36">
        <v>22</v>
      </c>
      <c r="N36" s="17">
        <v>25</v>
      </c>
      <c r="O36" s="23">
        <f t="shared" si="0"/>
        <v>24</v>
      </c>
      <c r="P36" s="23">
        <f t="shared" si="1"/>
        <v>1.6</v>
      </c>
      <c r="Q36">
        <f t="shared" si="2"/>
        <v>8</v>
      </c>
    </row>
    <row r="37" spans="1:17" x14ac:dyDescent="0.25">
      <c r="A37">
        <v>10</v>
      </c>
      <c r="B37" s="24">
        <v>45874</v>
      </c>
      <c r="C37" s="16">
        <v>24</v>
      </c>
      <c r="D37" s="16">
        <v>24</v>
      </c>
      <c r="E37" s="16">
        <v>26</v>
      </c>
      <c r="F37" s="16">
        <v>25</v>
      </c>
      <c r="G37" s="16">
        <v>22</v>
      </c>
      <c r="H37" s="20">
        <v>25</v>
      </c>
      <c r="I37" s="16">
        <v>25</v>
      </c>
      <c r="J37" s="16">
        <v>24</v>
      </c>
      <c r="K37" s="16">
        <v>22</v>
      </c>
      <c r="L37" s="16">
        <v>22</v>
      </c>
      <c r="M37">
        <v>24</v>
      </c>
      <c r="N37" s="17">
        <v>25</v>
      </c>
      <c r="O37" s="23">
        <f t="shared" si="0"/>
        <v>24</v>
      </c>
      <c r="P37" s="23">
        <f t="shared" si="1"/>
        <v>1.29</v>
      </c>
      <c r="Q37">
        <f t="shared" si="2"/>
        <v>14</v>
      </c>
    </row>
    <row r="38" spans="1:17" x14ac:dyDescent="0.25">
      <c r="A38">
        <v>23</v>
      </c>
      <c r="B38" s="24">
        <v>45875</v>
      </c>
      <c r="C38" s="16">
        <v>28</v>
      </c>
      <c r="D38" s="16">
        <v>30</v>
      </c>
      <c r="E38" s="16">
        <v>29</v>
      </c>
      <c r="F38" s="16">
        <v>35</v>
      </c>
      <c r="G38" s="16">
        <v>26</v>
      </c>
      <c r="H38" s="20">
        <v>31</v>
      </c>
      <c r="I38" s="16">
        <v>30</v>
      </c>
      <c r="J38" s="16">
        <v>31</v>
      </c>
      <c r="K38" s="16">
        <v>30</v>
      </c>
      <c r="L38" s="16">
        <v>32</v>
      </c>
      <c r="M38">
        <v>30</v>
      </c>
      <c r="N38" s="17">
        <v>30</v>
      </c>
      <c r="O38" s="23">
        <f t="shared" si="0"/>
        <v>30</v>
      </c>
      <c r="P38" s="23">
        <f t="shared" si="1"/>
        <v>2.0699999999999998</v>
      </c>
      <c r="Q38">
        <f t="shared" si="2"/>
        <v>7</v>
      </c>
    </row>
    <row r="39" spans="1:17" x14ac:dyDescent="0.25">
      <c r="A39">
        <v>24</v>
      </c>
      <c r="B39" s="24">
        <v>45876</v>
      </c>
      <c r="C39" s="16">
        <v>27</v>
      </c>
      <c r="D39" s="16">
        <v>28</v>
      </c>
      <c r="E39" s="16">
        <v>28</v>
      </c>
      <c r="F39" s="16">
        <v>24</v>
      </c>
      <c r="G39" s="16">
        <v>28</v>
      </c>
      <c r="H39" s="20">
        <v>27</v>
      </c>
      <c r="I39" s="16">
        <v>23</v>
      </c>
      <c r="J39" s="16">
        <v>26</v>
      </c>
      <c r="K39" s="16">
        <v>26</v>
      </c>
      <c r="L39" s="16">
        <v>28</v>
      </c>
      <c r="M39">
        <v>26</v>
      </c>
      <c r="N39" s="17">
        <v>26</v>
      </c>
      <c r="O39" s="23">
        <f t="shared" si="0"/>
        <v>26</v>
      </c>
      <c r="P39" s="23">
        <f t="shared" si="1"/>
        <v>1.55</v>
      </c>
      <c r="Q39">
        <f t="shared" si="2"/>
        <v>2</v>
      </c>
    </row>
    <row r="40" spans="1:17" x14ac:dyDescent="0.25">
      <c r="A40">
        <v>32</v>
      </c>
      <c r="B40" s="24">
        <v>45877</v>
      </c>
      <c r="C40" s="16">
        <v>20</v>
      </c>
      <c r="D40" s="16">
        <v>18</v>
      </c>
      <c r="E40" s="16">
        <v>22</v>
      </c>
      <c r="F40" s="16">
        <v>21</v>
      </c>
      <c r="G40" s="16">
        <v>24</v>
      </c>
      <c r="H40" s="20">
        <v>24</v>
      </c>
      <c r="I40" s="16">
        <v>17</v>
      </c>
      <c r="J40" s="16">
        <v>22</v>
      </c>
      <c r="K40" s="16">
        <v>19</v>
      </c>
      <c r="L40" s="16">
        <v>21</v>
      </c>
      <c r="M40">
        <v>21</v>
      </c>
      <c r="N40" s="17">
        <v>23</v>
      </c>
      <c r="O40" s="23">
        <f t="shared" si="0"/>
        <v>21</v>
      </c>
      <c r="P40" s="23">
        <f t="shared" si="1"/>
        <v>2.12</v>
      </c>
      <c r="Q40">
        <f t="shared" si="2"/>
        <v>-11</v>
      </c>
    </row>
    <row r="41" spans="1:17" x14ac:dyDescent="0.25">
      <c r="A41">
        <v>33</v>
      </c>
      <c r="B41" s="24">
        <v>45878</v>
      </c>
      <c r="C41" s="16">
        <v>14</v>
      </c>
      <c r="D41" s="16">
        <v>15</v>
      </c>
      <c r="E41" s="16">
        <v>14</v>
      </c>
      <c r="F41" s="16">
        <v>19</v>
      </c>
      <c r="G41" s="16">
        <v>16</v>
      </c>
      <c r="H41" s="20">
        <v>19</v>
      </c>
      <c r="I41" s="16">
        <v>20</v>
      </c>
      <c r="J41" s="16">
        <v>16</v>
      </c>
      <c r="K41" s="16">
        <v>14</v>
      </c>
      <c r="L41" s="16">
        <v>14</v>
      </c>
      <c r="M41">
        <v>24</v>
      </c>
      <c r="N41" s="17">
        <v>19</v>
      </c>
      <c r="O41" s="23">
        <f t="shared" si="0"/>
        <v>17</v>
      </c>
      <c r="P41" s="23">
        <f t="shared" si="1"/>
        <v>3.06</v>
      </c>
      <c r="Q41">
        <f t="shared" si="2"/>
        <v>-16</v>
      </c>
    </row>
    <row r="42" spans="1:17" x14ac:dyDescent="0.25">
      <c r="A42">
        <v>52</v>
      </c>
      <c r="B42" s="24">
        <v>45879</v>
      </c>
      <c r="C42" s="16">
        <v>20</v>
      </c>
      <c r="D42" s="16">
        <v>21</v>
      </c>
      <c r="E42" s="16">
        <v>18</v>
      </c>
      <c r="F42" s="16">
        <v>14</v>
      </c>
      <c r="G42" s="16">
        <v>17</v>
      </c>
      <c r="H42" s="20">
        <v>17</v>
      </c>
      <c r="I42" s="16">
        <v>16</v>
      </c>
      <c r="J42" s="16">
        <v>18</v>
      </c>
      <c r="K42" s="16">
        <v>15</v>
      </c>
      <c r="L42" s="16">
        <v>19</v>
      </c>
      <c r="M42">
        <v>17</v>
      </c>
      <c r="N42" s="17">
        <v>19</v>
      </c>
      <c r="O42" s="23">
        <f t="shared" si="0"/>
        <v>18</v>
      </c>
      <c r="P42" s="23">
        <f t="shared" si="1"/>
        <v>1.93</v>
      </c>
      <c r="Q42">
        <f t="shared" si="2"/>
        <v>-34</v>
      </c>
    </row>
    <row r="43" spans="1:17" x14ac:dyDescent="0.25">
      <c r="A43">
        <v>17</v>
      </c>
      <c r="B43" s="24">
        <v>45880</v>
      </c>
      <c r="C43" s="16">
        <v>23</v>
      </c>
      <c r="D43" s="16">
        <v>22</v>
      </c>
      <c r="E43" s="16">
        <v>19</v>
      </c>
      <c r="F43" s="16">
        <v>19</v>
      </c>
      <c r="G43" s="16">
        <v>20</v>
      </c>
      <c r="H43" s="20">
        <v>16</v>
      </c>
      <c r="I43" s="16">
        <v>20</v>
      </c>
      <c r="J43" s="16">
        <v>17</v>
      </c>
      <c r="K43" s="16">
        <v>20</v>
      </c>
      <c r="L43" s="16">
        <v>24</v>
      </c>
      <c r="M43">
        <v>18</v>
      </c>
      <c r="N43" s="17">
        <v>20</v>
      </c>
      <c r="O43" s="23">
        <f t="shared" si="0"/>
        <v>20</v>
      </c>
      <c r="P43" s="23">
        <f t="shared" si="1"/>
        <v>2.23</v>
      </c>
      <c r="Q43">
        <f t="shared" si="2"/>
        <v>3</v>
      </c>
    </row>
    <row r="44" spans="1:17" x14ac:dyDescent="0.25">
      <c r="A44">
        <v>11</v>
      </c>
      <c r="B44" s="24">
        <v>45881</v>
      </c>
      <c r="C44" s="16">
        <v>24</v>
      </c>
      <c r="D44" s="16">
        <v>24</v>
      </c>
      <c r="E44" s="16">
        <v>23</v>
      </c>
      <c r="F44" s="16">
        <v>20</v>
      </c>
      <c r="G44" s="16">
        <v>23</v>
      </c>
      <c r="H44" s="20">
        <v>20</v>
      </c>
      <c r="I44" s="16">
        <v>22</v>
      </c>
      <c r="J44" s="16">
        <v>20</v>
      </c>
      <c r="K44" s="16">
        <v>21</v>
      </c>
      <c r="L44" s="16">
        <v>25</v>
      </c>
      <c r="M44">
        <v>23</v>
      </c>
      <c r="N44" s="17">
        <v>25</v>
      </c>
      <c r="O44" s="23">
        <f t="shared" si="0"/>
        <v>23</v>
      </c>
      <c r="P44" s="23">
        <f t="shared" si="1"/>
        <v>1.8</v>
      </c>
      <c r="Q44">
        <f t="shared" si="2"/>
        <v>12</v>
      </c>
    </row>
    <row r="45" spans="1:17" ht="15.75" thickBot="1" x14ac:dyDescent="0.3">
      <c r="A45">
        <v>25</v>
      </c>
      <c r="B45" s="24">
        <v>45882</v>
      </c>
      <c r="C45" s="25">
        <v>22</v>
      </c>
      <c r="D45" s="18">
        <v>23</v>
      </c>
      <c r="E45" s="18">
        <v>21</v>
      </c>
      <c r="F45" s="18">
        <v>26</v>
      </c>
      <c r="G45" s="18">
        <v>22</v>
      </c>
      <c r="H45" s="21">
        <v>24</v>
      </c>
      <c r="I45" s="18">
        <v>23</v>
      </c>
      <c r="J45" s="18">
        <v>22</v>
      </c>
      <c r="K45" s="18">
        <v>22</v>
      </c>
      <c r="L45" s="18">
        <v>22</v>
      </c>
      <c r="M45" s="18">
        <v>22</v>
      </c>
      <c r="N45" s="19">
        <v>27</v>
      </c>
      <c r="O45" s="23">
        <f t="shared" si="0"/>
        <v>23</v>
      </c>
      <c r="P45" s="23">
        <f t="shared" si="1"/>
        <v>1.73</v>
      </c>
      <c r="Q45">
        <f t="shared" si="2"/>
        <v>-2</v>
      </c>
    </row>
    <row r="46" spans="1:17" x14ac:dyDescent="0.25">
      <c r="A46">
        <v>36</v>
      </c>
      <c r="B46" s="24">
        <v>45883</v>
      </c>
      <c r="C46">
        <v>26</v>
      </c>
      <c r="D46">
        <v>24</v>
      </c>
      <c r="E46">
        <v>25</v>
      </c>
      <c r="F46">
        <v>26</v>
      </c>
      <c r="G46">
        <v>27</v>
      </c>
      <c r="H46">
        <v>25</v>
      </c>
      <c r="I46">
        <v>26</v>
      </c>
      <c r="J46">
        <v>25</v>
      </c>
      <c r="K46">
        <v>24</v>
      </c>
      <c r="L46">
        <v>27</v>
      </c>
      <c r="M46">
        <v>24</v>
      </c>
      <c r="N46">
        <v>27</v>
      </c>
      <c r="O46" s="23">
        <f t="shared" si="0"/>
        <v>26</v>
      </c>
      <c r="P46" s="23">
        <f t="shared" si="1"/>
        <v>1.1200000000000001</v>
      </c>
      <c r="Q46">
        <f t="shared" si="2"/>
        <v>-10</v>
      </c>
    </row>
    <row r="47" spans="1:17" x14ac:dyDescent="0.25">
      <c r="A47">
        <v>46</v>
      </c>
      <c r="B47" s="24">
        <v>45884</v>
      </c>
      <c r="C47">
        <v>22</v>
      </c>
      <c r="O47" s="23">
        <f t="shared" si="0"/>
        <v>22</v>
      </c>
      <c r="P47" s="23">
        <f t="shared" si="1"/>
        <v>0</v>
      </c>
      <c r="Q47">
        <f t="shared" si="2"/>
        <v>-24</v>
      </c>
    </row>
    <row r="48" spans="1:17" x14ac:dyDescent="0.25">
      <c r="A48">
        <v>23</v>
      </c>
      <c r="B48" s="24">
        <v>45885</v>
      </c>
      <c r="C48">
        <v>19</v>
      </c>
      <c r="O48" s="23">
        <f t="shared" si="0"/>
        <v>19</v>
      </c>
      <c r="P48" s="23">
        <f t="shared" si="1"/>
        <v>0</v>
      </c>
      <c r="Q48">
        <f t="shared" si="2"/>
        <v>-4</v>
      </c>
    </row>
    <row r="49" spans="1:17" x14ac:dyDescent="0.25">
      <c r="A49">
        <v>58</v>
      </c>
      <c r="B49" s="24">
        <v>45886</v>
      </c>
      <c r="C49">
        <v>16</v>
      </c>
      <c r="O49" s="23">
        <f t="shared" si="0"/>
        <v>16</v>
      </c>
      <c r="P49" s="23">
        <f t="shared" si="1"/>
        <v>0</v>
      </c>
      <c r="Q49">
        <f t="shared" si="2"/>
        <v>-42</v>
      </c>
    </row>
    <row r="50" spans="1:17" x14ac:dyDescent="0.25">
      <c r="A50">
        <v>20</v>
      </c>
      <c r="B50" s="24">
        <v>45887</v>
      </c>
      <c r="C50">
        <v>17</v>
      </c>
      <c r="O50" s="23">
        <f t="shared" si="0"/>
        <v>17</v>
      </c>
      <c r="P50" s="23">
        <f t="shared" si="1"/>
        <v>0</v>
      </c>
      <c r="Q50">
        <f t="shared" si="2"/>
        <v>-3</v>
      </c>
    </row>
    <row r="51" spans="1:17" x14ac:dyDescent="0.25">
      <c r="A51">
        <v>11</v>
      </c>
      <c r="B51" s="24">
        <v>45888</v>
      </c>
      <c r="C51">
        <v>19</v>
      </c>
      <c r="O51" s="23">
        <f t="shared" si="0"/>
        <v>19</v>
      </c>
      <c r="P51" s="23">
        <f t="shared" si="1"/>
        <v>0</v>
      </c>
      <c r="Q51">
        <f t="shared" si="2"/>
        <v>8</v>
      </c>
    </row>
    <row r="52" spans="1:17" x14ac:dyDescent="0.25">
      <c r="A52">
        <v>8</v>
      </c>
      <c r="B52" s="24">
        <v>45889</v>
      </c>
      <c r="C52">
        <v>22</v>
      </c>
      <c r="O52" s="23">
        <f t="shared" si="0"/>
        <v>22</v>
      </c>
      <c r="P52" s="23">
        <f t="shared" si="1"/>
        <v>0</v>
      </c>
      <c r="Q52">
        <f t="shared" si="2"/>
        <v>14</v>
      </c>
    </row>
    <row r="53" spans="1:17" x14ac:dyDescent="0.25">
      <c r="A53">
        <v>10</v>
      </c>
      <c r="B53" s="24">
        <v>45890</v>
      </c>
      <c r="C53">
        <v>25</v>
      </c>
      <c r="O53" s="23">
        <f t="shared" si="0"/>
        <v>25</v>
      </c>
      <c r="P53" s="23">
        <f t="shared" si="1"/>
        <v>0</v>
      </c>
      <c r="Q53">
        <f t="shared" si="2"/>
        <v>15</v>
      </c>
    </row>
    <row r="54" spans="1:17" x14ac:dyDescent="0.25">
      <c r="A54">
        <v>41</v>
      </c>
      <c r="B54" s="24">
        <v>45891</v>
      </c>
      <c r="C54">
        <v>27</v>
      </c>
      <c r="O54" s="23">
        <f t="shared" si="0"/>
        <v>27</v>
      </c>
      <c r="P54" s="23">
        <f t="shared" si="1"/>
        <v>0</v>
      </c>
      <c r="Q54">
        <f t="shared" si="2"/>
        <v>-14</v>
      </c>
    </row>
    <row r="55" spans="1:17" x14ac:dyDescent="0.25">
      <c r="A55">
        <v>42</v>
      </c>
      <c r="B55" s="24">
        <v>45892</v>
      </c>
      <c r="C55">
        <v>18</v>
      </c>
      <c r="O55" s="23">
        <f t="shared" si="0"/>
        <v>18</v>
      </c>
      <c r="P55" s="23">
        <f t="shared" si="1"/>
        <v>0</v>
      </c>
      <c r="Q55">
        <f t="shared" si="2"/>
        <v>-24</v>
      </c>
    </row>
    <row r="56" spans="1:17" x14ac:dyDescent="0.25">
      <c r="A56">
        <v>78</v>
      </c>
      <c r="B56" s="24">
        <v>45893</v>
      </c>
      <c r="C56">
        <v>43</v>
      </c>
      <c r="O56" s="23">
        <f t="shared" si="0"/>
        <v>43</v>
      </c>
      <c r="P56" s="23">
        <f t="shared" si="1"/>
        <v>0</v>
      </c>
      <c r="Q56">
        <f t="shared" si="2"/>
        <v>-35</v>
      </c>
    </row>
    <row r="57" spans="1:17" x14ac:dyDescent="0.25">
      <c r="A57">
        <v>11</v>
      </c>
      <c r="B57" s="24">
        <v>45894</v>
      </c>
      <c r="C57">
        <v>30</v>
      </c>
      <c r="O57" s="23">
        <f t="shared" si="0"/>
        <v>30</v>
      </c>
      <c r="P57" s="23">
        <f t="shared" si="1"/>
        <v>0</v>
      </c>
      <c r="Q57">
        <f t="shared" si="2"/>
        <v>19</v>
      </c>
    </row>
    <row r="58" spans="1:17" x14ac:dyDescent="0.25">
      <c r="A58">
        <v>19</v>
      </c>
      <c r="B58" s="24">
        <v>45895</v>
      </c>
      <c r="C58">
        <v>26</v>
      </c>
      <c r="O58" s="23">
        <f t="shared" si="0"/>
        <v>26</v>
      </c>
      <c r="P58" s="23">
        <f t="shared" si="1"/>
        <v>0</v>
      </c>
      <c r="Q58">
        <f t="shared" si="2"/>
        <v>7</v>
      </c>
    </row>
    <row r="59" spans="1:17" x14ac:dyDescent="0.25">
      <c r="A59">
        <v>27</v>
      </c>
      <c r="B59" s="24">
        <v>45896</v>
      </c>
      <c r="C59">
        <v>28</v>
      </c>
      <c r="O59" s="23">
        <f t="shared" si="0"/>
        <v>28</v>
      </c>
      <c r="P59" s="23">
        <f t="shared" si="1"/>
        <v>0</v>
      </c>
      <c r="Q59">
        <f t="shared" si="2"/>
        <v>1</v>
      </c>
    </row>
    <row r="60" spans="1:17" x14ac:dyDescent="0.25">
      <c r="A60">
        <v>43</v>
      </c>
      <c r="B60" s="24">
        <v>45897</v>
      </c>
      <c r="C60">
        <v>25</v>
      </c>
      <c r="O60" s="23">
        <f t="shared" si="0"/>
        <v>25</v>
      </c>
      <c r="P60" s="23">
        <f t="shared" si="1"/>
        <v>0</v>
      </c>
      <c r="Q60">
        <f t="shared" si="2"/>
        <v>-18</v>
      </c>
    </row>
    <row r="61" spans="1:17" x14ac:dyDescent="0.25">
      <c r="A61">
        <v>51</v>
      </c>
      <c r="B61" s="24">
        <v>45898</v>
      </c>
      <c r="C61">
        <v>23</v>
      </c>
      <c r="O61" s="23">
        <f t="shared" si="0"/>
        <v>23</v>
      </c>
      <c r="P61" s="23">
        <f t="shared" si="1"/>
        <v>0</v>
      </c>
      <c r="Q61">
        <f t="shared" si="2"/>
        <v>-28</v>
      </c>
    </row>
    <row r="62" spans="1:17" x14ac:dyDescent="0.25">
      <c r="A62">
        <v>45</v>
      </c>
      <c r="B62" s="24">
        <v>45899</v>
      </c>
      <c r="C62">
        <v>17</v>
      </c>
      <c r="O62" s="23">
        <f t="shared" si="0"/>
        <v>17</v>
      </c>
      <c r="P62" s="23">
        <f t="shared" si="1"/>
        <v>0</v>
      </c>
      <c r="Q62">
        <f t="shared" si="2"/>
        <v>-28</v>
      </c>
    </row>
    <row r="63" spans="1:17" x14ac:dyDescent="0.25">
      <c r="A63">
        <v>62</v>
      </c>
      <c r="B63" s="24">
        <v>45900</v>
      </c>
      <c r="C63">
        <v>41</v>
      </c>
      <c r="O63" s="23">
        <f t="shared" si="0"/>
        <v>41</v>
      </c>
      <c r="P63" s="23">
        <f t="shared" si="1"/>
        <v>0</v>
      </c>
      <c r="Q63">
        <f t="shared" si="2"/>
        <v>-21</v>
      </c>
    </row>
    <row r="64" spans="1:17" x14ac:dyDescent="0.25">
      <c r="A64" s="14">
        <v>0</v>
      </c>
      <c r="B64" s="27">
        <v>45901</v>
      </c>
      <c r="C64">
        <v>35</v>
      </c>
      <c r="D64" s="26">
        <v>18</v>
      </c>
      <c r="E64" s="26">
        <v>26</v>
      </c>
      <c r="F64" s="26">
        <v>26</v>
      </c>
      <c r="G64" s="26">
        <v>26</v>
      </c>
      <c r="H64" s="26"/>
      <c r="I64" s="26"/>
      <c r="J64" s="26"/>
      <c r="K64" s="26"/>
      <c r="L64" s="26"/>
      <c r="M64" s="26"/>
      <c r="N64" s="26"/>
      <c r="O64" s="28">
        <f>ROUND(AVERAGE(C64:N64),0)</f>
        <v>26</v>
      </c>
      <c r="P64" s="23">
        <f t="shared" si="1"/>
        <v>5.38</v>
      </c>
      <c r="Q64">
        <f t="shared" si="2"/>
        <v>26</v>
      </c>
    </row>
    <row r="65" spans="1:17" x14ac:dyDescent="0.25">
      <c r="A65" s="14">
        <v>13</v>
      </c>
      <c r="B65" s="24">
        <v>45902</v>
      </c>
      <c r="C65">
        <v>33</v>
      </c>
      <c r="D65">
        <v>21</v>
      </c>
      <c r="E65">
        <v>23</v>
      </c>
      <c r="F65">
        <v>34</v>
      </c>
      <c r="G65">
        <v>36</v>
      </c>
      <c r="O65" s="23">
        <f>ROUND(AVERAGE(C65:N65),0)</f>
        <v>29</v>
      </c>
      <c r="P65" s="23">
        <f t="shared" si="1"/>
        <v>6.15</v>
      </c>
      <c r="Q65">
        <f t="shared" si="2"/>
        <v>16</v>
      </c>
    </row>
    <row r="66" spans="1:17" x14ac:dyDescent="0.25">
      <c r="A66" s="14">
        <v>12</v>
      </c>
      <c r="B66" s="24">
        <v>45903</v>
      </c>
      <c r="C66">
        <v>19</v>
      </c>
      <c r="D66">
        <v>18</v>
      </c>
      <c r="E66">
        <v>19</v>
      </c>
      <c r="F66">
        <v>21</v>
      </c>
      <c r="G66">
        <v>28</v>
      </c>
      <c r="O66" s="23">
        <f t="shared" ref="O66:O82" si="3">ROUND(AVERAGE(C66:N66),0)</f>
        <v>21</v>
      </c>
      <c r="P66" s="23">
        <f t="shared" si="1"/>
        <v>3.63</v>
      </c>
      <c r="Q66">
        <f t="shared" si="2"/>
        <v>9</v>
      </c>
    </row>
    <row r="67" spans="1:17" x14ac:dyDescent="0.25">
      <c r="A67" s="14">
        <v>19</v>
      </c>
      <c r="B67" s="24">
        <v>45904</v>
      </c>
      <c r="C67">
        <v>28</v>
      </c>
      <c r="D67">
        <v>22</v>
      </c>
      <c r="E67">
        <v>43</v>
      </c>
      <c r="F67">
        <v>27</v>
      </c>
      <c r="G67">
        <v>39</v>
      </c>
      <c r="O67" s="23">
        <f t="shared" si="3"/>
        <v>32</v>
      </c>
      <c r="P67" s="23">
        <f t="shared" ref="P67:P130" si="4">ROUND(_xlfn.STDEV.P(C67:N67),2)</f>
        <v>7.88</v>
      </c>
      <c r="Q67">
        <f t="shared" ref="Q67:Q130" si="5">O67-A67</f>
        <v>13</v>
      </c>
    </row>
    <row r="68" spans="1:17" x14ac:dyDescent="0.25">
      <c r="A68" s="14">
        <v>8</v>
      </c>
      <c r="B68" s="24">
        <v>45905</v>
      </c>
      <c r="C68">
        <v>43</v>
      </c>
      <c r="D68">
        <v>36</v>
      </c>
      <c r="E68">
        <v>52</v>
      </c>
      <c r="F68">
        <v>46</v>
      </c>
      <c r="G68">
        <v>54</v>
      </c>
      <c r="O68" s="23">
        <f t="shared" si="3"/>
        <v>46</v>
      </c>
      <c r="P68" s="23">
        <f t="shared" si="4"/>
        <v>6.46</v>
      </c>
      <c r="Q68">
        <f t="shared" si="5"/>
        <v>38</v>
      </c>
    </row>
    <row r="69" spans="1:17" x14ac:dyDescent="0.25">
      <c r="A69" s="14">
        <v>15</v>
      </c>
      <c r="B69" s="24">
        <v>45906</v>
      </c>
      <c r="C69">
        <v>52</v>
      </c>
      <c r="D69">
        <v>54</v>
      </c>
      <c r="E69">
        <v>53</v>
      </c>
      <c r="F69">
        <v>47</v>
      </c>
      <c r="G69">
        <v>50</v>
      </c>
      <c r="O69" s="23">
        <f t="shared" si="3"/>
        <v>51</v>
      </c>
      <c r="P69" s="23">
        <f t="shared" si="4"/>
        <v>2.48</v>
      </c>
      <c r="Q69">
        <f t="shared" si="5"/>
        <v>36</v>
      </c>
    </row>
    <row r="70" spans="1:17" x14ac:dyDescent="0.25">
      <c r="A70" s="14">
        <v>51</v>
      </c>
      <c r="B70" s="24">
        <v>45907</v>
      </c>
      <c r="C70">
        <v>31</v>
      </c>
      <c r="D70">
        <v>37</v>
      </c>
      <c r="E70">
        <v>49</v>
      </c>
      <c r="F70">
        <v>42</v>
      </c>
      <c r="G70">
        <v>48</v>
      </c>
      <c r="O70" s="23">
        <f t="shared" si="3"/>
        <v>41</v>
      </c>
      <c r="P70" s="23">
        <f t="shared" si="4"/>
        <v>6.77</v>
      </c>
      <c r="Q70">
        <f t="shared" si="5"/>
        <v>-10</v>
      </c>
    </row>
    <row r="71" spans="1:17" x14ac:dyDescent="0.25">
      <c r="A71" s="14">
        <v>24</v>
      </c>
      <c r="B71" s="24">
        <v>45908</v>
      </c>
      <c r="C71">
        <v>27</v>
      </c>
      <c r="D71">
        <v>21</v>
      </c>
      <c r="E71">
        <v>27</v>
      </c>
      <c r="F71">
        <v>24</v>
      </c>
      <c r="G71">
        <v>27</v>
      </c>
      <c r="O71" s="23">
        <f t="shared" si="3"/>
        <v>25</v>
      </c>
      <c r="P71" s="23">
        <f t="shared" si="4"/>
        <v>2.4</v>
      </c>
      <c r="Q71">
        <f t="shared" si="5"/>
        <v>1</v>
      </c>
    </row>
    <row r="72" spans="1:17" x14ac:dyDescent="0.25">
      <c r="A72" s="14">
        <v>29</v>
      </c>
      <c r="B72" s="24">
        <v>45909</v>
      </c>
      <c r="C72">
        <v>24</v>
      </c>
      <c r="D72">
        <v>22</v>
      </c>
      <c r="E72">
        <v>26</v>
      </c>
      <c r="F72">
        <v>27</v>
      </c>
      <c r="G72">
        <v>28</v>
      </c>
      <c r="O72" s="23">
        <f t="shared" si="3"/>
        <v>25</v>
      </c>
      <c r="P72" s="23">
        <f t="shared" si="4"/>
        <v>2.15</v>
      </c>
      <c r="Q72">
        <f t="shared" si="5"/>
        <v>-4</v>
      </c>
    </row>
    <row r="73" spans="1:17" x14ac:dyDescent="0.25">
      <c r="A73" s="14">
        <v>48</v>
      </c>
      <c r="B73" s="24">
        <v>45910</v>
      </c>
      <c r="C73">
        <v>21</v>
      </c>
      <c r="D73">
        <v>24</v>
      </c>
      <c r="E73">
        <v>36</v>
      </c>
      <c r="F73">
        <v>27</v>
      </c>
      <c r="G73">
        <v>27</v>
      </c>
      <c r="O73" s="23">
        <f t="shared" si="3"/>
        <v>27</v>
      </c>
      <c r="P73" s="23">
        <f t="shared" si="4"/>
        <v>5.0199999999999996</v>
      </c>
      <c r="Q73">
        <f t="shared" si="5"/>
        <v>-21</v>
      </c>
    </row>
    <row r="74" spans="1:17" x14ac:dyDescent="0.25">
      <c r="A74" s="14">
        <v>41</v>
      </c>
      <c r="B74" s="24">
        <v>45911</v>
      </c>
      <c r="C74">
        <v>24</v>
      </c>
      <c r="D74">
        <v>29</v>
      </c>
      <c r="E74">
        <v>33</v>
      </c>
      <c r="F74">
        <v>35</v>
      </c>
      <c r="G74">
        <v>37</v>
      </c>
      <c r="O74" s="23">
        <f t="shared" si="3"/>
        <v>32</v>
      </c>
      <c r="P74" s="23">
        <f t="shared" si="4"/>
        <v>4.63</v>
      </c>
      <c r="Q74">
        <f t="shared" si="5"/>
        <v>-9</v>
      </c>
    </row>
    <row r="75" spans="1:17" x14ac:dyDescent="0.25">
      <c r="A75" s="14">
        <v>45</v>
      </c>
      <c r="B75" s="24">
        <v>45912</v>
      </c>
      <c r="C75">
        <v>27</v>
      </c>
      <c r="D75">
        <v>19</v>
      </c>
      <c r="E75">
        <v>31</v>
      </c>
      <c r="F75">
        <v>37</v>
      </c>
      <c r="G75">
        <v>32</v>
      </c>
      <c r="O75" s="23">
        <f t="shared" si="3"/>
        <v>29</v>
      </c>
      <c r="P75" s="23">
        <f t="shared" si="4"/>
        <v>6.01</v>
      </c>
      <c r="Q75">
        <f t="shared" si="5"/>
        <v>-16</v>
      </c>
    </row>
    <row r="76" spans="1:17" x14ac:dyDescent="0.25">
      <c r="A76" s="14">
        <v>36</v>
      </c>
      <c r="B76" s="24">
        <v>45913</v>
      </c>
      <c r="C76">
        <v>34</v>
      </c>
      <c r="D76">
        <v>48</v>
      </c>
      <c r="E76">
        <v>49</v>
      </c>
      <c r="F76">
        <v>46</v>
      </c>
      <c r="G76">
        <v>37</v>
      </c>
      <c r="O76" s="23">
        <f t="shared" si="3"/>
        <v>43</v>
      </c>
      <c r="P76" s="23">
        <f t="shared" si="4"/>
        <v>6.11</v>
      </c>
      <c r="Q76">
        <f t="shared" si="5"/>
        <v>7</v>
      </c>
    </row>
    <row r="77" spans="1:17" x14ac:dyDescent="0.25">
      <c r="A77" s="14">
        <v>41</v>
      </c>
      <c r="B77" s="24">
        <v>45914</v>
      </c>
      <c r="C77">
        <v>42</v>
      </c>
      <c r="D77">
        <v>23</v>
      </c>
      <c r="E77">
        <v>46</v>
      </c>
      <c r="F77">
        <v>68</v>
      </c>
      <c r="G77">
        <v>80</v>
      </c>
      <c r="O77" s="23">
        <f t="shared" si="3"/>
        <v>52</v>
      </c>
      <c r="P77" s="23">
        <f t="shared" si="4"/>
        <v>20.079999999999998</v>
      </c>
      <c r="Q77">
        <f t="shared" si="5"/>
        <v>11</v>
      </c>
    </row>
    <row r="78" spans="1:17" x14ac:dyDescent="0.25">
      <c r="A78" s="14">
        <v>8</v>
      </c>
      <c r="B78" s="24">
        <v>45915</v>
      </c>
      <c r="C78">
        <v>25</v>
      </c>
      <c r="D78">
        <v>25</v>
      </c>
      <c r="E78">
        <v>23</v>
      </c>
      <c r="F78">
        <v>20</v>
      </c>
      <c r="G78">
        <v>19</v>
      </c>
      <c r="O78" s="23">
        <f t="shared" si="3"/>
        <v>22</v>
      </c>
      <c r="P78" s="23">
        <f t="shared" si="4"/>
        <v>2.5</v>
      </c>
      <c r="Q78">
        <f t="shared" si="5"/>
        <v>14</v>
      </c>
    </row>
    <row r="79" spans="1:17" x14ac:dyDescent="0.25">
      <c r="A79" s="14">
        <v>50</v>
      </c>
      <c r="B79" s="24">
        <v>45916</v>
      </c>
      <c r="C79">
        <v>40</v>
      </c>
      <c r="D79">
        <v>28</v>
      </c>
      <c r="E79">
        <v>33</v>
      </c>
      <c r="F79">
        <v>34</v>
      </c>
      <c r="G79">
        <v>32</v>
      </c>
      <c r="O79" s="23">
        <f t="shared" si="3"/>
        <v>33</v>
      </c>
      <c r="P79" s="23">
        <f t="shared" si="4"/>
        <v>3.88</v>
      </c>
      <c r="Q79">
        <f t="shared" si="5"/>
        <v>-17</v>
      </c>
    </row>
    <row r="80" spans="1:17" x14ac:dyDescent="0.25">
      <c r="A80" s="14">
        <v>13</v>
      </c>
      <c r="B80" s="24">
        <v>45917</v>
      </c>
      <c r="C80">
        <v>23</v>
      </c>
      <c r="D80">
        <v>25</v>
      </c>
      <c r="E80">
        <v>37</v>
      </c>
      <c r="F80">
        <v>22</v>
      </c>
      <c r="G80">
        <v>27</v>
      </c>
      <c r="O80" s="23">
        <f t="shared" si="3"/>
        <v>27</v>
      </c>
      <c r="P80" s="23">
        <f t="shared" si="4"/>
        <v>5.38</v>
      </c>
      <c r="Q80">
        <f t="shared" si="5"/>
        <v>14</v>
      </c>
    </row>
    <row r="81" spans="1:17" x14ac:dyDescent="0.25">
      <c r="A81" s="14">
        <v>18</v>
      </c>
      <c r="B81" s="24">
        <v>45918</v>
      </c>
      <c r="C81" s="32">
        <v>18</v>
      </c>
      <c r="D81">
        <v>27</v>
      </c>
      <c r="E81">
        <v>28</v>
      </c>
      <c r="F81">
        <v>29</v>
      </c>
      <c r="G81">
        <v>35</v>
      </c>
      <c r="O81" s="23">
        <f t="shared" si="3"/>
        <v>27</v>
      </c>
      <c r="P81" s="23">
        <f t="shared" si="4"/>
        <v>5.46</v>
      </c>
      <c r="Q81">
        <f t="shared" si="5"/>
        <v>9</v>
      </c>
    </row>
    <row r="82" spans="1:17" x14ac:dyDescent="0.25">
      <c r="A82" s="14">
        <v>37</v>
      </c>
      <c r="B82" s="24">
        <v>45919</v>
      </c>
      <c r="C82" s="16">
        <v>36</v>
      </c>
      <c r="D82">
        <v>32</v>
      </c>
      <c r="E82">
        <v>47</v>
      </c>
      <c r="F82">
        <v>30</v>
      </c>
      <c r="G82">
        <v>35</v>
      </c>
      <c r="O82" s="23">
        <f t="shared" si="3"/>
        <v>36</v>
      </c>
      <c r="P82" s="23">
        <f t="shared" si="4"/>
        <v>5.9</v>
      </c>
      <c r="Q82">
        <f t="shared" si="5"/>
        <v>-1</v>
      </c>
    </row>
    <row r="83" spans="1:17" x14ac:dyDescent="0.25">
      <c r="A83" s="14">
        <v>22</v>
      </c>
      <c r="B83" s="24">
        <v>45920</v>
      </c>
      <c r="O83" s="23" t="e">
        <f t="shared" ref="O83:O123" si="6">ROUND(AVERAGE(C83:N83),0)</f>
        <v>#DIV/0!</v>
      </c>
      <c r="P83" s="23" t="e">
        <f t="shared" si="4"/>
        <v>#DIV/0!</v>
      </c>
      <c r="Q83" t="e">
        <f t="shared" si="5"/>
        <v>#DIV/0!</v>
      </c>
    </row>
    <row r="84" spans="1:17" x14ac:dyDescent="0.25">
      <c r="A84" s="14">
        <v>24</v>
      </c>
      <c r="B84" s="24">
        <v>45921</v>
      </c>
      <c r="O84" s="23" t="e">
        <f t="shared" si="6"/>
        <v>#DIV/0!</v>
      </c>
      <c r="P84" s="23" t="e">
        <f t="shared" si="4"/>
        <v>#DIV/0!</v>
      </c>
      <c r="Q84" t="e">
        <f t="shared" si="5"/>
        <v>#DIV/0!</v>
      </c>
    </row>
    <row r="85" spans="1:17" x14ac:dyDescent="0.25">
      <c r="A85" s="14">
        <v>12</v>
      </c>
      <c r="B85" s="24">
        <v>45922</v>
      </c>
      <c r="O85" s="23" t="e">
        <f t="shared" si="6"/>
        <v>#DIV/0!</v>
      </c>
      <c r="P85" s="23" t="e">
        <f t="shared" si="4"/>
        <v>#DIV/0!</v>
      </c>
      <c r="Q85" t="e">
        <f t="shared" si="5"/>
        <v>#DIV/0!</v>
      </c>
    </row>
    <row r="86" spans="1:17" x14ac:dyDescent="0.25">
      <c r="A86" s="14">
        <v>11</v>
      </c>
      <c r="B86" s="24">
        <v>45923</v>
      </c>
      <c r="O86" s="23" t="e">
        <f t="shared" si="6"/>
        <v>#DIV/0!</v>
      </c>
      <c r="P86" s="23" t="e">
        <f t="shared" si="4"/>
        <v>#DIV/0!</v>
      </c>
      <c r="Q86" t="e">
        <f t="shared" si="5"/>
        <v>#DIV/0!</v>
      </c>
    </row>
    <row r="87" spans="1:17" x14ac:dyDescent="0.25">
      <c r="A87" s="14">
        <v>33</v>
      </c>
      <c r="B87" s="24">
        <v>45924</v>
      </c>
      <c r="O87" s="23" t="e">
        <f t="shared" si="6"/>
        <v>#DIV/0!</v>
      </c>
      <c r="P87" s="23" t="e">
        <f t="shared" si="4"/>
        <v>#DIV/0!</v>
      </c>
      <c r="Q87" t="e">
        <f t="shared" si="5"/>
        <v>#DIV/0!</v>
      </c>
    </row>
    <row r="88" spans="1:17" x14ac:dyDescent="0.25">
      <c r="A88" s="14">
        <v>21</v>
      </c>
      <c r="B88" s="24">
        <v>45925</v>
      </c>
      <c r="O88" s="23" t="e">
        <f t="shared" si="6"/>
        <v>#DIV/0!</v>
      </c>
      <c r="P88" s="23" t="e">
        <f t="shared" si="4"/>
        <v>#DIV/0!</v>
      </c>
      <c r="Q88" t="e">
        <f t="shared" si="5"/>
        <v>#DIV/0!</v>
      </c>
    </row>
    <row r="89" spans="1:17" x14ac:dyDescent="0.25">
      <c r="A89" s="14">
        <v>27</v>
      </c>
      <c r="B89" s="24">
        <v>45926</v>
      </c>
      <c r="O89" s="23" t="e">
        <f t="shared" si="6"/>
        <v>#DIV/0!</v>
      </c>
      <c r="P89" s="23" t="e">
        <f t="shared" si="4"/>
        <v>#DIV/0!</v>
      </c>
      <c r="Q89" t="e">
        <f t="shared" si="5"/>
        <v>#DIV/0!</v>
      </c>
    </row>
    <row r="90" spans="1:17" x14ac:dyDescent="0.25">
      <c r="A90" s="14">
        <v>37</v>
      </c>
      <c r="B90" s="24">
        <v>45927</v>
      </c>
      <c r="O90" s="23" t="e">
        <f t="shared" si="6"/>
        <v>#DIV/0!</v>
      </c>
      <c r="P90" s="23" t="e">
        <f t="shared" si="4"/>
        <v>#DIV/0!</v>
      </c>
      <c r="Q90" t="e">
        <f t="shared" si="5"/>
        <v>#DIV/0!</v>
      </c>
    </row>
    <row r="91" spans="1:17" x14ac:dyDescent="0.25">
      <c r="A91" s="14">
        <v>58</v>
      </c>
      <c r="B91" s="24">
        <v>45928</v>
      </c>
      <c r="O91" s="23" t="e">
        <f t="shared" si="6"/>
        <v>#DIV/0!</v>
      </c>
      <c r="P91" s="23" t="e">
        <f t="shared" si="4"/>
        <v>#DIV/0!</v>
      </c>
      <c r="Q91" t="e">
        <f t="shared" si="5"/>
        <v>#DIV/0!</v>
      </c>
    </row>
    <row r="92" spans="1:17" x14ac:dyDescent="0.25">
      <c r="A92" s="14">
        <v>16</v>
      </c>
      <c r="B92" s="24">
        <v>45929</v>
      </c>
      <c r="O92" s="23" t="e">
        <f t="shared" si="6"/>
        <v>#DIV/0!</v>
      </c>
      <c r="P92" s="23" t="e">
        <f t="shared" si="4"/>
        <v>#DIV/0!</v>
      </c>
      <c r="Q92" t="e">
        <f t="shared" si="5"/>
        <v>#DIV/0!</v>
      </c>
    </row>
    <row r="93" spans="1:17" x14ac:dyDescent="0.25">
      <c r="A93" s="14">
        <v>18</v>
      </c>
      <c r="B93" s="24">
        <v>45930</v>
      </c>
      <c r="O93" s="23" t="e">
        <f t="shared" si="6"/>
        <v>#DIV/0!</v>
      </c>
      <c r="P93" s="23" t="e">
        <f t="shared" si="4"/>
        <v>#DIV/0!</v>
      </c>
      <c r="Q93" t="e">
        <f t="shared" si="5"/>
        <v>#DIV/0!</v>
      </c>
    </row>
    <row r="94" spans="1:17" x14ac:dyDescent="0.25">
      <c r="A94" s="14">
        <v>23</v>
      </c>
      <c r="B94" s="24">
        <v>45931</v>
      </c>
      <c r="O94" s="23" t="e">
        <f t="shared" si="6"/>
        <v>#DIV/0!</v>
      </c>
      <c r="P94" s="23" t="e">
        <f t="shared" si="4"/>
        <v>#DIV/0!</v>
      </c>
      <c r="Q94" t="e">
        <f t="shared" si="5"/>
        <v>#DIV/0!</v>
      </c>
    </row>
    <row r="95" spans="1:17" x14ac:dyDescent="0.25">
      <c r="A95" s="14">
        <v>23</v>
      </c>
      <c r="B95" s="24">
        <v>45932</v>
      </c>
      <c r="O95" s="23" t="e">
        <f t="shared" si="6"/>
        <v>#DIV/0!</v>
      </c>
      <c r="P95" s="23" t="e">
        <f t="shared" si="4"/>
        <v>#DIV/0!</v>
      </c>
      <c r="Q95" t="e">
        <f t="shared" si="5"/>
        <v>#DIV/0!</v>
      </c>
    </row>
    <row r="96" spans="1:17" x14ac:dyDescent="0.25">
      <c r="A96" s="14">
        <v>34</v>
      </c>
      <c r="B96" s="24">
        <v>45933</v>
      </c>
      <c r="O96" s="23" t="e">
        <f t="shared" si="6"/>
        <v>#DIV/0!</v>
      </c>
      <c r="P96" s="23" t="e">
        <f t="shared" si="4"/>
        <v>#DIV/0!</v>
      </c>
      <c r="Q96" t="e">
        <f t="shared" si="5"/>
        <v>#DIV/0!</v>
      </c>
    </row>
    <row r="97" spans="1:17" x14ac:dyDescent="0.25">
      <c r="A97" s="14">
        <v>42</v>
      </c>
      <c r="B97" s="24">
        <v>45934</v>
      </c>
      <c r="O97" s="23" t="e">
        <f t="shared" si="6"/>
        <v>#DIV/0!</v>
      </c>
      <c r="P97" s="23" t="e">
        <f t="shared" si="4"/>
        <v>#DIV/0!</v>
      </c>
      <c r="Q97" t="e">
        <f t="shared" si="5"/>
        <v>#DIV/0!</v>
      </c>
    </row>
    <row r="98" spans="1:17" x14ac:dyDescent="0.25">
      <c r="A98" s="14">
        <v>50</v>
      </c>
      <c r="B98" s="24">
        <v>45935</v>
      </c>
      <c r="O98" s="23" t="e">
        <f t="shared" si="6"/>
        <v>#DIV/0!</v>
      </c>
      <c r="P98" s="23" t="e">
        <f t="shared" si="4"/>
        <v>#DIV/0!</v>
      </c>
      <c r="Q98" t="e">
        <f t="shared" si="5"/>
        <v>#DIV/0!</v>
      </c>
    </row>
    <row r="99" spans="1:17" x14ac:dyDescent="0.25">
      <c r="A99" s="14">
        <v>25</v>
      </c>
      <c r="B99" s="24">
        <v>45936</v>
      </c>
      <c r="O99" s="23" t="e">
        <f t="shared" si="6"/>
        <v>#DIV/0!</v>
      </c>
      <c r="P99" s="23" t="e">
        <f t="shared" si="4"/>
        <v>#DIV/0!</v>
      </c>
      <c r="Q99" t="e">
        <f t="shared" si="5"/>
        <v>#DIV/0!</v>
      </c>
    </row>
    <row r="100" spans="1:17" x14ac:dyDescent="0.25">
      <c r="A100" s="14">
        <v>21</v>
      </c>
      <c r="B100" s="24">
        <v>45937</v>
      </c>
      <c r="O100" s="23" t="e">
        <f t="shared" si="6"/>
        <v>#DIV/0!</v>
      </c>
      <c r="P100" s="23" t="e">
        <f t="shared" si="4"/>
        <v>#DIV/0!</v>
      </c>
      <c r="Q100" t="e">
        <f t="shared" si="5"/>
        <v>#DIV/0!</v>
      </c>
    </row>
    <row r="101" spans="1:17" x14ac:dyDescent="0.25">
      <c r="A101" s="14">
        <v>22</v>
      </c>
      <c r="B101" s="24">
        <v>45938</v>
      </c>
      <c r="O101" s="23" t="e">
        <f t="shared" si="6"/>
        <v>#DIV/0!</v>
      </c>
      <c r="P101" s="23" t="e">
        <f t="shared" si="4"/>
        <v>#DIV/0!</v>
      </c>
      <c r="Q101" t="e">
        <f t="shared" si="5"/>
        <v>#DIV/0!</v>
      </c>
    </row>
    <row r="102" spans="1:17" x14ac:dyDescent="0.25">
      <c r="A102" s="14">
        <v>17</v>
      </c>
      <c r="B102" s="24">
        <v>45939</v>
      </c>
      <c r="O102" s="23" t="e">
        <f t="shared" si="6"/>
        <v>#DIV/0!</v>
      </c>
      <c r="P102" s="23" t="e">
        <f t="shared" si="4"/>
        <v>#DIV/0!</v>
      </c>
      <c r="Q102" t="e">
        <f t="shared" si="5"/>
        <v>#DIV/0!</v>
      </c>
    </row>
    <row r="103" spans="1:17" x14ac:dyDescent="0.25">
      <c r="A103" s="14">
        <v>22</v>
      </c>
      <c r="B103" s="24">
        <v>45940</v>
      </c>
      <c r="O103" s="23" t="e">
        <f t="shared" si="6"/>
        <v>#DIV/0!</v>
      </c>
      <c r="P103" s="23" t="e">
        <f t="shared" si="4"/>
        <v>#DIV/0!</v>
      </c>
      <c r="Q103" t="e">
        <f t="shared" si="5"/>
        <v>#DIV/0!</v>
      </c>
    </row>
    <row r="104" spans="1:17" x14ac:dyDescent="0.25">
      <c r="A104" s="14">
        <v>16</v>
      </c>
      <c r="B104" s="24">
        <v>45941</v>
      </c>
      <c r="O104" s="23" t="e">
        <f t="shared" si="6"/>
        <v>#DIV/0!</v>
      </c>
      <c r="P104" s="23" t="e">
        <f t="shared" si="4"/>
        <v>#DIV/0!</v>
      </c>
      <c r="Q104" t="e">
        <f t="shared" si="5"/>
        <v>#DIV/0!</v>
      </c>
    </row>
    <row r="105" spans="1:17" x14ac:dyDescent="0.25">
      <c r="A105" s="14">
        <v>42</v>
      </c>
      <c r="B105" s="24">
        <v>45942</v>
      </c>
      <c r="O105" s="23" t="e">
        <f t="shared" si="6"/>
        <v>#DIV/0!</v>
      </c>
      <c r="P105" s="23" t="e">
        <f t="shared" si="4"/>
        <v>#DIV/0!</v>
      </c>
      <c r="Q105" t="e">
        <f t="shared" si="5"/>
        <v>#DIV/0!</v>
      </c>
    </row>
    <row r="106" spans="1:17" x14ac:dyDescent="0.25">
      <c r="A106" s="14">
        <v>9</v>
      </c>
      <c r="B106" s="24">
        <v>45943</v>
      </c>
      <c r="O106" s="23" t="e">
        <f t="shared" si="6"/>
        <v>#DIV/0!</v>
      </c>
      <c r="P106" s="23" t="e">
        <f t="shared" si="4"/>
        <v>#DIV/0!</v>
      </c>
      <c r="Q106" t="e">
        <f t="shared" si="5"/>
        <v>#DIV/0!</v>
      </c>
    </row>
    <row r="107" spans="1:17" x14ac:dyDescent="0.25">
      <c r="A107" s="14">
        <v>21</v>
      </c>
      <c r="B107" s="24">
        <v>45944</v>
      </c>
      <c r="O107" s="23" t="e">
        <f t="shared" si="6"/>
        <v>#DIV/0!</v>
      </c>
      <c r="P107" s="23" t="e">
        <f t="shared" si="4"/>
        <v>#DIV/0!</v>
      </c>
      <c r="Q107" t="e">
        <f t="shared" si="5"/>
        <v>#DIV/0!</v>
      </c>
    </row>
    <row r="108" spans="1:17" x14ac:dyDescent="0.25">
      <c r="A108" s="14">
        <v>9</v>
      </c>
      <c r="B108" s="24">
        <v>45945</v>
      </c>
      <c r="O108" s="23" t="e">
        <f t="shared" si="6"/>
        <v>#DIV/0!</v>
      </c>
      <c r="P108" s="23" t="e">
        <f t="shared" si="4"/>
        <v>#DIV/0!</v>
      </c>
      <c r="Q108" t="e">
        <f t="shared" si="5"/>
        <v>#DIV/0!</v>
      </c>
    </row>
    <row r="109" spans="1:17" x14ac:dyDescent="0.25">
      <c r="A109" s="14">
        <v>28</v>
      </c>
      <c r="B109" s="24">
        <v>45946</v>
      </c>
      <c r="O109" s="23" t="e">
        <f t="shared" si="6"/>
        <v>#DIV/0!</v>
      </c>
      <c r="P109" s="23" t="e">
        <f t="shared" si="4"/>
        <v>#DIV/0!</v>
      </c>
      <c r="Q109" t="e">
        <f t="shared" si="5"/>
        <v>#DIV/0!</v>
      </c>
    </row>
    <row r="110" spans="1:17" x14ac:dyDescent="0.25">
      <c r="A110" s="14">
        <v>31</v>
      </c>
      <c r="B110" s="24">
        <v>45947</v>
      </c>
      <c r="O110" s="23" t="e">
        <f t="shared" si="6"/>
        <v>#DIV/0!</v>
      </c>
      <c r="P110" s="23" t="e">
        <f t="shared" si="4"/>
        <v>#DIV/0!</v>
      </c>
      <c r="Q110" t="e">
        <f t="shared" si="5"/>
        <v>#DIV/0!</v>
      </c>
    </row>
    <row r="111" spans="1:17" x14ac:dyDescent="0.25">
      <c r="A111" s="14">
        <v>44</v>
      </c>
      <c r="B111" s="24">
        <v>45948</v>
      </c>
      <c r="O111" s="23" t="e">
        <f t="shared" si="6"/>
        <v>#DIV/0!</v>
      </c>
      <c r="P111" s="23" t="e">
        <f t="shared" si="4"/>
        <v>#DIV/0!</v>
      </c>
      <c r="Q111" t="e">
        <f t="shared" si="5"/>
        <v>#DIV/0!</v>
      </c>
    </row>
    <row r="112" spans="1:17" x14ac:dyDescent="0.25">
      <c r="A112" s="14">
        <v>33</v>
      </c>
      <c r="B112" s="24">
        <v>45949</v>
      </c>
      <c r="O112" s="23" t="e">
        <f t="shared" si="6"/>
        <v>#DIV/0!</v>
      </c>
      <c r="P112" s="23" t="e">
        <f t="shared" si="4"/>
        <v>#DIV/0!</v>
      </c>
      <c r="Q112" t="e">
        <f t="shared" si="5"/>
        <v>#DIV/0!</v>
      </c>
    </row>
    <row r="113" spans="1:17" x14ac:dyDescent="0.25">
      <c r="A113" s="14">
        <v>11</v>
      </c>
      <c r="B113" s="24">
        <v>45950</v>
      </c>
      <c r="O113" s="23" t="e">
        <f t="shared" si="6"/>
        <v>#DIV/0!</v>
      </c>
      <c r="P113" s="23" t="e">
        <f t="shared" si="4"/>
        <v>#DIV/0!</v>
      </c>
      <c r="Q113" t="e">
        <f t="shared" si="5"/>
        <v>#DIV/0!</v>
      </c>
    </row>
    <row r="114" spans="1:17" x14ac:dyDescent="0.25">
      <c r="A114" s="14">
        <v>5</v>
      </c>
      <c r="B114" s="24">
        <v>45951</v>
      </c>
      <c r="O114" s="23" t="e">
        <f t="shared" si="6"/>
        <v>#DIV/0!</v>
      </c>
      <c r="P114" s="23" t="e">
        <f t="shared" si="4"/>
        <v>#DIV/0!</v>
      </c>
      <c r="Q114" t="e">
        <f t="shared" si="5"/>
        <v>#DIV/0!</v>
      </c>
    </row>
    <row r="115" spans="1:17" x14ac:dyDescent="0.25">
      <c r="A115" s="14">
        <v>15</v>
      </c>
      <c r="B115" s="24">
        <v>45952</v>
      </c>
      <c r="O115" s="23" t="e">
        <f t="shared" si="6"/>
        <v>#DIV/0!</v>
      </c>
      <c r="P115" s="23" t="e">
        <f t="shared" si="4"/>
        <v>#DIV/0!</v>
      </c>
      <c r="Q115" t="e">
        <f t="shared" si="5"/>
        <v>#DIV/0!</v>
      </c>
    </row>
    <row r="116" spans="1:17" x14ac:dyDescent="0.25">
      <c r="A116" s="14">
        <v>9</v>
      </c>
      <c r="B116" s="24">
        <v>45953</v>
      </c>
      <c r="C116">
        <v>24</v>
      </c>
      <c r="D116">
        <v>22</v>
      </c>
      <c r="E116">
        <v>35</v>
      </c>
      <c r="F116">
        <v>39</v>
      </c>
      <c r="G116">
        <v>44</v>
      </c>
      <c r="H116">
        <v>40</v>
      </c>
      <c r="I116">
        <v>39</v>
      </c>
      <c r="J116">
        <v>57</v>
      </c>
      <c r="K116">
        <v>22</v>
      </c>
      <c r="L116">
        <v>22</v>
      </c>
      <c r="M116">
        <v>19</v>
      </c>
      <c r="N116">
        <v>21</v>
      </c>
      <c r="O116" s="23">
        <f t="shared" si="6"/>
        <v>32</v>
      </c>
      <c r="P116" s="23">
        <f t="shared" si="4"/>
        <v>11.53</v>
      </c>
      <c r="Q116">
        <f t="shared" si="5"/>
        <v>23</v>
      </c>
    </row>
    <row r="117" spans="1:17" x14ac:dyDescent="0.25">
      <c r="A117" s="14">
        <v>30</v>
      </c>
      <c r="B117" s="24">
        <v>45954</v>
      </c>
      <c r="C117">
        <v>16</v>
      </c>
      <c r="D117">
        <v>16</v>
      </c>
      <c r="E117">
        <v>25</v>
      </c>
      <c r="F117">
        <v>29</v>
      </c>
      <c r="G117">
        <v>24</v>
      </c>
      <c r="H117">
        <v>19</v>
      </c>
      <c r="I117">
        <v>22</v>
      </c>
      <c r="J117">
        <v>27</v>
      </c>
      <c r="K117">
        <v>17</v>
      </c>
      <c r="L117">
        <v>13</v>
      </c>
      <c r="M117">
        <v>16</v>
      </c>
      <c r="N117">
        <v>16</v>
      </c>
      <c r="O117" s="23">
        <f t="shared" si="6"/>
        <v>20</v>
      </c>
      <c r="P117" s="23">
        <f t="shared" si="4"/>
        <v>4.9800000000000004</v>
      </c>
      <c r="Q117">
        <f t="shared" si="5"/>
        <v>-10</v>
      </c>
    </row>
    <row r="118" spans="1:17" x14ac:dyDescent="0.25">
      <c r="A118" s="14">
        <v>18</v>
      </c>
      <c r="B118" s="24">
        <v>45955</v>
      </c>
      <c r="C118">
        <v>42</v>
      </c>
      <c r="D118">
        <v>50</v>
      </c>
      <c r="E118">
        <v>41</v>
      </c>
      <c r="F118">
        <v>35</v>
      </c>
      <c r="G118">
        <v>27</v>
      </c>
      <c r="H118">
        <v>19</v>
      </c>
      <c r="I118">
        <v>41</v>
      </c>
      <c r="J118">
        <v>41</v>
      </c>
      <c r="K118">
        <v>73</v>
      </c>
      <c r="L118">
        <v>66</v>
      </c>
      <c r="M118">
        <v>55</v>
      </c>
      <c r="N118">
        <v>46</v>
      </c>
      <c r="O118" s="23">
        <f t="shared" si="6"/>
        <v>45</v>
      </c>
      <c r="P118" s="23">
        <f t="shared" si="4"/>
        <v>14.45</v>
      </c>
      <c r="Q118">
        <f t="shared" si="5"/>
        <v>27</v>
      </c>
    </row>
    <row r="119" spans="1:17" x14ac:dyDescent="0.25">
      <c r="A119" s="14">
        <v>33</v>
      </c>
      <c r="B119" s="24">
        <v>45956</v>
      </c>
      <c r="C119">
        <v>21</v>
      </c>
      <c r="D119">
        <v>19</v>
      </c>
      <c r="E119">
        <v>98</v>
      </c>
      <c r="F119">
        <v>62</v>
      </c>
      <c r="G119">
        <v>149</v>
      </c>
      <c r="H119">
        <v>132</v>
      </c>
      <c r="I119">
        <v>235</v>
      </c>
      <c r="J119">
        <v>208</v>
      </c>
      <c r="K119">
        <v>21</v>
      </c>
      <c r="L119">
        <v>19</v>
      </c>
      <c r="M119">
        <v>20</v>
      </c>
      <c r="N119">
        <v>23</v>
      </c>
      <c r="O119" s="23">
        <f t="shared" si="6"/>
        <v>84</v>
      </c>
      <c r="P119" s="23">
        <f t="shared" si="4"/>
        <v>76.150000000000006</v>
      </c>
      <c r="Q119">
        <f t="shared" si="5"/>
        <v>51</v>
      </c>
    </row>
    <row r="120" spans="1:17" x14ac:dyDescent="0.25">
      <c r="A120" s="14">
        <v>21</v>
      </c>
      <c r="B120" s="24">
        <v>45957</v>
      </c>
      <c r="C120">
        <v>7</v>
      </c>
      <c r="D120">
        <v>8</v>
      </c>
      <c r="E120">
        <v>31</v>
      </c>
      <c r="F120">
        <v>25</v>
      </c>
      <c r="G120">
        <v>51</v>
      </c>
      <c r="H120">
        <v>38</v>
      </c>
      <c r="I120">
        <v>41</v>
      </c>
      <c r="J120">
        <v>58</v>
      </c>
      <c r="K120">
        <v>7</v>
      </c>
      <c r="L120">
        <v>8</v>
      </c>
      <c r="M120">
        <v>8</v>
      </c>
      <c r="N120">
        <v>7</v>
      </c>
      <c r="O120" s="23">
        <f t="shared" si="6"/>
        <v>24</v>
      </c>
      <c r="P120" s="23">
        <f t="shared" si="4"/>
        <v>18.38</v>
      </c>
      <c r="Q120">
        <f t="shared" si="5"/>
        <v>3</v>
      </c>
    </row>
    <row r="121" spans="1:17" x14ac:dyDescent="0.25">
      <c r="A121" s="14">
        <v>7</v>
      </c>
      <c r="B121" s="24">
        <v>45958</v>
      </c>
      <c r="C121">
        <v>11</v>
      </c>
      <c r="D121">
        <v>9</v>
      </c>
      <c r="E121">
        <v>18</v>
      </c>
      <c r="F121">
        <v>27</v>
      </c>
      <c r="G121">
        <v>24</v>
      </c>
      <c r="H121">
        <v>19</v>
      </c>
      <c r="I121">
        <v>13</v>
      </c>
      <c r="J121">
        <v>28</v>
      </c>
      <c r="K121">
        <v>9</v>
      </c>
      <c r="L121">
        <v>12</v>
      </c>
      <c r="M121">
        <v>9</v>
      </c>
      <c r="N121">
        <v>11</v>
      </c>
      <c r="O121" s="23">
        <f t="shared" si="6"/>
        <v>16</v>
      </c>
      <c r="P121" s="23">
        <f t="shared" si="4"/>
        <v>6.85</v>
      </c>
      <c r="Q121">
        <f t="shared" si="5"/>
        <v>9</v>
      </c>
    </row>
    <row r="122" spans="1:17" x14ac:dyDescent="0.25">
      <c r="A122" s="14">
        <v>18</v>
      </c>
      <c r="B122" s="24">
        <v>45959</v>
      </c>
      <c r="C122">
        <v>11</v>
      </c>
      <c r="D122">
        <v>10</v>
      </c>
      <c r="E122">
        <v>11</v>
      </c>
      <c r="F122">
        <v>9</v>
      </c>
      <c r="G122">
        <v>12</v>
      </c>
      <c r="H122">
        <v>9</v>
      </c>
      <c r="I122">
        <v>12</v>
      </c>
      <c r="J122">
        <v>17</v>
      </c>
      <c r="K122">
        <v>10</v>
      </c>
      <c r="L122">
        <v>10</v>
      </c>
      <c r="M122">
        <v>9</v>
      </c>
      <c r="N122">
        <v>10</v>
      </c>
      <c r="O122" s="23">
        <f t="shared" si="6"/>
        <v>11</v>
      </c>
      <c r="P122" s="23">
        <f t="shared" si="4"/>
        <v>2.11</v>
      </c>
      <c r="Q122">
        <f t="shared" si="5"/>
        <v>-7</v>
      </c>
    </row>
    <row r="123" spans="1:17" x14ac:dyDescent="0.25">
      <c r="A123" s="14">
        <v>16</v>
      </c>
      <c r="B123" s="24">
        <v>45960</v>
      </c>
      <c r="C123">
        <v>20</v>
      </c>
      <c r="D123">
        <v>19</v>
      </c>
      <c r="E123">
        <v>28</v>
      </c>
      <c r="F123">
        <v>36</v>
      </c>
      <c r="G123">
        <v>30</v>
      </c>
      <c r="H123">
        <v>29</v>
      </c>
      <c r="I123">
        <v>25</v>
      </c>
      <c r="J123">
        <v>47</v>
      </c>
      <c r="K123">
        <v>18</v>
      </c>
      <c r="L123">
        <v>18</v>
      </c>
      <c r="M123">
        <v>16</v>
      </c>
      <c r="N123">
        <v>17</v>
      </c>
      <c r="O123" s="23">
        <f t="shared" si="6"/>
        <v>25</v>
      </c>
      <c r="P123" s="23">
        <f t="shared" si="4"/>
        <v>8.94</v>
      </c>
      <c r="Q123">
        <f t="shared" si="5"/>
        <v>9</v>
      </c>
    </row>
    <row r="124" spans="1:17" x14ac:dyDescent="0.25">
      <c r="A124" s="14">
        <v>10</v>
      </c>
      <c r="B124" s="24">
        <v>45961</v>
      </c>
      <c r="C124">
        <v>23</v>
      </c>
      <c r="D124">
        <v>21</v>
      </c>
      <c r="O124" s="23">
        <f t="shared" ref="O124:O137" si="7">ROUND(AVERAGE(C124:N124),0)</f>
        <v>22</v>
      </c>
      <c r="P124" s="23">
        <f t="shared" si="4"/>
        <v>1</v>
      </c>
      <c r="Q124">
        <f t="shared" si="5"/>
        <v>12</v>
      </c>
    </row>
    <row r="125" spans="1:17" x14ac:dyDescent="0.25">
      <c r="A125" s="14">
        <v>38</v>
      </c>
      <c r="B125" s="24">
        <v>45962</v>
      </c>
      <c r="C125">
        <v>23</v>
      </c>
      <c r="D125">
        <v>27</v>
      </c>
      <c r="O125" s="23">
        <f t="shared" si="7"/>
        <v>25</v>
      </c>
      <c r="P125" s="23">
        <f t="shared" si="4"/>
        <v>2</v>
      </c>
      <c r="Q125">
        <f t="shared" si="5"/>
        <v>-13</v>
      </c>
    </row>
    <row r="126" spans="1:17" x14ac:dyDescent="0.25">
      <c r="A126" s="14">
        <v>32</v>
      </c>
      <c r="B126" s="24">
        <v>45963</v>
      </c>
      <c r="C126">
        <v>20</v>
      </c>
      <c r="D126">
        <v>22</v>
      </c>
      <c r="O126" s="23">
        <f t="shared" si="7"/>
        <v>21</v>
      </c>
      <c r="P126" s="23">
        <f t="shared" si="4"/>
        <v>1</v>
      </c>
      <c r="Q126">
        <f t="shared" si="5"/>
        <v>-11</v>
      </c>
    </row>
    <row r="127" spans="1:17" x14ac:dyDescent="0.25">
      <c r="A127" s="14">
        <v>7</v>
      </c>
      <c r="B127" s="24">
        <v>45964</v>
      </c>
      <c r="C127">
        <v>19</v>
      </c>
      <c r="D127">
        <v>19</v>
      </c>
      <c r="O127" s="23">
        <f t="shared" si="7"/>
        <v>19</v>
      </c>
      <c r="P127" s="23">
        <f t="shared" si="4"/>
        <v>0</v>
      </c>
      <c r="Q127">
        <f t="shared" si="5"/>
        <v>12</v>
      </c>
    </row>
    <row r="128" spans="1:17" x14ac:dyDescent="0.25">
      <c r="A128" s="14">
        <v>14</v>
      </c>
      <c r="B128" s="24">
        <v>45965</v>
      </c>
      <c r="C128">
        <v>1</v>
      </c>
      <c r="D128">
        <v>3</v>
      </c>
      <c r="O128" s="23">
        <f t="shared" si="7"/>
        <v>2</v>
      </c>
      <c r="P128" s="23">
        <f t="shared" si="4"/>
        <v>1</v>
      </c>
      <c r="Q128">
        <f t="shared" si="5"/>
        <v>-12</v>
      </c>
    </row>
    <row r="129" spans="1:19" x14ac:dyDescent="0.25">
      <c r="A129" s="14">
        <v>13</v>
      </c>
      <c r="B129" s="24">
        <v>45966</v>
      </c>
      <c r="C129">
        <v>13</v>
      </c>
      <c r="D129">
        <v>15</v>
      </c>
      <c r="O129" s="23">
        <f t="shared" si="7"/>
        <v>14</v>
      </c>
      <c r="P129" s="23">
        <f t="shared" si="4"/>
        <v>1</v>
      </c>
      <c r="Q129">
        <f t="shared" si="5"/>
        <v>1</v>
      </c>
    </row>
    <row r="130" spans="1:19" x14ac:dyDescent="0.25">
      <c r="A130" s="14">
        <v>17</v>
      </c>
      <c r="B130" s="24">
        <v>45967</v>
      </c>
      <c r="C130">
        <v>14</v>
      </c>
      <c r="D130">
        <v>13</v>
      </c>
      <c r="O130" s="23">
        <f t="shared" si="7"/>
        <v>14</v>
      </c>
      <c r="P130" s="23">
        <f t="shared" si="4"/>
        <v>0.5</v>
      </c>
      <c r="Q130">
        <f t="shared" si="5"/>
        <v>-3</v>
      </c>
    </row>
    <row r="131" spans="1:19" x14ac:dyDescent="0.25">
      <c r="A131" s="14">
        <v>46</v>
      </c>
      <c r="B131" s="24">
        <v>45968</v>
      </c>
      <c r="C131">
        <v>22</v>
      </c>
      <c r="D131">
        <v>21</v>
      </c>
      <c r="O131" s="23">
        <f t="shared" si="7"/>
        <v>22</v>
      </c>
      <c r="P131" s="23">
        <f t="shared" ref="P131:P137" si="8">ROUND(_xlfn.STDEV.P(C131:N131),2)</f>
        <v>0.5</v>
      </c>
      <c r="Q131">
        <f t="shared" ref="Q131:Q194" si="9">O131-A131</f>
        <v>-24</v>
      </c>
    </row>
    <row r="132" spans="1:19" x14ac:dyDescent="0.25">
      <c r="A132" s="14">
        <v>8</v>
      </c>
      <c r="B132" s="24">
        <v>45969</v>
      </c>
      <c r="C132">
        <v>17</v>
      </c>
      <c r="D132">
        <v>14</v>
      </c>
      <c r="O132" s="23">
        <f t="shared" si="7"/>
        <v>16</v>
      </c>
      <c r="P132" s="23">
        <f t="shared" si="8"/>
        <v>1.5</v>
      </c>
      <c r="Q132">
        <f t="shared" si="9"/>
        <v>8</v>
      </c>
    </row>
    <row r="133" spans="1:19" x14ac:dyDescent="0.25">
      <c r="A133" s="14">
        <v>19</v>
      </c>
      <c r="B133" s="24">
        <v>45970</v>
      </c>
      <c r="C133">
        <v>17</v>
      </c>
      <c r="D133">
        <v>16</v>
      </c>
      <c r="O133" s="23">
        <f t="shared" si="7"/>
        <v>17</v>
      </c>
      <c r="P133" s="23">
        <f t="shared" si="8"/>
        <v>0.5</v>
      </c>
      <c r="Q133">
        <f t="shared" si="9"/>
        <v>-2</v>
      </c>
    </row>
    <row r="134" spans="1:19" x14ac:dyDescent="0.25">
      <c r="A134" s="14">
        <v>7</v>
      </c>
      <c r="B134" s="24">
        <v>45971</v>
      </c>
      <c r="C134">
        <v>11</v>
      </c>
      <c r="D134">
        <v>10</v>
      </c>
      <c r="O134" s="23">
        <f t="shared" si="7"/>
        <v>11</v>
      </c>
      <c r="P134" s="23">
        <f t="shared" si="8"/>
        <v>0.5</v>
      </c>
      <c r="Q134">
        <f t="shared" si="9"/>
        <v>4</v>
      </c>
    </row>
    <row r="135" spans="1:19" x14ac:dyDescent="0.25">
      <c r="A135" s="14">
        <v>23</v>
      </c>
      <c r="B135" s="24">
        <v>45972</v>
      </c>
      <c r="C135">
        <v>20</v>
      </c>
      <c r="D135">
        <v>22</v>
      </c>
      <c r="O135" s="23">
        <f t="shared" si="7"/>
        <v>21</v>
      </c>
      <c r="P135" s="23">
        <f t="shared" si="8"/>
        <v>1</v>
      </c>
      <c r="Q135">
        <f t="shared" si="9"/>
        <v>-2</v>
      </c>
    </row>
    <row r="136" spans="1:19" x14ac:dyDescent="0.25">
      <c r="A136" s="14">
        <v>21</v>
      </c>
      <c r="B136" s="24">
        <v>45973</v>
      </c>
      <c r="C136">
        <v>12</v>
      </c>
      <c r="D136">
        <v>12</v>
      </c>
      <c r="O136" s="23">
        <f t="shared" si="7"/>
        <v>12</v>
      </c>
      <c r="P136" s="23">
        <f t="shared" si="8"/>
        <v>0</v>
      </c>
      <c r="Q136">
        <f t="shared" si="9"/>
        <v>-9</v>
      </c>
    </row>
    <row r="137" spans="1:19" x14ac:dyDescent="0.25">
      <c r="A137" s="14">
        <v>19</v>
      </c>
      <c r="B137" s="24">
        <v>45974</v>
      </c>
      <c r="C137">
        <v>23</v>
      </c>
      <c r="D137">
        <v>21</v>
      </c>
      <c r="O137" s="23">
        <f t="shared" si="7"/>
        <v>22</v>
      </c>
      <c r="P137" s="23">
        <f t="shared" si="8"/>
        <v>1</v>
      </c>
      <c r="Q137">
        <f t="shared" si="9"/>
        <v>3</v>
      </c>
    </row>
    <row r="138" spans="1:19" x14ac:dyDescent="0.25">
      <c r="A138" s="14">
        <v>12</v>
      </c>
      <c r="B138" s="24">
        <v>45975</v>
      </c>
      <c r="Q138">
        <f t="shared" si="9"/>
        <v>-12</v>
      </c>
    </row>
    <row r="139" spans="1:19" x14ac:dyDescent="0.25">
      <c r="A139" s="14">
        <v>29</v>
      </c>
      <c r="B139" s="24">
        <v>45976</v>
      </c>
      <c r="C139">
        <v>29</v>
      </c>
      <c r="D139">
        <v>31</v>
      </c>
      <c r="E139">
        <v>20</v>
      </c>
      <c r="F139">
        <v>20</v>
      </c>
      <c r="G139">
        <v>13</v>
      </c>
      <c r="H139">
        <v>14</v>
      </c>
      <c r="I139">
        <v>14</v>
      </c>
      <c r="J139">
        <v>16</v>
      </c>
      <c r="K139">
        <v>30</v>
      </c>
      <c r="O139" s="23">
        <f>ROUND(AVERAGE(C139:N139,R139,S139),0)</f>
        <v>21</v>
      </c>
      <c r="P139" s="23">
        <f>ROUND(_xlfn.STDEV.P(C139:N139,R139,S139),2)</f>
        <v>6.28</v>
      </c>
      <c r="Q139">
        <f t="shared" si="9"/>
        <v>-8</v>
      </c>
      <c r="R139">
        <v>20</v>
      </c>
      <c r="S139">
        <v>21</v>
      </c>
    </row>
    <row r="140" spans="1:19" x14ac:dyDescent="0.25">
      <c r="A140" s="14">
        <v>22</v>
      </c>
      <c r="B140" s="24">
        <v>45977</v>
      </c>
      <c r="C140">
        <v>23</v>
      </c>
      <c r="D140">
        <v>19</v>
      </c>
      <c r="E140">
        <v>17</v>
      </c>
      <c r="F140">
        <v>21</v>
      </c>
      <c r="G140">
        <v>21</v>
      </c>
      <c r="H140">
        <v>11</v>
      </c>
      <c r="I140">
        <v>27</v>
      </c>
      <c r="J140">
        <v>20</v>
      </c>
      <c r="K140">
        <v>25</v>
      </c>
      <c r="O140" s="23">
        <f t="shared" ref="O140:O203" si="10">ROUND(AVERAGE(C140:N140,R140,S140),0)</f>
        <v>20</v>
      </c>
      <c r="P140" s="23">
        <f t="shared" ref="P140:P203" si="11">ROUND(_xlfn.STDEV.P(C140:N140,R140,S140),2)</f>
        <v>4.22</v>
      </c>
      <c r="Q140">
        <f t="shared" si="9"/>
        <v>-2</v>
      </c>
      <c r="R140">
        <v>22</v>
      </c>
      <c r="S140">
        <v>16</v>
      </c>
    </row>
    <row r="141" spans="1:19" x14ac:dyDescent="0.25">
      <c r="A141" s="14">
        <v>18</v>
      </c>
      <c r="B141" s="24">
        <v>45978</v>
      </c>
      <c r="C141">
        <v>10</v>
      </c>
      <c r="D141">
        <v>11</v>
      </c>
      <c r="E141">
        <v>10</v>
      </c>
      <c r="F141">
        <v>12</v>
      </c>
      <c r="G141">
        <v>6</v>
      </c>
      <c r="H141">
        <v>9</v>
      </c>
      <c r="I141">
        <v>14</v>
      </c>
      <c r="J141">
        <v>13</v>
      </c>
      <c r="K141">
        <v>11</v>
      </c>
      <c r="O141" s="23">
        <f t="shared" si="10"/>
        <v>11</v>
      </c>
      <c r="P141" s="23">
        <f t="shared" si="11"/>
        <v>2.0499999999999998</v>
      </c>
      <c r="Q141">
        <f t="shared" si="9"/>
        <v>-7</v>
      </c>
      <c r="R141">
        <v>10</v>
      </c>
      <c r="S141">
        <v>12</v>
      </c>
    </row>
    <row r="142" spans="1:19" x14ac:dyDescent="0.25">
      <c r="A142" s="14">
        <v>14</v>
      </c>
      <c r="B142" s="24">
        <v>45979</v>
      </c>
      <c r="C142">
        <v>9</v>
      </c>
      <c r="D142">
        <v>10</v>
      </c>
      <c r="E142">
        <v>7</v>
      </c>
      <c r="F142">
        <v>9</v>
      </c>
      <c r="G142">
        <v>5</v>
      </c>
      <c r="H142">
        <v>6</v>
      </c>
      <c r="I142">
        <v>11</v>
      </c>
      <c r="J142">
        <v>10</v>
      </c>
      <c r="K142">
        <v>10</v>
      </c>
      <c r="O142" s="23">
        <f t="shared" si="10"/>
        <v>9</v>
      </c>
      <c r="P142" s="23">
        <f t="shared" si="11"/>
        <v>1.78</v>
      </c>
      <c r="Q142">
        <f t="shared" si="9"/>
        <v>-5</v>
      </c>
      <c r="R142">
        <v>9</v>
      </c>
      <c r="S142">
        <v>8</v>
      </c>
    </row>
    <row r="143" spans="1:19" x14ac:dyDescent="0.25">
      <c r="A143" s="14">
        <v>13</v>
      </c>
      <c r="B143" s="24">
        <v>45980</v>
      </c>
      <c r="C143">
        <v>13</v>
      </c>
      <c r="D143">
        <v>15</v>
      </c>
      <c r="E143">
        <v>11</v>
      </c>
      <c r="F143">
        <v>13</v>
      </c>
      <c r="G143">
        <v>5</v>
      </c>
      <c r="H143">
        <v>7</v>
      </c>
      <c r="I143">
        <v>7</v>
      </c>
      <c r="J143">
        <v>9</v>
      </c>
      <c r="K143">
        <v>14</v>
      </c>
      <c r="O143" s="23">
        <f t="shared" si="10"/>
        <v>11</v>
      </c>
      <c r="P143" s="23">
        <f t="shared" si="11"/>
        <v>3.09</v>
      </c>
      <c r="Q143">
        <f t="shared" si="9"/>
        <v>-2</v>
      </c>
      <c r="R143">
        <v>12</v>
      </c>
      <c r="S143">
        <v>10</v>
      </c>
    </row>
    <row r="144" spans="1:19" x14ac:dyDescent="0.25">
      <c r="A144" s="14">
        <v>4</v>
      </c>
      <c r="B144" s="24">
        <v>45981</v>
      </c>
      <c r="C144">
        <v>18</v>
      </c>
      <c r="D144">
        <v>19</v>
      </c>
      <c r="E144">
        <v>16</v>
      </c>
      <c r="F144">
        <v>19</v>
      </c>
      <c r="G144">
        <v>14</v>
      </c>
      <c r="H144">
        <v>10</v>
      </c>
      <c r="I144">
        <v>10</v>
      </c>
      <c r="J144">
        <v>13</v>
      </c>
      <c r="K144">
        <v>21</v>
      </c>
      <c r="O144" s="23">
        <f t="shared" si="10"/>
        <v>15</v>
      </c>
      <c r="P144" s="23">
        <f t="shared" si="11"/>
        <v>3.52</v>
      </c>
      <c r="Q144">
        <f t="shared" si="9"/>
        <v>11</v>
      </c>
      <c r="R144">
        <v>15</v>
      </c>
      <c r="S144">
        <v>13</v>
      </c>
    </row>
    <row r="145" spans="1:19" x14ac:dyDescent="0.25">
      <c r="A145" s="14">
        <v>12</v>
      </c>
      <c r="B145" s="24">
        <v>45982</v>
      </c>
      <c r="C145">
        <v>31</v>
      </c>
      <c r="D145">
        <v>28</v>
      </c>
      <c r="E145">
        <v>18</v>
      </c>
      <c r="F145">
        <v>21</v>
      </c>
      <c r="G145">
        <v>12</v>
      </c>
      <c r="H145">
        <v>13</v>
      </c>
      <c r="I145">
        <v>11</v>
      </c>
      <c r="J145">
        <v>11</v>
      </c>
      <c r="K145">
        <v>25</v>
      </c>
      <c r="O145" s="23">
        <f t="shared" si="10"/>
        <v>19</v>
      </c>
      <c r="P145" s="23">
        <f t="shared" si="11"/>
        <v>6.61</v>
      </c>
      <c r="Q145">
        <f t="shared" si="9"/>
        <v>7</v>
      </c>
      <c r="R145">
        <v>18</v>
      </c>
      <c r="S145">
        <v>18</v>
      </c>
    </row>
    <row r="146" spans="1:19" x14ac:dyDescent="0.25">
      <c r="A146" s="14">
        <v>17</v>
      </c>
      <c r="B146" s="24">
        <v>45983</v>
      </c>
      <c r="C146">
        <v>17</v>
      </c>
      <c r="D146">
        <v>17</v>
      </c>
      <c r="E146">
        <v>14</v>
      </c>
      <c r="F146">
        <v>17</v>
      </c>
      <c r="G146">
        <v>31</v>
      </c>
      <c r="H146">
        <v>26</v>
      </c>
      <c r="I146">
        <v>28</v>
      </c>
      <c r="J146">
        <v>27</v>
      </c>
      <c r="K146">
        <v>17</v>
      </c>
      <c r="O146" s="23">
        <f t="shared" si="10"/>
        <v>22</v>
      </c>
      <c r="P146" s="23">
        <f t="shared" si="11"/>
        <v>5.5</v>
      </c>
      <c r="Q146">
        <f t="shared" si="9"/>
        <v>5</v>
      </c>
      <c r="R146">
        <v>19</v>
      </c>
      <c r="S146">
        <v>24</v>
      </c>
    </row>
    <row r="147" spans="1:19" x14ac:dyDescent="0.25">
      <c r="A147" s="14">
        <v>20</v>
      </c>
      <c r="B147" s="24">
        <v>45984</v>
      </c>
      <c r="C147">
        <v>28</v>
      </c>
      <c r="D147">
        <v>28</v>
      </c>
      <c r="E147">
        <v>18</v>
      </c>
      <c r="F147">
        <v>21</v>
      </c>
      <c r="G147">
        <v>12</v>
      </c>
      <c r="H147">
        <v>13</v>
      </c>
      <c r="I147">
        <v>21</v>
      </c>
      <c r="J147">
        <v>19</v>
      </c>
      <c r="K147">
        <v>31</v>
      </c>
      <c r="O147" s="23">
        <f t="shared" si="10"/>
        <v>21</v>
      </c>
      <c r="P147" s="23">
        <f t="shared" si="11"/>
        <v>5.85</v>
      </c>
      <c r="Q147">
        <f t="shared" si="9"/>
        <v>1</v>
      </c>
      <c r="R147">
        <v>23</v>
      </c>
      <c r="S147">
        <v>17</v>
      </c>
    </row>
    <row r="148" spans="1:19" x14ac:dyDescent="0.25">
      <c r="A148" s="14">
        <v>7</v>
      </c>
      <c r="B148" s="24">
        <v>45985</v>
      </c>
      <c r="C148">
        <v>18</v>
      </c>
      <c r="D148">
        <v>18</v>
      </c>
      <c r="E148">
        <v>23</v>
      </c>
      <c r="F148">
        <v>19</v>
      </c>
      <c r="G148">
        <v>26</v>
      </c>
      <c r="H148">
        <v>20</v>
      </c>
      <c r="I148">
        <v>28</v>
      </c>
      <c r="J148">
        <v>29</v>
      </c>
      <c r="K148">
        <v>22</v>
      </c>
      <c r="O148" s="23">
        <f t="shared" si="10"/>
        <v>22</v>
      </c>
      <c r="P148" s="23">
        <f t="shared" si="11"/>
        <v>3.95</v>
      </c>
      <c r="Q148">
        <f t="shared" si="9"/>
        <v>15</v>
      </c>
      <c r="R148">
        <v>19</v>
      </c>
      <c r="S148">
        <v>18</v>
      </c>
    </row>
    <row r="149" spans="1:19" x14ac:dyDescent="0.25">
      <c r="A149" s="14">
        <v>2</v>
      </c>
      <c r="B149" s="24">
        <v>45986</v>
      </c>
      <c r="C149">
        <v>13</v>
      </c>
      <c r="D149">
        <v>15</v>
      </c>
      <c r="E149">
        <v>18</v>
      </c>
      <c r="F149">
        <v>22</v>
      </c>
      <c r="G149">
        <v>12</v>
      </c>
      <c r="H149">
        <v>15</v>
      </c>
      <c r="I149">
        <v>19</v>
      </c>
      <c r="J149">
        <v>16</v>
      </c>
      <c r="K149">
        <v>17</v>
      </c>
      <c r="O149" s="23">
        <f t="shared" si="10"/>
        <v>16</v>
      </c>
      <c r="P149" s="23">
        <f t="shared" si="11"/>
        <v>3.05</v>
      </c>
      <c r="Q149">
        <f t="shared" si="9"/>
        <v>14</v>
      </c>
      <c r="R149">
        <v>11</v>
      </c>
      <c r="S149">
        <v>15</v>
      </c>
    </row>
    <row r="150" spans="1:19" x14ac:dyDescent="0.25">
      <c r="A150" s="14">
        <v>17</v>
      </c>
      <c r="B150" s="24">
        <v>45987</v>
      </c>
      <c r="C150">
        <v>16</v>
      </c>
      <c r="D150">
        <v>15</v>
      </c>
      <c r="E150">
        <v>12</v>
      </c>
      <c r="F150">
        <v>15</v>
      </c>
      <c r="G150">
        <v>9</v>
      </c>
      <c r="H150">
        <v>8</v>
      </c>
      <c r="I150">
        <v>10</v>
      </c>
      <c r="J150">
        <v>7</v>
      </c>
      <c r="K150">
        <v>16</v>
      </c>
      <c r="O150" s="23">
        <f t="shared" si="10"/>
        <v>12</v>
      </c>
      <c r="P150" s="23">
        <f t="shared" si="11"/>
        <v>3.07</v>
      </c>
      <c r="Q150">
        <f t="shared" si="9"/>
        <v>-5</v>
      </c>
      <c r="R150">
        <v>12</v>
      </c>
      <c r="S150">
        <v>12</v>
      </c>
    </row>
    <row r="151" spans="1:19" x14ac:dyDescent="0.25">
      <c r="A151" s="14">
        <v>35</v>
      </c>
      <c r="B151" s="24">
        <v>45988</v>
      </c>
      <c r="C151">
        <v>4</v>
      </c>
      <c r="D151">
        <v>3</v>
      </c>
      <c r="E151">
        <v>3</v>
      </c>
      <c r="F151">
        <v>3</v>
      </c>
      <c r="G151">
        <v>12</v>
      </c>
      <c r="H151">
        <v>7</v>
      </c>
      <c r="I151">
        <v>15</v>
      </c>
      <c r="J151">
        <v>16</v>
      </c>
      <c r="K151">
        <v>3</v>
      </c>
      <c r="O151" s="23">
        <f t="shared" si="10"/>
        <v>7</v>
      </c>
      <c r="P151" s="23">
        <f t="shared" si="11"/>
        <v>4.8600000000000003</v>
      </c>
      <c r="Q151">
        <f t="shared" si="9"/>
        <v>-28</v>
      </c>
      <c r="R151">
        <v>4</v>
      </c>
      <c r="S151">
        <v>4</v>
      </c>
    </row>
    <row r="152" spans="1:19" x14ac:dyDescent="0.25">
      <c r="A152" s="14">
        <v>19</v>
      </c>
      <c r="B152" s="24">
        <v>45989</v>
      </c>
      <c r="C152">
        <v>6</v>
      </c>
      <c r="D152">
        <v>8</v>
      </c>
      <c r="E152">
        <v>5</v>
      </c>
      <c r="F152">
        <v>5</v>
      </c>
      <c r="G152">
        <v>12</v>
      </c>
      <c r="H152">
        <v>13</v>
      </c>
      <c r="I152">
        <v>15</v>
      </c>
      <c r="J152">
        <v>15</v>
      </c>
      <c r="K152">
        <v>11</v>
      </c>
      <c r="O152" s="23">
        <f t="shared" si="10"/>
        <v>10</v>
      </c>
      <c r="P152" s="23">
        <f t="shared" si="11"/>
        <v>3.6</v>
      </c>
      <c r="Q152">
        <f t="shared" si="9"/>
        <v>-9</v>
      </c>
      <c r="R152">
        <v>9</v>
      </c>
      <c r="S152">
        <v>7</v>
      </c>
    </row>
    <row r="153" spans="1:19" x14ac:dyDescent="0.25">
      <c r="A153" s="14">
        <v>17</v>
      </c>
      <c r="B153" s="24">
        <v>45990</v>
      </c>
      <c r="C153">
        <v>32</v>
      </c>
      <c r="D153">
        <v>30</v>
      </c>
      <c r="E153">
        <v>21</v>
      </c>
      <c r="F153">
        <v>21</v>
      </c>
      <c r="G153">
        <v>9</v>
      </c>
      <c r="H153">
        <v>14</v>
      </c>
      <c r="I153">
        <v>13</v>
      </c>
      <c r="J153">
        <v>12</v>
      </c>
      <c r="K153">
        <v>32</v>
      </c>
      <c r="O153" s="23">
        <f t="shared" si="10"/>
        <v>20</v>
      </c>
      <c r="P153" s="23">
        <f t="shared" si="11"/>
        <v>7.75</v>
      </c>
      <c r="Q153">
        <f t="shared" si="9"/>
        <v>3</v>
      </c>
      <c r="R153">
        <v>19</v>
      </c>
      <c r="S153">
        <v>20</v>
      </c>
    </row>
    <row r="154" spans="1:19" x14ac:dyDescent="0.25">
      <c r="A154" s="14">
        <v>20</v>
      </c>
      <c r="B154" s="24">
        <v>45991</v>
      </c>
      <c r="C154">
        <v>17</v>
      </c>
      <c r="D154">
        <v>18</v>
      </c>
      <c r="E154">
        <v>17</v>
      </c>
      <c r="F154">
        <v>23</v>
      </c>
      <c r="G154">
        <v>9</v>
      </c>
      <c r="H154">
        <v>16</v>
      </c>
      <c r="I154">
        <v>30</v>
      </c>
      <c r="J154">
        <v>26</v>
      </c>
      <c r="K154">
        <v>18</v>
      </c>
      <c r="O154" s="23">
        <f t="shared" si="10"/>
        <v>20</v>
      </c>
      <c r="P154" s="23">
        <f t="shared" si="11"/>
        <v>5.31</v>
      </c>
      <c r="Q154">
        <f t="shared" si="9"/>
        <v>0</v>
      </c>
      <c r="R154">
        <v>22</v>
      </c>
      <c r="S154">
        <v>20</v>
      </c>
    </row>
    <row r="155" spans="1:19" x14ac:dyDescent="0.25">
      <c r="A155" s="14">
        <v>18</v>
      </c>
      <c r="B155" s="24">
        <v>45992</v>
      </c>
      <c r="C155">
        <v>12</v>
      </c>
      <c r="D155">
        <v>12</v>
      </c>
      <c r="E155">
        <v>11</v>
      </c>
      <c r="F155">
        <v>14</v>
      </c>
      <c r="G155">
        <v>6</v>
      </c>
      <c r="H155">
        <v>8</v>
      </c>
      <c r="I155">
        <v>23</v>
      </c>
      <c r="J155">
        <v>20</v>
      </c>
      <c r="K155">
        <v>13</v>
      </c>
      <c r="O155" s="23">
        <f t="shared" si="10"/>
        <v>13</v>
      </c>
      <c r="P155" s="23">
        <f t="shared" si="11"/>
        <v>4.59</v>
      </c>
      <c r="Q155">
        <f t="shared" si="9"/>
        <v>-5</v>
      </c>
      <c r="R155">
        <v>12</v>
      </c>
      <c r="S155">
        <v>12</v>
      </c>
    </row>
    <row r="156" spans="1:19" x14ac:dyDescent="0.25">
      <c r="A156" s="14">
        <v>15</v>
      </c>
      <c r="B156" s="24">
        <v>45993</v>
      </c>
      <c r="C156">
        <v>15</v>
      </c>
      <c r="D156">
        <v>14</v>
      </c>
      <c r="E156">
        <v>13</v>
      </c>
      <c r="F156">
        <v>16</v>
      </c>
      <c r="G156">
        <v>13</v>
      </c>
      <c r="H156">
        <v>8</v>
      </c>
      <c r="I156">
        <v>12</v>
      </c>
      <c r="J156">
        <v>11</v>
      </c>
      <c r="K156">
        <v>17</v>
      </c>
      <c r="O156" s="23">
        <f t="shared" si="10"/>
        <v>13</v>
      </c>
      <c r="P156" s="23">
        <f t="shared" si="11"/>
        <v>2.4300000000000002</v>
      </c>
      <c r="Q156">
        <f t="shared" si="9"/>
        <v>-2</v>
      </c>
      <c r="R156">
        <v>11</v>
      </c>
      <c r="S156">
        <v>12</v>
      </c>
    </row>
    <row r="157" spans="1:19" x14ac:dyDescent="0.25">
      <c r="A157" s="14">
        <v>55</v>
      </c>
      <c r="B157" s="24">
        <v>45994</v>
      </c>
      <c r="C157">
        <v>14</v>
      </c>
      <c r="D157">
        <v>14</v>
      </c>
      <c r="E157">
        <v>11</v>
      </c>
      <c r="F157">
        <v>12</v>
      </c>
      <c r="G157">
        <v>8</v>
      </c>
      <c r="H157">
        <v>8</v>
      </c>
      <c r="I157">
        <v>8</v>
      </c>
      <c r="J157">
        <v>9</v>
      </c>
      <c r="K157">
        <v>14</v>
      </c>
      <c r="O157" s="23">
        <f t="shared" si="10"/>
        <v>11</v>
      </c>
      <c r="P157" s="23">
        <f t="shared" si="11"/>
        <v>2.33</v>
      </c>
      <c r="Q157">
        <f t="shared" si="9"/>
        <v>-44</v>
      </c>
      <c r="R157">
        <v>11</v>
      </c>
      <c r="S157">
        <v>10</v>
      </c>
    </row>
    <row r="158" spans="1:19" x14ac:dyDescent="0.25">
      <c r="A158" s="14">
        <v>19</v>
      </c>
      <c r="B158" s="24">
        <v>45995</v>
      </c>
      <c r="C158">
        <v>23</v>
      </c>
      <c r="D158">
        <v>23</v>
      </c>
      <c r="E158">
        <v>16</v>
      </c>
      <c r="F158">
        <v>19</v>
      </c>
      <c r="G158">
        <v>24</v>
      </c>
      <c r="H158">
        <v>23</v>
      </c>
      <c r="I158">
        <v>25</v>
      </c>
      <c r="J158">
        <v>28</v>
      </c>
      <c r="K158">
        <v>18</v>
      </c>
      <c r="O158" s="23">
        <f t="shared" si="10"/>
        <v>21</v>
      </c>
      <c r="P158" s="23">
        <f t="shared" si="11"/>
        <v>3.92</v>
      </c>
      <c r="Q158">
        <f t="shared" si="9"/>
        <v>2</v>
      </c>
      <c r="R158">
        <v>18</v>
      </c>
      <c r="S158">
        <v>15</v>
      </c>
    </row>
    <row r="159" spans="1:19" x14ac:dyDescent="0.25">
      <c r="A159" s="14">
        <v>10</v>
      </c>
      <c r="B159" s="24">
        <v>45996</v>
      </c>
      <c r="C159">
        <v>29</v>
      </c>
      <c r="D159">
        <v>26</v>
      </c>
      <c r="E159">
        <v>20</v>
      </c>
      <c r="F159">
        <v>20</v>
      </c>
      <c r="G159">
        <v>12</v>
      </c>
      <c r="H159">
        <v>11</v>
      </c>
      <c r="I159">
        <v>11</v>
      </c>
      <c r="J159">
        <v>11</v>
      </c>
      <c r="K159">
        <v>28</v>
      </c>
      <c r="O159" s="23">
        <f t="shared" si="10"/>
        <v>19</v>
      </c>
      <c r="P159" s="23">
        <f t="shared" si="11"/>
        <v>6.55</v>
      </c>
      <c r="Q159">
        <f t="shared" si="9"/>
        <v>9</v>
      </c>
      <c r="R159">
        <v>19</v>
      </c>
      <c r="S159">
        <v>19</v>
      </c>
    </row>
    <row r="160" spans="1:19" x14ac:dyDescent="0.25">
      <c r="A160" s="14">
        <v>30</v>
      </c>
      <c r="B160" s="24">
        <v>45997</v>
      </c>
      <c r="C160">
        <v>32</v>
      </c>
      <c r="D160">
        <v>29</v>
      </c>
      <c r="E160">
        <v>19</v>
      </c>
      <c r="F160">
        <v>19</v>
      </c>
      <c r="G160">
        <v>11</v>
      </c>
      <c r="H160">
        <v>17</v>
      </c>
      <c r="I160">
        <v>17</v>
      </c>
      <c r="J160">
        <v>13</v>
      </c>
      <c r="K160">
        <v>29</v>
      </c>
      <c r="O160" s="23">
        <f t="shared" si="10"/>
        <v>21</v>
      </c>
      <c r="P160" s="23">
        <f t="shared" si="11"/>
        <v>6.43</v>
      </c>
      <c r="Q160">
        <f t="shared" si="9"/>
        <v>-9</v>
      </c>
      <c r="R160">
        <v>20</v>
      </c>
      <c r="S160">
        <v>22</v>
      </c>
    </row>
    <row r="161" spans="1:19" x14ac:dyDescent="0.25">
      <c r="A161" s="14">
        <v>22</v>
      </c>
      <c r="B161" s="24">
        <v>45998</v>
      </c>
      <c r="C161">
        <v>47</v>
      </c>
      <c r="D161">
        <v>42</v>
      </c>
      <c r="E161">
        <v>35</v>
      </c>
      <c r="F161">
        <v>36</v>
      </c>
      <c r="G161">
        <v>12</v>
      </c>
      <c r="H161">
        <v>28</v>
      </c>
      <c r="I161">
        <v>35</v>
      </c>
      <c r="J161">
        <v>34</v>
      </c>
      <c r="K161">
        <v>51</v>
      </c>
      <c r="O161" s="23">
        <f t="shared" si="10"/>
        <v>36</v>
      </c>
      <c r="P161" s="23">
        <f t="shared" si="11"/>
        <v>9.85</v>
      </c>
      <c r="Q161">
        <f t="shared" si="9"/>
        <v>14</v>
      </c>
      <c r="R161">
        <v>40</v>
      </c>
      <c r="S161">
        <v>41</v>
      </c>
    </row>
    <row r="162" spans="1:19" x14ac:dyDescent="0.25">
      <c r="A162" s="14">
        <v>28</v>
      </c>
      <c r="B162" s="24">
        <v>45999</v>
      </c>
      <c r="C162">
        <v>16</v>
      </c>
      <c r="D162">
        <v>16</v>
      </c>
      <c r="E162">
        <v>12</v>
      </c>
      <c r="F162">
        <v>15</v>
      </c>
      <c r="G162">
        <v>6</v>
      </c>
      <c r="H162">
        <v>8</v>
      </c>
      <c r="I162">
        <v>19</v>
      </c>
      <c r="J162">
        <v>19</v>
      </c>
      <c r="K162">
        <v>16</v>
      </c>
      <c r="O162" s="23">
        <f t="shared" si="10"/>
        <v>14</v>
      </c>
      <c r="P162" s="23">
        <f t="shared" si="11"/>
        <v>3.98</v>
      </c>
      <c r="Q162">
        <f t="shared" si="9"/>
        <v>-14</v>
      </c>
      <c r="R162">
        <v>12</v>
      </c>
      <c r="S162">
        <v>12</v>
      </c>
    </row>
    <row r="163" spans="1:19" x14ac:dyDescent="0.25">
      <c r="A163" s="14">
        <v>11</v>
      </c>
      <c r="B163" s="24">
        <v>46000</v>
      </c>
      <c r="C163">
        <v>15</v>
      </c>
      <c r="D163">
        <v>14</v>
      </c>
      <c r="E163">
        <v>11</v>
      </c>
      <c r="F163">
        <v>11</v>
      </c>
      <c r="G163">
        <v>7</v>
      </c>
      <c r="H163">
        <v>7</v>
      </c>
      <c r="I163">
        <v>22</v>
      </c>
      <c r="J163">
        <v>21</v>
      </c>
      <c r="K163">
        <v>16</v>
      </c>
      <c r="O163" s="23">
        <f t="shared" si="10"/>
        <v>14</v>
      </c>
      <c r="P163" s="23">
        <f t="shared" si="11"/>
        <v>4.6399999999999997</v>
      </c>
      <c r="Q163">
        <f t="shared" si="9"/>
        <v>3</v>
      </c>
      <c r="R163">
        <v>13</v>
      </c>
      <c r="S163">
        <v>12</v>
      </c>
    </row>
    <row r="164" spans="1:19" x14ac:dyDescent="0.25">
      <c r="A164" s="14">
        <v>24</v>
      </c>
      <c r="B164" s="24">
        <v>46001</v>
      </c>
      <c r="C164">
        <v>24</v>
      </c>
      <c r="D164">
        <v>23</v>
      </c>
      <c r="E164">
        <v>14</v>
      </c>
      <c r="F164">
        <v>17</v>
      </c>
      <c r="G164">
        <v>9</v>
      </c>
      <c r="H164">
        <v>11</v>
      </c>
      <c r="I164">
        <v>17</v>
      </c>
      <c r="J164">
        <v>10</v>
      </c>
      <c r="K164">
        <v>22</v>
      </c>
      <c r="O164" s="23">
        <f t="shared" si="10"/>
        <v>16</v>
      </c>
      <c r="P164" s="23">
        <f t="shared" si="11"/>
        <v>5.19</v>
      </c>
      <c r="Q164">
        <f t="shared" si="9"/>
        <v>-8</v>
      </c>
      <c r="R164">
        <v>11</v>
      </c>
      <c r="S164">
        <v>13</v>
      </c>
    </row>
    <row r="165" spans="1:19" x14ac:dyDescent="0.25">
      <c r="A165" s="14">
        <v>14</v>
      </c>
      <c r="B165" s="24">
        <v>46002</v>
      </c>
      <c r="C165">
        <v>30</v>
      </c>
      <c r="D165">
        <v>26</v>
      </c>
      <c r="E165">
        <v>15</v>
      </c>
      <c r="F165">
        <v>16</v>
      </c>
      <c r="G165">
        <v>12</v>
      </c>
      <c r="H165">
        <v>9</v>
      </c>
      <c r="I165">
        <v>9</v>
      </c>
      <c r="J165">
        <v>10</v>
      </c>
      <c r="K165">
        <v>28</v>
      </c>
      <c r="O165" s="23">
        <f t="shared" si="10"/>
        <v>17</v>
      </c>
      <c r="P165" s="23">
        <f t="shared" si="11"/>
        <v>7.35</v>
      </c>
      <c r="Q165">
        <f t="shared" si="9"/>
        <v>3</v>
      </c>
      <c r="R165">
        <v>13</v>
      </c>
      <c r="S165">
        <v>16</v>
      </c>
    </row>
    <row r="166" spans="1:19" x14ac:dyDescent="0.25">
      <c r="A166" s="14">
        <v>20</v>
      </c>
      <c r="B166" s="24">
        <v>46003</v>
      </c>
      <c r="C166">
        <v>33</v>
      </c>
      <c r="D166">
        <v>32</v>
      </c>
      <c r="E166">
        <v>23</v>
      </c>
      <c r="F166">
        <v>21</v>
      </c>
      <c r="G166">
        <v>23</v>
      </c>
      <c r="H166">
        <v>16</v>
      </c>
      <c r="I166">
        <v>22</v>
      </c>
      <c r="J166">
        <v>13</v>
      </c>
      <c r="K166">
        <v>35</v>
      </c>
      <c r="O166" s="23">
        <f t="shared" si="10"/>
        <v>24</v>
      </c>
      <c r="P166" s="23">
        <f t="shared" si="11"/>
        <v>6.59</v>
      </c>
      <c r="Q166">
        <f t="shared" si="9"/>
        <v>4</v>
      </c>
      <c r="R166">
        <v>21</v>
      </c>
      <c r="S166">
        <v>22</v>
      </c>
    </row>
    <row r="167" spans="1:19" x14ac:dyDescent="0.25">
      <c r="A167" s="14">
        <v>31</v>
      </c>
      <c r="B167" s="24">
        <v>46004</v>
      </c>
      <c r="C167">
        <v>34</v>
      </c>
      <c r="D167">
        <v>29</v>
      </c>
      <c r="E167">
        <v>19</v>
      </c>
      <c r="F167">
        <v>12</v>
      </c>
      <c r="G167">
        <v>9</v>
      </c>
      <c r="H167">
        <v>13</v>
      </c>
      <c r="I167">
        <v>11</v>
      </c>
      <c r="J167">
        <v>11</v>
      </c>
      <c r="K167">
        <v>30</v>
      </c>
      <c r="O167" s="23">
        <f t="shared" si="10"/>
        <v>18</v>
      </c>
      <c r="P167" s="23">
        <f t="shared" si="11"/>
        <v>8.41</v>
      </c>
      <c r="Q167">
        <f t="shared" si="9"/>
        <v>-13</v>
      </c>
      <c r="R167">
        <v>14</v>
      </c>
      <c r="S167">
        <v>17</v>
      </c>
    </row>
    <row r="168" spans="1:19" x14ac:dyDescent="0.25">
      <c r="A168" s="14">
        <v>72</v>
      </c>
      <c r="B168" s="24">
        <v>46005</v>
      </c>
      <c r="C168">
        <v>26</v>
      </c>
      <c r="D168">
        <v>23</v>
      </c>
      <c r="E168">
        <v>24</v>
      </c>
      <c r="F168">
        <v>22</v>
      </c>
      <c r="G168">
        <v>16</v>
      </c>
      <c r="H168">
        <v>25</v>
      </c>
      <c r="I168">
        <v>21</v>
      </c>
      <c r="J168">
        <v>21</v>
      </c>
      <c r="K168">
        <v>24</v>
      </c>
      <c r="O168" s="23">
        <f t="shared" si="10"/>
        <v>22</v>
      </c>
      <c r="P168" s="23">
        <f t="shared" si="11"/>
        <v>2.54</v>
      </c>
      <c r="Q168">
        <f t="shared" si="9"/>
        <v>-50</v>
      </c>
      <c r="R168">
        <v>22</v>
      </c>
      <c r="S168">
        <v>23</v>
      </c>
    </row>
    <row r="169" spans="1:19" x14ac:dyDescent="0.25">
      <c r="A169" s="14">
        <v>8</v>
      </c>
      <c r="B169" s="24">
        <v>46006</v>
      </c>
      <c r="C169">
        <v>21</v>
      </c>
      <c r="D169">
        <v>18</v>
      </c>
      <c r="E169">
        <v>17</v>
      </c>
      <c r="F169">
        <v>18</v>
      </c>
      <c r="G169">
        <v>12</v>
      </c>
      <c r="H169">
        <v>13</v>
      </c>
      <c r="I169">
        <v>19</v>
      </c>
      <c r="J169">
        <v>16</v>
      </c>
      <c r="K169">
        <v>21</v>
      </c>
      <c r="O169" s="23">
        <f t="shared" si="10"/>
        <v>17</v>
      </c>
      <c r="P169" s="23">
        <f t="shared" si="11"/>
        <v>2.86</v>
      </c>
      <c r="Q169">
        <f t="shared" si="9"/>
        <v>9</v>
      </c>
      <c r="R169">
        <v>14</v>
      </c>
      <c r="S169">
        <v>18</v>
      </c>
    </row>
    <row r="170" spans="1:19" x14ac:dyDescent="0.25">
      <c r="A170" s="14">
        <v>13</v>
      </c>
      <c r="B170" s="24">
        <v>46007</v>
      </c>
      <c r="C170">
        <v>15</v>
      </c>
      <c r="D170">
        <v>15</v>
      </c>
      <c r="E170">
        <v>10</v>
      </c>
      <c r="F170">
        <v>13</v>
      </c>
      <c r="G170">
        <v>9</v>
      </c>
      <c r="H170">
        <v>7</v>
      </c>
      <c r="I170">
        <v>18</v>
      </c>
      <c r="J170">
        <v>13</v>
      </c>
      <c r="K170">
        <v>16</v>
      </c>
      <c r="O170" s="23">
        <f t="shared" si="10"/>
        <v>13</v>
      </c>
      <c r="P170" s="23">
        <f t="shared" si="11"/>
        <v>3.11</v>
      </c>
      <c r="Q170">
        <f t="shared" si="9"/>
        <v>0</v>
      </c>
      <c r="R170">
        <v>11</v>
      </c>
      <c r="S170">
        <v>12</v>
      </c>
    </row>
    <row r="171" spans="1:19" x14ac:dyDescent="0.25">
      <c r="A171" s="14">
        <v>43</v>
      </c>
      <c r="B171" s="24">
        <v>46008</v>
      </c>
      <c r="C171">
        <v>25</v>
      </c>
      <c r="D171">
        <v>25</v>
      </c>
      <c r="E171">
        <v>14</v>
      </c>
      <c r="F171">
        <v>14</v>
      </c>
      <c r="G171">
        <v>17</v>
      </c>
      <c r="H171">
        <v>14</v>
      </c>
      <c r="I171">
        <v>31</v>
      </c>
      <c r="J171">
        <v>34</v>
      </c>
      <c r="K171">
        <v>25</v>
      </c>
      <c r="O171" s="23">
        <f t="shared" si="10"/>
        <v>21</v>
      </c>
      <c r="P171" s="23">
        <f t="shared" si="11"/>
        <v>6.71</v>
      </c>
      <c r="Q171">
        <f t="shared" si="9"/>
        <v>-22</v>
      </c>
      <c r="R171">
        <v>20</v>
      </c>
      <c r="S171">
        <v>17</v>
      </c>
    </row>
    <row r="172" spans="1:19" x14ac:dyDescent="0.25">
      <c r="A172" s="14">
        <v>56</v>
      </c>
      <c r="B172" s="24">
        <v>46009</v>
      </c>
      <c r="C172">
        <v>19</v>
      </c>
      <c r="D172">
        <v>23</v>
      </c>
      <c r="E172">
        <v>12</v>
      </c>
      <c r="F172">
        <v>15</v>
      </c>
      <c r="G172">
        <v>23</v>
      </c>
      <c r="H172">
        <v>16</v>
      </c>
      <c r="I172">
        <v>38</v>
      </c>
      <c r="J172">
        <v>38</v>
      </c>
      <c r="K172">
        <v>30</v>
      </c>
      <c r="O172" s="23">
        <f t="shared" si="10"/>
        <v>23</v>
      </c>
      <c r="P172" s="23">
        <f t="shared" si="11"/>
        <v>8.6199999999999992</v>
      </c>
      <c r="Q172">
        <f t="shared" si="9"/>
        <v>-33</v>
      </c>
      <c r="R172">
        <v>25</v>
      </c>
      <c r="S172">
        <v>15</v>
      </c>
    </row>
    <row r="173" spans="1:19" x14ac:dyDescent="0.25">
      <c r="A173" s="14">
        <v>33</v>
      </c>
      <c r="B173" s="24">
        <v>46010</v>
      </c>
      <c r="C173">
        <v>12</v>
      </c>
      <c r="D173">
        <v>19</v>
      </c>
      <c r="E173">
        <v>14</v>
      </c>
      <c r="F173">
        <v>16</v>
      </c>
      <c r="G173">
        <v>11</v>
      </c>
      <c r="H173">
        <v>15</v>
      </c>
      <c r="I173">
        <v>25</v>
      </c>
      <c r="J173">
        <v>17</v>
      </c>
      <c r="K173">
        <v>30</v>
      </c>
      <c r="O173" s="23">
        <f t="shared" si="10"/>
        <v>17</v>
      </c>
      <c r="P173" s="23">
        <f t="shared" si="11"/>
        <v>5.41</v>
      </c>
      <c r="Q173">
        <f t="shared" si="9"/>
        <v>-16</v>
      </c>
      <c r="R173">
        <v>16</v>
      </c>
      <c r="S173">
        <v>14</v>
      </c>
    </row>
    <row r="174" spans="1:19" x14ac:dyDescent="0.25">
      <c r="A174" s="14">
        <v>37</v>
      </c>
      <c r="B174" s="24">
        <v>46011</v>
      </c>
      <c r="C174">
        <v>24</v>
      </c>
      <c r="D174">
        <v>26</v>
      </c>
      <c r="E174">
        <v>14</v>
      </c>
      <c r="F174">
        <v>15</v>
      </c>
      <c r="G174">
        <v>8</v>
      </c>
      <c r="H174">
        <v>12</v>
      </c>
      <c r="I174">
        <v>10</v>
      </c>
      <c r="J174">
        <v>11</v>
      </c>
      <c r="K174">
        <v>26</v>
      </c>
      <c r="O174" s="23">
        <f t="shared" si="10"/>
        <v>16</v>
      </c>
      <c r="P174" s="23">
        <f t="shared" si="11"/>
        <v>6.18</v>
      </c>
      <c r="Q174">
        <f t="shared" si="9"/>
        <v>-21</v>
      </c>
      <c r="R174">
        <v>13</v>
      </c>
      <c r="S174">
        <v>17</v>
      </c>
    </row>
    <row r="175" spans="1:19" x14ac:dyDescent="0.25">
      <c r="A175" s="14">
        <v>84</v>
      </c>
      <c r="B175" s="24">
        <v>46012</v>
      </c>
      <c r="C175">
        <v>13</v>
      </c>
      <c r="D175">
        <v>36</v>
      </c>
      <c r="E175">
        <v>19</v>
      </c>
      <c r="F175">
        <v>26</v>
      </c>
      <c r="G175">
        <v>10</v>
      </c>
      <c r="H175">
        <v>9</v>
      </c>
      <c r="I175">
        <v>33</v>
      </c>
      <c r="J175">
        <v>11</v>
      </c>
      <c r="K175">
        <v>18</v>
      </c>
      <c r="O175" s="23">
        <f t="shared" si="10"/>
        <v>21</v>
      </c>
      <c r="P175" s="23">
        <f t="shared" si="11"/>
        <v>9.31</v>
      </c>
      <c r="Q175">
        <f t="shared" si="9"/>
        <v>-63</v>
      </c>
      <c r="R175">
        <v>27</v>
      </c>
      <c r="S175">
        <v>30</v>
      </c>
    </row>
    <row r="176" spans="1:19" x14ac:dyDescent="0.25">
      <c r="A176" s="14">
        <v>30</v>
      </c>
      <c r="B176" s="24">
        <v>46013</v>
      </c>
      <c r="C176">
        <v>38</v>
      </c>
      <c r="D176">
        <v>41</v>
      </c>
      <c r="E176">
        <v>24</v>
      </c>
      <c r="F176">
        <v>25</v>
      </c>
      <c r="G176">
        <v>12</v>
      </c>
      <c r="H176">
        <v>20</v>
      </c>
      <c r="I176">
        <v>41</v>
      </c>
      <c r="J176">
        <v>23</v>
      </c>
      <c r="K176">
        <v>48</v>
      </c>
      <c r="O176" s="23">
        <f t="shared" si="10"/>
        <v>30</v>
      </c>
      <c r="P176" s="23">
        <f t="shared" si="11"/>
        <v>10.4</v>
      </c>
      <c r="Q176">
        <f t="shared" si="9"/>
        <v>0</v>
      </c>
      <c r="R176">
        <v>31</v>
      </c>
      <c r="S176">
        <v>25</v>
      </c>
    </row>
    <row r="177" spans="1:19" x14ac:dyDescent="0.25">
      <c r="A177" s="14">
        <v>10</v>
      </c>
      <c r="B177" s="24">
        <v>46014</v>
      </c>
      <c r="C177">
        <v>24</v>
      </c>
      <c r="D177">
        <v>19</v>
      </c>
      <c r="E177">
        <v>11</v>
      </c>
      <c r="F177">
        <v>16</v>
      </c>
      <c r="G177">
        <v>6</v>
      </c>
      <c r="H177">
        <v>8</v>
      </c>
      <c r="I177">
        <v>16</v>
      </c>
      <c r="J177">
        <v>9</v>
      </c>
      <c r="K177">
        <v>22</v>
      </c>
      <c r="O177" s="23">
        <f t="shared" si="10"/>
        <v>14</v>
      </c>
      <c r="P177" s="23">
        <f t="shared" si="11"/>
        <v>5.51</v>
      </c>
      <c r="Q177">
        <f t="shared" si="9"/>
        <v>4</v>
      </c>
      <c r="R177">
        <v>12</v>
      </c>
      <c r="S177">
        <v>15</v>
      </c>
    </row>
    <row r="178" spans="1:19" x14ac:dyDescent="0.25">
      <c r="A178" s="14">
        <v>10</v>
      </c>
      <c r="B178" s="24">
        <v>46015</v>
      </c>
      <c r="C178">
        <v>4</v>
      </c>
      <c r="D178">
        <v>5</v>
      </c>
      <c r="E178">
        <v>6</v>
      </c>
      <c r="F178">
        <v>8</v>
      </c>
      <c r="G178">
        <v>8</v>
      </c>
      <c r="H178">
        <v>5</v>
      </c>
      <c r="I178">
        <v>13</v>
      </c>
      <c r="J178">
        <v>4</v>
      </c>
      <c r="K178">
        <v>7</v>
      </c>
      <c r="O178" s="23">
        <f t="shared" si="10"/>
        <v>6</v>
      </c>
      <c r="P178" s="23">
        <f t="shared" si="11"/>
        <v>2.46</v>
      </c>
      <c r="Q178">
        <f t="shared" si="9"/>
        <v>-4</v>
      </c>
      <c r="R178">
        <v>6</v>
      </c>
      <c r="S178">
        <v>5</v>
      </c>
    </row>
    <row r="179" spans="1:19" x14ac:dyDescent="0.25">
      <c r="A179" s="14">
        <v>0</v>
      </c>
      <c r="B179" s="24">
        <v>46016</v>
      </c>
      <c r="C179">
        <v>4</v>
      </c>
      <c r="D179">
        <v>6</v>
      </c>
      <c r="E179">
        <v>5</v>
      </c>
      <c r="F179">
        <v>5</v>
      </c>
      <c r="G179">
        <v>9</v>
      </c>
      <c r="H179">
        <v>5</v>
      </c>
      <c r="I179">
        <v>14</v>
      </c>
      <c r="J179">
        <v>6</v>
      </c>
      <c r="K179">
        <v>4</v>
      </c>
      <c r="O179" s="23">
        <f t="shared" si="10"/>
        <v>6</v>
      </c>
      <c r="P179" s="23">
        <f t="shared" si="11"/>
        <v>2.89</v>
      </c>
      <c r="Q179">
        <f t="shared" si="9"/>
        <v>6</v>
      </c>
      <c r="R179">
        <v>4</v>
      </c>
      <c r="S179">
        <v>4</v>
      </c>
    </row>
    <row r="180" spans="1:19" x14ac:dyDescent="0.25">
      <c r="A180" s="14">
        <v>24</v>
      </c>
      <c r="B180" s="24">
        <v>46017</v>
      </c>
      <c r="C180">
        <v>8</v>
      </c>
      <c r="D180">
        <v>13</v>
      </c>
      <c r="E180">
        <v>9</v>
      </c>
      <c r="F180">
        <v>8</v>
      </c>
      <c r="G180">
        <v>20</v>
      </c>
      <c r="H180">
        <v>8</v>
      </c>
      <c r="I180">
        <v>22</v>
      </c>
      <c r="J180">
        <v>16</v>
      </c>
      <c r="K180">
        <v>14</v>
      </c>
      <c r="O180" s="23">
        <f t="shared" si="10"/>
        <v>13</v>
      </c>
      <c r="P180" s="23">
        <f t="shared" si="11"/>
        <v>4.7</v>
      </c>
      <c r="Q180">
        <f t="shared" si="9"/>
        <v>-11</v>
      </c>
      <c r="R180">
        <v>11</v>
      </c>
      <c r="S180">
        <v>10</v>
      </c>
    </row>
    <row r="181" spans="1:19" x14ac:dyDescent="0.25">
      <c r="A181" s="14">
        <v>65</v>
      </c>
      <c r="B181" s="24">
        <v>46018</v>
      </c>
      <c r="C181">
        <v>16</v>
      </c>
      <c r="D181">
        <v>23</v>
      </c>
      <c r="E181">
        <v>13</v>
      </c>
      <c r="F181">
        <v>12</v>
      </c>
      <c r="G181">
        <v>30</v>
      </c>
      <c r="H181">
        <v>16</v>
      </c>
      <c r="I181">
        <v>28</v>
      </c>
      <c r="J181">
        <v>27</v>
      </c>
      <c r="K181">
        <v>23</v>
      </c>
      <c r="O181" s="23">
        <f t="shared" si="10"/>
        <v>20</v>
      </c>
      <c r="P181" s="23">
        <f t="shared" si="11"/>
        <v>5.9</v>
      </c>
      <c r="Q181">
        <f t="shared" si="9"/>
        <v>-45</v>
      </c>
      <c r="R181">
        <v>20</v>
      </c>
      <c r="S181">
        <v>17</v>
      </c>
    </row>
    <row r="182" spans="1:19" x14ac:dyDescent="0.25">
      <c r="A182" s="14">
        <v>68</v>
      </c>
      <c r="B182" s="24">
        <v>46019</v>
      </c>
      <c r="C182">
        <v>31</v>
      </c>
      <c r="D182">
        <v>32</v>
      </c>
      <c r="E182">
        <v>25</v>
      </c>
      <c r="F182">
        <v>36</v>
      </c>
      <c r="G182">
        <v>15</v>
      </c>
      <c r="H182">
        <v>20</v>
      </c>
      <c r="I182">
        <v>51</v>
      </c>
      <c r="J182">
        <v>49</v>
      </c>
      <c r="K182">
        <v>38</v>
      </c>
      <c r="O182" s="23">
        <f t="shared" si="10"/>
        <v>32</v>
      </c>
      <c r="P182" s="23">
        <f t="shared" si="11"/>
        <v>10.49</v>
      </c>
      <c r="Q182">
        <f t="shared" si="9"/>
        <v>-36</v>
      </c>
      <c r="R182">
        <v>31</v>
      </c>
      <c r="S182">
        <v>27</v>
      </c>
    </row>
    <row r="183" spans="1:19" x14ac:dyDescent="0.25">
      <c r="A183" s="14">
        <v>12</v>
      </c>
      <c r="B183" s="24">
        <v>46020</v>
      </c>
      <c r="C183">
        <v>13</v>
      </c>
      <c r="D183">
        <v>25</v>
      </c>
      <c r="E183">
        <v>16</v>
      </c>
      <c r="F183">
        <v>14</v>
      </c>
      <c r="G183">
        <v>8</v>
      </c>
      <c r="H183">
        <v>10</v>
      </c>
      <c r="I183">
        <v>21</v>
      </c>
      <c r="J183">
        <v>9</v>
      </c>
      <c r="K183">
        <v>15</v>
      </c>
      <c r="O183" s="23">
        <f t="shared" si="10"/>
        <v>15</v>
      </c>
      <c r="P183" s="23">
        <f t="shared" si="11"/>
        <v>5.25</v>
      </c>
      <c r="Q183">
        <f t="shared" si="9"/>
        <v>3</v>
      </c>
      <c r="R183">
        <v>11</v>
      </c>
      <c r="S183">
        <v>21</v>
      </c>
    </row>
    <row r="184" spans="1:19" x14ac:dyDescent="0.25">
      <c r="A184" s="14">
        <v>6</v>
      </c>
      <c r="B184" s="24">
        <v>46021</v>
      </c>
      <c r="C184">
        <v>24</v>
      </c>
      <c r="D184">
        <v>24</v>
      </c>
      <c r="E184">
        <v>15</v>
      </c>
      <c r="F184">
        <v>17</v>
      </c>
      <c r="G184">
        <v>13</v>
      </c>
      <c r="H184">
        <v>12</v>
      </c>
      <c r="I184">
        <v>33</v>
      </c>
      <c r="J184">
        <v>34</v>
      </c>
      <c r="K184">
        <v>25</v>
      </c>
      <c r="O184" s="23">
        <f t="shared" si="10"/>
        <v>21</v>
      </c>
      <c r="P184" s="23">
        <f t="shared" si="11"/>
        <v>7.25</v>
      </c>
      <c r="Q184">
        <f t="shared" si="9"/>
        <v>15</v>
      </c>
      <c r="R184">
        <v>18</v>
      </c>
      <c r="S184">
        <v>16</v>
      </c>
    </row>
    <row r="185" spans="1:19" x14ac:dyDescent="0.25">
      <c r="A185" s="14">
        <v>0</v>
      </c>
      <c r="B185" s="24">
        <v>46022</v>
      </c>
      <c r="C185">
        <v>6</v>
      </c>
      <c r="D185">
        <v>7</v>
      </c>
      <c r="E185">
        <v>5</v>
      </c>
      <c r="F185">
        <v>6</v>
      </c>
      <c r="G185">
        <v>3</v>
      </c>
      <c r="H185">
        <v>5</v>
      </c>
      <c r="I185">
        <v>15</v>
      </c>
      <c r="J185">
        <v>4</v>
      </c>
      <c r="K185">
        <v>7</v>
      </c>
      <c r="O185" s="23">
        <f t="shared" si="10"/>
        <v>6</v>
      </c>
      <c r="P185" s="23">
        <f t="shared" si="11"/>
        <v>3.1</v>
      </c>
      <c r="Q185">
        <f t="shared" si="9"/>
        <v>6</v>
      </c>
      <c r="R185">
        <v>4</v>
      </c>
      <c r="S185">
        <v>4</v>
      </c>
    </row>
    <row r="186" spans="1:19" x14ac:dyDescent="0.25">
      <c r="A186" s="14">
        <v>0</v>
      </c>
      <c r="B186" s="24">
        <v>46023</v>
      </c>
      <c r="O186" s="23" t="e">
        <f t="shared" si="10"/>
        <v>#DIV/0!</v>
      </c>
      <c r="P186" s="23" t="e">
        <f t="shared" si="11"/>
        <v>#DIV/0!</v>
      </c>
      <c r="Q186" t="e">
        <f t="shared" si="9"/>
        <v>#DIV/0!</v>
      </c>
    </row>
    <row r="187" spans="1:19" x14ac:dyDescent="0.25">
      <c r="A187" s="14">
        <v>6</v>
      </c>
      <c r="B187" s="24">
        <v>46024</v>
      </c>
      <c r="O187" s="23" t="e">
        <f t="shared" si="10"/>
        <v>#DIV/0!</v>
      </c>
      <c r="P187" s="23" t="e">
        <f t="shared" si="11"/>
        <v>#DIV/0!</v>
      </c>
      <c r="Q187" t="e">
        <f t="shared" si="9"/>
        <v>#DIV/0!</v>
      </c>
    </row>
    <row r="188" spans="1:19" x14ac:dyDescent="0.25">
      <c r="A188" s="14">
        <v>13</v>
      </c>
      <c r="B188" s="24">
        <v>46025</v>
      </c>
      <c r="O188" s="23" t="e">
        <f t="shared" si="10"/>
        <v>#DIV/0!</v>
      </c>
      <c r="P188" s="23" t="e">
        <f t="shared" si="11"/>
        <v>#DIV/0!</v>
      </c>
      <c r="Q188" t="e">
        <f t="shared" si="9"/>
        <v>#DIV/0!</v>
      </c>
    </row>
    <row r="189" spans="1:19" x14ac:dyDescent="0.25">
      <c r="A189" s="14">
        <v>4</v>
      </c>
      <c r="B189" s="24">
        <v>46026</v>
      </c>
      <c r="O189" s="23" t="e">
        <f t="shared" si="10"/>
        <v>#DIV/0!</v>
      </c>
      <c r="P189" s="23" t="e">
        <f t="shared" si="11"/>
        <v>#DIV/0!</v>
      </c>
      <c r="Q189" t="e">
        <f t="shared" si="9"/>
        <v>#DIV/0!</v>
      </c>
    </row>
    <row r="190" spans="1:19" x14ac:dyDescent="0.25">
      <c r="A190" s="14">
        <v>1</v>
      </c>
      <c r="B190" s="24">
        <v>46027</v>
      </c>
      <c r="O190" s="23" t="e">
        <f t="shared" si="10"/>
        <v>#DIV/0!</v>
      </c>
      <c r="P190" s="23" t="e">
        <f t="shared" si="11"/>
        <v>#DIV/0!</v>
      </c>
      <c r="Q190" t="e">
        <f t="shared" si="9"/>
        <v>#DIV/0!</v>
      </c>
    </row>
    <row r="191" spans="1:19" x14ac:dyDescent="0.25">
      <c r="A191" s="14">
        <v>19</v>
      </c>
      <c r="B191" s="24">
        <v>46028</v>
      </c>
      <c r="O191" s="23" t="e">
        <f t="shared" si="10"/>
        <v>#DIV/0!</v>
      </c>
      <c r="P191" s="23" t="e">
        <f t="shared" si="11"/>
        <v>#DIV/0!</v>
      </c>
      <c r="Q191" t="e">
        <f t="shared" si="9"/>
        <v>#DIV/0!</v>
      </c>
    </row>
    <row r="192" spans="1:19" x14ac:dyDescent="0.25">
      <c r="A192" s="14">
        <v>6</v>
      </c>
      <c r="B192" s="24">
        <v>46029</v>
      </c>
      <c r="O192" s="23" t="e">
        <f t="shared" si="10"/>
        <v>#DIV/0!</v>
      </c>
      <c r="P192" s="23" t="e">
        <f t="shared" si="11"/>
        <v>#DIV/0!</v>
      </c>
      <c r="Q192" t="e">
        <f t="shared" si="9"/>
        <v>#DIV/0!</v>
      </c>
    </row>
    <row r="193" spans="1:19" x14ac:dyDescent="0.25">
      <c r="A193" s="14">
        <v>9</v>
      </c>
      <c r="B193" s="24">
        <v>46030</v>
      </c>
      <c r="O193" s="23" t="e">
        <f t="shared" si="10"/>
        <v>#DIV/0!</v>
      </c>
      <c r="P193" s="23" t="e">
        <f t="shared" si="11"/>
        <v>#DIV/0!</v>
      </c>
      <c r="Q193" t="e">
        <f t="shared" si="9"/>
        <v>#DIV/0!</v>
      </c>
    </row>
    <row r="194" spans="1:19" x14ac:dyDescent="0.25">
      <c r="A194" s="14">
        <v>0</v>
      </c>
      <c r="B194" s="24">
        <v>46031</v>
      </c>
      <c r="O194" s="23" t="e">
        <f t="shared" si="10"/>
        <v>#DIV/0!</v>
      </c>
      <c r="P194" s="23" t="e">
        <f t="shared" si="11"/>
        <v>#DIV/0!</v>
      </c>
      <c r="Q194" t="e">
        <f t="shared" si="9"/>
        <v>#DIV/0!</v>
      </c>
    </row>
    <row r="195" spans="1:19" x14ac:dyDescent="0.25">
      <c r="A195" s="14">
        <v>23</v>
      </c>
      <c r="B195" s="24">
        <v>46032</v>
      </c>
      <c r="O195" s="23" t="e">
        <f t="shared" si="10"/>
        <v>#DIV/0!</v>
      </c>
      <c r="P195" s="23" t="e">
        <f t="shared" si="11"/>
        <v>#DIV/0!</v>
      </c>
      <c r="Q195" t="e">
        <f t="shared" ref="Q195:Q258" si="12">O195-A195</f>
        <v>#DIV/0!</v>
      </c>
    </row>
    <row r="196" spans="1:19" x14ac:dyDescent="0.25">
      <c r="A196" s="14">
        <v>13</v>
      </c>
      <c r="B196" s="24">
        <v>46033</v>
      </c>
      <c r="C196">
        <v>13</v>
      </c>
      <c r="D196">
        <v>30</v>
      </c>
      <c r="E196">
        <v>17</v>
      </c>
      <c r="F196">
        <v>16</v>
      </c>
      <c r="G196">
        <v>16</v>
      </c>
      <c r="H196">
        <v>4</v>
      </c>
      <c r="I196">
        <v>9</v>
      </c>
      <c r="J196">
        <v>10</v>
      </c>
      <c r="K196">
        <v>26</v>
      </c>
      <c r="L196">
        <v>30</v>
      </c>
      <c r="M196">
        <v>32</v>
      </c>
      <c r="N196">
        <v>31</v>
      </c>
      <c r="O196" s="23">
        <f t="shared" si="10"/>
        <v>20</v>
      </c>
      <c r="P196" s="23">
        <f t="shared" si="11"/>
        <v>8.76</v>
      </c>
      <c r="Q196">
        <f t="shared" si="12"/>
        <v>7</v>
      </c>
      <c r="R196">
        <v>18</v>
      </c>
      <c r="S196">
        <v>22</v>
      </c>
    </row>
    <row r="197" spans="1:19" x14ac:dyDescent="0.25">
      <c r="A197" s="14">
        <v>7</v>
      </c>
      <c r="B197" s="24">
        <v>46034</v>
      </c>
      <c r="C197">
        <v>14</v>
      </c>
      <c r="D197">
        <v>18</v>
      </c>
      <c r="E197">
        <v>11</v>
      </c>
      <c r="F197">
        <v>11</v>
      </c>
      <c r="G197">
        <v>9</v>
      </c>
      <c r="H197">
        <v>2</v>
      </c>
      <c r="I197">
        <v>5</v>
      </c>
      <c r="J197">
        <v>8</v>
      </c>
      <c r="K197">
        <v>17</v>
      </c>
      <c r="L197">
        <v>14</v>
      </c>
      <c r="M197">
        <v>24</v>
      </c>
      <c r="N197">
        <v>20</v>
      </c>
      <c r="O197" s="23">
        <f t="shared" si="10"/>
        <v>13</v>
      </c>
      <c r="P197" s="23">
        <f t="shared" si="11"/>
        <v>6.05</v>
      </c>
      <c r="Q197">
        <f t="shared" si="12"/>
        <v>6</v>
      </c>
      <c r="R197">
        <v>9</v>
      </c>
      <c r="S197">
        <v>20</v>
      </c>
    </row>
    <row r="198" spans="1:19" x14ac:dyDescent="0.25">
      <c r="A198" s="14">
        <v>2</v>
      </c>
      <c r="B198" s="24">
        <v>46035</v>
      </c>
      <c r="C198">
        <v>33</v>
      </c>
      <c r="D198">
        <v>26</v>
      </c>
      <c r="E198">
        <v>20</v>
      </c>
      <c r="F198">
        <v>16</v>
      </c>
      <c r="G198">
        <v>10</v>
      </c>
      <c r="H198">
        <v>1</v>
      </c>
      <c r="I198">
        <v>9</v>
      </c>
      <c r="J198">
        <v>14</v>
      </c>
      <c r="K198">
        <v>27</v>
      </c>
      <c r="L198">
        <v>33</v>
      </c>
      <c r="M198">
        <v>30</v>
      </c>
      <c r="N198">
        <v>25</v>
      </c>
      <c r="O198" s="23">
        <f t="shared" si="10"/>
        <v>20</v>
      </c>
      <c r="P198" s="23">
        <f t="shared" si="11"/>
        <v>9.24</v>
      </c>
      <c r="Q198">
        <f t="shared" si="12"/>
        <v>18</v>
      </c>
      <c r="R198">
        <v>17</v>
      </c>
      <c r="S198">
        <v>18</v>
      </c>
    </row>
    <row r="199" spans="1:19" x14ac:dyDescent="0.25">
      <c r="A199" s="14">
        <v>21</v>
      </c>
      <c r="B199" s="24">
        <v>46036</v>
      </c>
      <c r="C199">
        <v>14</v>
      </c>
      <c r="D199">
        <v>13</v>
      </c>
      <c r="E199">
        <v>6</v>
      </c>
      <c r="F199">
        <v>9</v>
      </c>
      <c r="G199">
        <v>13</v>
      </c>
      <c r="H199">
        <v>0</v>
      </c>
      <c r="I199">
        <v>13</v>
      </c>
      <c r="J199">
        <v>9</v>
      </c>
      <c r="K199">
        <v>12</v>
      </c>
      <c r="L199">
        <v>18</v>
      </c>
      <c r="M199">
        <v>12</v>
      </c>
      <c r="N199">
        <v>11</v>
      </c>
      <c r="O199" s="23">
        <f t="shared" si="10"/>
        <v>12</v>
      </c>
      <c r="P199" s="23">
        <f t="shared" si="11"/>
        <v>4.8099999999999996</v>
      </c>
      <c r="Q199">
        <f t="shared" si="12"/>
        <v>-9</v>
      </c>
      <c r="R199">
        <v>10</v>
      </c>
      <c r="S199">
        <v>21</v>
      </c>
    </row>
    <row r="200" spans="1:19" x14ac:dyDescent="0.25">
      <c r="A200" s="14">
        <v>11</v>
      </c>
      <c r="B200" s="24">
        <v>46037</v>
      </c>
      <c r="C200">
        <v>8</v>
      </c>
      <c r="D200">
        <v>8</v>
      </c>
      <c r="E200">
        <v>9</v>
      </c>
      <c r="F200">
        <v>4</v>
      </c>
      <c r="G200">
        <v>7</v>
      </c>
      <c r="H200">
        <v>2</v>
      </c>
      <c r="I200">
        <v>10</v>
      </c>
      <c r="J200">
        <v>5</v>
      </c>
      <c r="K200">
        <v>9</v>
      </c>
      <c r="L200">
        <v>9</v>
      </c>
      <c r="M200">
        <v>4</v>
      </c>
      <c r="N200">
        <v>8</v>
      </c>
      <c r="O200" s="23">
        <f t="shared" si="10"/>
        <v>7</v>
      </c>
      <c r="P200" s="23">
        <f t="shared" si="11"/>
        <v>2.41</v>
      </c>
      <c r="Q200">
        <f t="shared" si="12"/>
        <v>-4</v>
      </c>
      <c r="R200">
        <v>4</v>
      </c>
      <c r="S200">
        <v>5</v>
      </c>
    </row>
    <row r="201" spans="1:19" x14ac:dyDescent="0.25">
      <c r="A201" s="14">
        <v>0</v>
      </c>
      <c r="B201" s="24">
        <v>46038</v>
      </c>
      <c r="C201">
        <v>65</v>
      </c>
      <c r="D201">
        <v>24</v>
      </c>
      <c r="E201">
        <v>29</v>
      </c>
      <c r="F201">
        <v>12</v>
      </c>
      <c r="G201">
        <v>19</v>
      </c>
      <c r="H201">
        <v>5</v>
      </c>
      <c r="I201">
        <v>22</v>
      </c>
      <c r="J201">
        <v>12</v>
      </c>
      <c r="K201">
        <v>29</v>
      </c>
      <c r="L201">
        <v>31</v>
      </c>
      <c r="M201">
        <v>37</v>
      </c>
      <c r="N201">
        <v>27</v>
      </c>
      <c r="O201" s="23">
        <f t="shared" si="10"/>
        <v>25</v>
      </c>
      <c r="P201" s="23">
        <f t="shared" si="11"/>
        <v>13.75</v>
      </c>
      <c r="Q201">
        <f t="shared" si="12"/>
        <v>25</v>
      </c>
      <c r="R201">
        <v>18</v>
      </c>
      <c r="S201">
        <v>26</v>
      </c>
    </row>
    <row r="202" spans="1:19" x14ac:dyDescent="0.25">
      <c r="A202" s="14">
        <v>15</v>
      </c>
      <c r="B202" s="24">
        <v>46039</v>
      </c>
      <c r="C202">
        <v>11</v>
      </c>
      <c r="D202">
        <v>17</v>
      </c>
      <c r="E202">
        <v>13</v>
      </c>
      <c r="F202">
        <v>6</v>
      </c>
      <c r="G202">
        <v>3</v>
      </c>
      <c r="H202">
        <v>0</v>
      </c>
      <c r="I202">
        <v>10</v>
      </c>
      <c r="J202">
        <v>6</v>
      </c>
      <c r="K202">
        <v>11</v>
      </c>
      <c r="L202">
        <v>11</v>
      </c>
      <c r="M202">
        <v>16</v>
      </c>
      <c r="N202">
        <v>16</v>
      </c>
      <c r="O202" s="23">
        <f t="shared" si="10"/>
        <v>10</v>
      </c>
      <c r="P202" s="23">
        <f t="shared" si="11"/>
        <v>4.88</v>
      </c>
      <c r="Q202">
        <f t="shared" si="12"/>
        <v>-5</v>
      </c>
      <c r="R202">
        <v>8</v>
      </c>
      <c r="S202">
        <v>14</v>
      </c>
    </row>
    <row r="203" spans="1:19" x14ac:dyDescent="0.25">
      <c r="A203" s="14">
        <v>25</v>
      </c>
      <c r="B203" s="24">
        <v>46040</v>
      </c>
      <c r="C203">
        <v>23</v>
      </c>
      <c r="D203">
        <v>26</v>
      </c>
      <c r="E203">
        <v>17</v>
      </c>
      <c r="F203">
        <v>15</v>
      </c>
      <c r="G203">
        <v>17</v>
      </c>
      <c r="H203">
        <v>6</v>
      </c>
      <c r="I203">
        <v>16</v>
      </c>
      <c r="J203">
        <v>11</v>
      </c>
      <c r="K203">
        <v>29</v>
      </c>
      <c r="L203">
        <v>27</v>
      </c>
      <c r="M203">
        <v>25</v>
      </c>
      <c r="N203">
        <v>28</v>
      </c>
      <c r="O203" s="23">
        <f t="shared" si="10"/>
        <v>20</v>
      </c>
      <c r="P203" s="23">
        <f t="shared" si="11"/>
        <v>6.58</v>
      </c>
      <c r="Q203">
        <f t="shared" si="12"/>
        <v>-5</v>
      </c>
      <c r="R203">
        <v>18</v>
      </c>
      <c r="S203">
        <v>18</v>
      </c>
    </row>
    <row r="204" spans="1:19" x14ac:dyDescent="0.25">
      <c r="A204" s="14">
        <v>21</v>
      </c>
      <c r="B204" s="24">
        <v>46041</v>
      </c>
      <c r="C204">
        <v>3</v>
      </c>
      <c r="D204">
        <v>5</v>
      </c>
      <c r="E204">
        <v>10</v>
      </c>
      <c r="F204">
        <v>8</v>
      </c>
      <c r="G204">
        <v>7</v>
      </c>
      <c r="H204">
        <v>15</v>
      </c>
      <c r="I204">
        <v>9</v>
      </c>
      <c r="J204">
        <v>5</v>
      </c>
      <c r="K204">
        <v>3</v>
      </c>
      <c r="L204">
        <v>3</v>
      </c>
      <c r="M204">
        <v>5</v>
      </c>
      <c r="N204">
        <v>4</v>
      </c>
      <c r="O204" s="23">
        <f t="shared" ref="O204:O251" si="13">ROUND(AVERAGE(C204:N204,R204,S204),0)</f>
        <v>6</v>
      </c>
      <c r="P204" s="23">
        <f t="shared" ref="P204:P251" si="14">ROUND(_xlfn.STDEV.P(C204:N204,R204,S204),2)</f>
        <v>3.22</v>
      </c>
      <c r="Q204">
        <f t="shared" si="12"/>
        <v>-15</v>
      </c>
      <c r="R204">
        <v>6</v>
      </c>
      <c r="S204">
        <v>5</v>
      </c>
    </row>
    <row r="205" spans="1:19" x14ac:dyDescent="0.25">
      <c r="A205" s="14">
        <v>5</v>
      </c>
      <c r="B205" s="24">
        <v>46042</v>
      </c>
      <c r="C205">
        <v>0</v>
      </c>
      <c r="D205">
        <v>12</v>
      </c>
      <c r="E205">
        <v>4</v>
      </c>
      <c r="F205">
        <v>5</v>
      </c>
      <c r="G205">
        <v>6</v>
      </c>
      <c r="H205">
        <v>1</v>
      </c>
      <c r="I205">
        <v>13</v>
      </c>
      <c r="J205">
        <v>7</v>
      </c>
      <c r="K205">
        <v>13</v>
      </c>
      <c r="L205">
        <v>13</v>
      </c>
      <c r="M205">
        <v>8</v>
      </c>
      <c r="N205">
        <v>15</v>
      </c>
      <c r="O205" s="23">
        <f t="shared" si="13"/>
        <v>8</v>
      </c>
      <c r="P205" s="23">
        <f t="shared" si="14"/>
        <v>4.6399999999999997</v>
      </c>
      <c r="Q205">
        <f t="shared" si="12"/>
        <v>3</v>
      </c>
      <c r="R205">
        <v>6</v>
      </c>
      <c r="S205">
        <v>4</v>
      </c>
    </row>
    <row r="206" spans="1:19" x14ac:dyDescent="0.25">
      <c r="A206" s="14">
        <v>18</v>
      </c>
      <c r="B206" s="24">
        <v>46043</v>
      </c>
      <c r="C206">
        <v>15</v>
      </c>
      <c r="D206">
        <v>22</v>
      </c>
      <c r="E206">
        <v>12</v>
      </c>
      <c r="F206">
        <v>10</v>
      </c>
      <c r="G206">
        <v>7</v>
      </c>
      <c r="H206">
        <v>1</v>
      </c>
      <c r="I206">
        <v>9</v>
      </c>
      <c r="J206">
        <v>10</v>
      </c>
      <c r="K206">
        <v>19</v>
      </c>
      <c r="L206">
        <v>18</v>
      </c>
      <c r="M206">
        <v>15</v>
      </c>
      <c r="N206">
        <v>19</v>
      </c>
      <c r="O206" s="23">
        <f t="shared" si="13"/>
        <v>13</v>
      </c>
      <c r="P206" s="23">
        <f t="shared" si="14"/>
        <v>5.37</v>
      </c>
      <c r="Q206">
        <f t="shared" si="12"/>
        <v>-5</v>
      </c>
      <c r="R206">
        <v>13</v>
      </c>
      <c r="S206">
        <v>15</v>
      </c>
    </row>
    <row r="207" spans="1:19" x14ac:dyDescent="0.25">
      <c r="A207" s="14">
        <v>12</v>
      </c>
      <c r="B207" s="24">
        <v>46044</v>
      </c>
      <c r="C207">
        <v>19</v>
      </c>
      <c r="D207">
        <v>21</v>
      </c>
      <c r="E207">
        <v>17</v>
      </c>
      <c r="F207">
        <v>11</v>
      </c>
      <c r="G207">
        <v>6</v>
      </c>
      <c r="H207">
        <v>4</v>
      </c>
      <c r="I207">
        <v>13</v>
      </c>
      <c r="J207">
        <v>10</v>
      </c>
      <c r="K207">
        <v>19</v>
      </c>
      <c r="L207">
        <v>21</v>
      </c>
      <c r="M207">
        <v>19</v>
      </c>
      <c r="N207">
        <v>19</v>
      </c>
      <c r="O207" s="23">
        <f t="shared" si="13"/>
        <v>15</v>
      </c>
      <c r="P207" s="23">
        <f t="shared" si="14"/>
        <v>5.36</v>
      </c>
      <c r="Q207">
        <f t="shared" si="12"/>
        <v>3</v>
      </c>
      <c r="R207">
        <v>12</v>
      </c>
      <c r="S207">
        <v>12</v>
      </c>
    </row>
    <row r="208" spans="1:19" x14ac:dyDescent="0.25">
      <c r="A208" s="14">
        <v>7</v>
      </c>
      <c r="B208" s="24">
        <v>46045</v>
      </c>
      <c r="C208">
        <v>14</v>
      </c>
      <c r="D208">
        <v>16</v>
      </c>
      <c r="E208">
        <v>14</v>
      </c>
      <c r="F208">
        <v>7</v>
      </c>
      <c r="G208">
        <v>0</v>
      </c>
      <c r="H208">
        <v>0</v>
      </c>
      <c r="I208">
        <v>14</v>
      </c>
      <c r="J208">
        <v>7</v>
      </c>
      <c r="K208">
        <v>13</v>
      </c>
      <c r="L208">
        <v>14</v>
      </c>
      <c r="M208">
        <v>18</v>
      </c>
      <c r="N208">
        <v>13</v>
      </c>
      <c r="O208" s="23">
        <f t="shared" si="13"/>
        <v>11</v>
      </c>
      <c r="P208" s="23">
        <f t="shared" si="14"/>
        <v>5.36</v>
      </c>
      <c r="Q208">
        <f t="shared" si="12"/>
        <v>4</v>
      </c>
      <c r="R208">
        <v>10</v>
      </c>
      <c r="S208">
        <v>14</v>
      </c>
    </row>
    <row r="209" spans="1:19" x14ac:dyDescent="0.25">
      <c r="A209" s="14">
        <v>26</v>
      </c>
      <c r="B209" s="24">
        <v>46046</v>
      </c>
      <c r="C209">
        <v>15</v>
      </c>
      <c r="D209">
        <v>26</v>
      </c>
      <c r="E209">
        <v>17</v>
      </c>
      <c r="F209">
        <v>12</v>
      </c>
      <c r="G209">
        <v>0</v>
      </c>
      <c r="H209">
        <v>1</v>
      </c>
      <c r="I209">
        <v>11</v>
      </c>
      <c r="J209">
        <v>10</v>
      </c>
      <c r="K209">
        <v>22</v>
      </c>
      <c r="L209">
        <v>21</v>
      </c>
      <c r="M209">
        <v>33</v>
      </c>
      <c r="N209">
        <v>24</v>
      </c>
      <c r="O209" s="23">
        <f t="shared" si="13"/>
        <v>16</v>
      </c>
      <c r="P209" s="23">
        <f t="shared" si="14"/>
        <v>8.8699999999999992</v>
      </c>
      <c r="Q209">
        <f t="shared" si="12"/>
        <v>-10</v>
      </c>
      <c r="R209">
        <v>14</v>
      </c>
      <c r="S209">
        <v>21</v>
      </c>
    </row>
    <row r="210" spans="1:19" x14ac:dyDescent="0.25">
      <c r="A210" s="14">
        <v>36</v>
      </c>
      <c r="B210" s="24">
        <v>46047</v>
      </c>
      <c r="C210">
        <v>33</v>
      </c>
      <c r="D210">
        <v>26</v>
      </c>
      <c r="E210">
        <v>27</v>
      </c>
      <c r="F210">
        <v>41</v>
      </c>
      <c r="G210">
        <v>19</v>
      </c>
      <c r="H210">
        <v>30</v>
      </c>
      <c r="I210">
        <v>31</v>
      </c>
      <c r="J210">
        <v>23</v>
      </c>
      <c r="K210">
        <v>26</v>
      </c>
      <c r="L210">
        <v>34</v>
      </c>
      <c r="M210">
        <v>43</v>
      </c>
      <c r="N210">
        <v>29</v>
      </c>
      <c r="O210" s="23">
        <f t="shared" si="13"/>
        <v>29</v>
      </c>
      <c r="P210" s="23">
        <f t="shared" si="14"/>
        <v>6.8</v>
      </c>
      <c r="Q210">
        <f t="shared" si="12"/>
        <v>-7</v>
      </c>
      <c r="R210">
        <v>27</v>
      </c>
      <c r="S210">
        <v>19</v>
      </c>
    </row>
    <row r="211" spans="1:19" x14ac:dyDescent="0.25">
      <c r="A211" s="14">
        <v>11</v>
      </c>
      <c r="B211" s="24">
        <v>46048</v>
      </c>
      <c r="C211">
        <v>25</v>
      </c>
      <c r="D211">
        <v>14</v>
      </c>
      <c r="E211">
        <v>19</v>
      </c>
      <c r="F211">
        <v>12</v>
      </c>
      <c r="G211">
        <v>17</v>
      </c>
      <c r="H211">
        <v>6</v>
      </c>
      <c r="I211">
        <v>20</v>
      </c>
      <c r="J211">
        <v>9</v>
      </c>
      <c r="K211">
        <v>12</v>
      </c>
      <c r="L211">
        <v>15</v>
      </c>
      <c r="M211">
        <v>32</v>
      </c>
      <c r="N211">
        <v>19</v>
      </c>
      <c r="O211" s="23">
        <f t="shared" si="13"/>
        <v>16</v>
      </c>
      <c r="P211" s="23">
        <f t="shared" si="14"/>
        <v>6.87</v>
      </c>
      <c r="Q211">
        <f t="shared" si="12"/>
        <v>5</v>
      </c>
      <c r="R211">
        <v>14</v>
      </c>
      <c r="S211">
        <v>6</v>
      </c>
    </row>
    <row r="212" spans="1:19" x14ac:dyDescent="0.25">
      <c r="A212" s="14">
        <v>9</v>
      </c>
      <c r="B212" s="24">
        <v>46049</v>
      </c>
      <c r="C212">
        <v>0</v>
      </c>
      <c r="D212">
        <v>7</v>
      </c>
      <c r="E212">
        <v>9</v>
      </c>
      <c r="F212">
        <v>7</v>
      </c>
      <c r="G212">
        <v>5</v>
      </c>
      <c r="H212">
        <v>8</v>
      </c>
      <c r="I212">
        <v>16</v>
      </c>
      <c r="J212">
        <v>6</v>
      </c>
      <c r="K212">
        <v>7</v>
      </c>
      <c r="L212">
        <v>6</v>
      </c>
      <c r="M212">
        <v>1</v>
      </c>
      <c r="N212">
        <v>8</v>
      </c>
      <c r="O212" s="23">
        <f t="shared" si="13"/>
        <v>6</v>
      </c>
      <c r="P212" s="23">
        <f t="shared" si="14"/>
        <v>3.77</v>
      </c>
      <c r="Q212">
        <f t="shared" si="12"/>
        <v>-3</v>
      </c>
      <c r="R212">
        <v>8</v>
      </c>
      <c r="S212">
        <v>2</v>
      </c>
    </row>
    <row r="213" spans="1:19" x14ac:dyDescent="0.25">
      <c r="A213" s="14">
        <v>14</v>
      </c>
      <c r="B213" s="24">
        <v>46050</v>
      </c>
      <c r="C213">
        <v>14</v>
      </c>
      <c r="D213">
        <v>15</v>
      </c>
      <c r="E213">
        <v>10</v>
      </c>
      <c r="F213">
        <v>8</v>
      </c>
      <c r="G213">
        <v>5</v>
      </c>
      <c r="H213">
        <v>1</v>
      </c>
      <c r="I213">
        <v>11</v>
      </c>
      <c r="J213">
        <v>9</v>
      </c>
      <c r="K213">
        <v>16</v>
      </c>
      <c r="L213">
        <v>16</v>
      </c>
      <c r="M213">
        <v>17</v>
      </c>
      <c r="N213">
        <v>14</v>
      </c>
      <c r="O213" s="23">
        <f t="shared" si="13"/>
        <v>11</v>
      </c>
      <c r="P213" s="23">
        <f t="shared" si="14"/>
        <v>4.3899999999999997</v>
      </c>
      <c r="Q213">
        <f t="shared" si="12"/>
        <v>-3</v>
      </c>
      <c r="R213">
        <v>11</v>
      </c>
      <c r="S213">
        <v>10</v>
      </c>
    </row>
    <row r="214" spans="1:19" x14ac:dyDescent="0.25">
      <c r="A214" s="14">
        <v>10</v>
      </c>
      <c r="B214" s="24">
        <v>46051</v>
      </c>
      <c r="C214">
        <v>8</v>
      </c>
      <c r="D214">
        <v>17</v>
      </c>
      <c r="E214">
        <v>12</v>
      </c>
      <c r="F214">
        <v>12</v>
      </c>
      <c r="G214">
        <v>13</v>
      </c>
      <c r="H214">
        <v>2</v>
      </c>
      <c r="I214">
        <v>9</v>
      </c>
      <c r="J214">
        <v>9</v>
      </c>
      <c r="K214">
        <v>17</v>
      </c>
      <c r="L214">
        <v>15</v>
      </c>
      <c r="M214">
        <v>20</v>
      </c>
      <c r="N214">
        <v>13</v>
      </c>
      <c r="O214" s="23">
        <f t="shared" si="13"/>
        <v>12</v>
      </c>
      <c r="P214" s="23">
        <f t="shared" si="14"/>
        <v>4.3499999999999996</v>
      </c>
      <c r="Q214">
        <f t="shared" si="12"/>
        <v>2</v>
      </c>
      <c r="R214">
        <v>12</v>
      </c>
      <c r="S214">
        <v>15</v>
      </c>
    </row>
    <row r="215" spans="1:19" x14ac:dyDescent="0.25">
      <c r="A215" s="14">
        <v>19</v>
      </c>
      <c r="B215" s="24">
        <v>46052</v>
      </c>
      <c r="C215">
        <v>45</v>
      </c>
      <c r="D215">
        <v>21</v>
      </c>
      <c r="E215">
        <v>20</v>
      </c>
      <c r="F215">
        <v>14</v>
      </c>
      <c r="G215">
        <v>0</v>
      </c>
      <c r="H215">
        <v>0</v>
      </c>
      <c r="I215">
        <v>23</v>
      </c>
      <c r="J215">
        <v>10</v>
      </c>
      <c r="K215">
        <v>29</v>
      </c>
      <c r="L215">
        <v>27</v>
      </c>
      <c r="M215">
        <v>16</v>
      </c>
      <c r="N215">
        <v>18</v>
      </c>
      <c r="O215" s="23">
        <f t="shared" si="13"/>
        <v>18</v>
      </c>
      <c r="P215" s="23">
        <f t="shared" si="14"/>
        <v>11.08</v>
      </c>
      <c r="Q215">
        <f t="shared" si="12"/>
        <v>-1</v>
      </c>
      <c r="R215">
        <v>14</v>
      </c>
      <c r="S215">
        <v>20</v>
      </c>
    </row>
    <row r="216" spans="1:19" x14ac:dyDescent="0.25">
      <c r="A216" s="14">
        <v>28</v>
      </c>
      <c r="B216" s="24">
        <v>46053</v>
      </c>
      <c r="C216">
        <v>25</v>
      </c>
      <c r="D216">
        <v>22</v>
      </c>
      <c r="E216">
        <v>19</v>
      </c>
      <c r="F216">
        <v>11</v>
      </c>
      <c r="G216">
        <v>0</v>
      </c>
      <c r="H216">
        <v>3</v>
      </c>
      <c r="I216">
        <v>13</v>
      </c>
      <c r="J216">
        <v>9</v>
      </c>
      <c r="K216">
        <v>20</v>
      </c>
      <c r="L216">
        <v>22</v>
      </c>
      <c r="M216">
        <v>19</v>
      </c>
      <c r="N216">
        <v>20</v>
      </c>
      <c r="O216" s="23">
        <f t="shared" si="13"/>
        <v>15</v>
      </c>
      <c r="P216" s="23">
        <f t="shared" si="14"/>
        <v>7.18</v>
      </c>
      <c r="Q216">
        <f t="shared" si="12"/>
        <v>-13</v>
      </c>
      <c r="R216">
        <v>12</v>
      </c>
      <c r="S216">
        <v>18</v>
      </c>
    </row>
    <row r="217" spans="1:19" x14ac:dyDescent="0.25">
      <c r="A217" s="14">
        <v>11</v>
      </c>
      <c r="B217" s="24">
        <v>46054</v>
      </c>
      <c r="C217">
        <v>13</v>
      </c>
      <c r="D217">
        <v>27</v>
      </c>
      <c r="E217">
        <v>14</v>
      </c>
      <c r="F217">
        <v>14</v>
      </c>
      <c r="G217">
        <v>17</v>
      </c>
      <c r="H217">
        <v>5</v>
      </c>
      <c r="I217">
        <v>12</v>
      </c>
      <c r="J217">
        <v>11</v>
      </c>
      <c r="K217">
        <v>27</v>
      </c>
      <c r="L217">
        <v>29</v>
      </c>
      <c r="M217">
        <v>28</v>
      </c>
      <c r="N217">
        <v>30</v>
      </c>
      <c r="O217" s="23">
        <f t="shared" si="13"/>
        <v>19</v>
      </c>
      <c r="P217" s="23">
        <f t="shared" si="14"/>
        <v>7.73</v>
      </c>
      <c r="Q217">
        <f t="shared" si="12"/>
        <v>8</v>
      </c>
      <c r="R217">
        <v>16</v>
      </c>
      <c r="S217">
        <v>18</v>
      </c>
    </row>
    <row r="218" spans="1:19" x14ac:dyDescent="0.25">
      <c r="A218" s="14">
        <v>4</v>
      </c>
      <c r="B218" s="24">
        <v>46055</v>
      </c>
      <c r="C218">
        <v>9</v>
      </c>
      <c r="D218">
        <v>8</v>
      </c>
      <c r="E218">
        <v>4</v>
      </c>
      <c r="F218">
        <v>3</v>
      </c>
      <c r="G218">
        <v>8</v>
      </c>
      <c r="H218">
        <v>2</v>
      </c>
      <c r="I218">
        <v>6</v>
      </c>
      <c r="J218">
        <v>5</v>
      </c>
      <c r="K218">
        <v>5</v>
      </c>
      <c r="L218">
        <v>6</v>
      </c>
      <c r="M218">
        <v>9</v>
      </c>
      <c r="N218">
        <v>8</v>
      </c>
      <c r="O218" s="23">
        <f t="shared" si="13"/>
        <v>6</v>
      </c>
      <c r="P218" s="23">
        <f t="shared" si="14"/>
        <v>2.17</v>
      </c>
      <c r="Q218">
        <f t="shared" si="12"/>
        <v>2</v>
      </c>
      <c r="R218">
        <v>4</v>
      </c>
      <c r="S218">
        <v>7</v>
      </c>
    </row>
    <row r="219" spans="1:19" x14ac:dyDescent="0.25">
      <c r="A219" s="14">
        <v>11</v>
      </c>
      <c r="B219" s="24">
        <v>46056</v>
      </c>
      <c r="C219">
        <v>6</v>
      </c>
      <c r="D219">
        <v>8</v>
      </c>
      <c r="E219">
        <v>13</v>
      </c>
      <c r="F219">
        <v>11</v>
      </c>
      <c r="G219">
        <v>11</v>
      </c>
      <c r="H219">
        <v>12</v>
      </c>
      <c r="I219">
        <v>17</v>
      </c>
      <c r="J219">
        <v>7</v>
      </c>
      <c r="K219">
        <v>8</v>
      </c>
      <c r="L219">
        <v>8</v>
      </c>
      <c r="M219">
        <v>8</v>
      </c>
      <c r="N219">
        <v>10</v>
      </c>
      <c r="O219" s="23">
        <f t="shared" si="13"/>
        <v>10</v>
      </c>
      <c r="P219" s="23">
        <f t="shared" si="14"/>
        <v>2.94</v>
      </c>
      <c r="Q219">
        <f t="shared" si="12"/>
        <v>-1</v>
      </c>
      <c r="R219">
        <v>11</v>
      </c>
      <c r="S219">
        <v>6</v>
      </c>
    </row>
    <row r="220" spans="1:19" x14ac:dyDescent="0.25">
      <c r="A220" s="14">
        <v>18</v>
      </c>
      <c r="B220" s="24">
        <v>46057</v>
      </c>
      <c r="C220">
        <v>14</v>
      </c>
      <c r="D220">
        <v>12</v>
      </c>
      <c r="E220">
        <v>10</v>
      </c>
      <c r="F220">
        <v>8</v>
      </c>
      <c r="G220">
        <v>2</v>
      </c>
      <c r="H220">
        <v>1</v>
      </c>
      <c r="I220">
        <v>14</v>
      </c>
      <c r="J220">
        <v>8</v>
      </c>
      <c r="K220">
        <v>14</v>
      </c>
      <c r="L220">
        <v>15</v>
      </c>
      <c r="M220">
        <v>16</v>
      </c>
      <c r="N220">
        <v>11</v>
      </c>
      <c r="O220" s="23">
        <f t="shared" si="13"/>
        <v>10</v>
      </c>
      <c r="P220" s="23">
        <f t="shared" si="14"/>
        <v>4.53</v>
      </c>
      <c r="Q220">
        <f t="shared" si="12"/>
        <v>-8</v>
      </c>
      <c r="R220">
        <v>8</v>
      </c>
      <c r="S220">
        <v>6</v>
      </c>
    </row>
    <row r="221" spans="1:19" x14ac:dyDescent="0.25">
      <c r="A221" s="14">
        <v>8</v>
      </c>
      <c r="B221" s="24">
        <v>46058</v>
      </c>
      <c r="C221">
        <v>22</v>
      </c>
      <c r="D221">
        <v>15</v>
      </c>
      <c r="E221">
        <v>17</v>
      </c>
      <c r="F221">
        <v>9</v>
      </c>
      <c r="G221">
        <v>2</v>
      </c>
      <c r="H221">
        <v>5</v>
      </c>
      <c r="I221">
        <v>15</v>
      </c>
      <c r="J221">
        <v>9</v>
      </c>
      <c r="K221">
        <v>15</v>
      </c>
      <c r="L221">
        <v>17</v>
      </c>
      <c r="M221">
        <v>21</v>
      </c>
      <c r="N221">
        <v>15</v>
      </c>
      <c r="O221" s="23">
        <f t="shared" si="13"/>
        <v>13</v>
      </c>
      <c r="P221" s="23">
        <f t="shared" si="14"/>
        <v>5.77</v>
      </c>
      <c r="Q221">
        <f t="shared" si="12"/>
        <v>5</v>
      </c>
      <c r="R221">
        <v>10</v>
      </c>
      <c r="S221">
        <v>6</v>
      </c>
    </row>
    <row r="222" spans="1:19" x14ac:dyDescent="0.25">
      <c r="A222" s="14">
        <v>17</v>
      </c>
      <c r="B222" s="24">
        <v>46059</v>
      </c>
      <c r="C222">
        <v>27</v>
      </c>
      <c r="D222">
        <v>15</v>
      </c>
      <c r="E222">
        <v>20</v>
      </c>
      <c r="F222">
        <v>10</v>
      </c>
      <c r="G222">
        <v>17</v>
      </c>
      <c r="H222">
        <v>4</v>
      </c>
      <c r="I222">
        <v>15</v>
      </c>
      <c r="J222">
        <v>19</v>
      </c>
      <c r="K222">
        <v>19</v>
      </c>
      <c r="L222">
        <v>19</v>
      </c>
      <c r="M222">
        <v>25</v>
      </c>
      <c r="N222">
        <v>21</v>
      </c>
      <c r="O222" s="23">
        <f t="shared" si="13"/>
        <v>17</v>
      </c>
      <c r="P222" s="23">
        <f t="shared" si="14"/>
        <v>5.55</v>
      </c>
      <c r="Q222">
        <f t="shared" si="12"/>
        <v>0</v>
      </c>
      <c r="R222">
        <v>15</v>
      </c>
      <c r="S222">
        <v>16</v>
      </c>
    </row>
    <row r="223" spans="1:19" x14ac:dyDescent="0.25">
      <c r="A223" s="14">
        <v>39</v>
      </c>
      <c r="B223" s="24">
        <v>46060</v>
      </c>
      <c r="C223">
        <v>21</v>
      </c>
      <c r="D223">
        <v>15</v>
      </c>
      <c r="E223">
        <v>15</v>
      </c>
      <c r="F223">
        <v>8</v>
      </c>
      <c r="G223">
        <v>15</v>
      </c>
      <c r="H223">
        <v>1</v>
      </c>
      <c r="I223">
        <v>14</v>
      </c>
      <c r="J223">
        <v>7</v>
      </c>
      <c r="K223">
        <v>15</v>
      </c>
      <c r="L223">
        <v>16</v>
      </c>
      <c r="M223">
        <v>20</v>
      </c>
      <c r="N223">
        <v>16</v>
      </c>
      <c r="O223" s="23">
        <f t="shared" si="13"/>
        <v>13</v>
      </c>
      <c r="P223" s="23">
        <f t="shared" si="14"/>
        <v>5.08</v>
      </c>
      <c r="Q223">
        <f t="shared" si="12"/>
        <v>-26</v>
      </c>
      <c r="R223">
        <v>10</v>
      </c>
      <c r="S223">
        <v>14</v>
      </c>
    </row>
    <row r="224" spans="1:19" x14ac:dyDescent="0.25">
      <c r="A224" s="14">
        <v>16</v>
      </c>
      <c r="B224" s="24">
        <v>46061</v>
      </c>
      <c r="C224">
        <v>0</v>
      </c>
      <c r="D224">
        <v>5</v>
      </c>
      <c r="E224">
        <v>3</v>
      </c>
      <c r="F224">
        <v>18</v>
      </c>
      <c r="G224">
        <v>15</v>
      </c>
      <c r="H224">
        <v>42</v>
      </c>
      <c r="I224">
        <v>12</v>
      </c>
      <c r="J224">
        <v>8</v>
      </c>
      <c r="K224">
        <v>4</v>
      </c>
      <c r="L224">
        <v>3</v>
      </c>
      <c r="M224">
        <v>0</v>
      </c>
      <c r="N224">
        <v>4</v>
      </c>
      <c r="O224" s="23">
        <f t="shared" si="13"/>
        <v>10</v>
      </c>
      <c r="P224" s="23">
        <f t="shared" si="14"/>
        <v>10.45</v>
      </c>
      <c r="Q224">
        <f t="shared" si="12"/>
        <v>-6</v>
      </c>
      <c r="R224">
        <v>12</v>
      </c>
      <c r="S224">
        <v>13</v>
      </c>
    </row>
    <row r="225" spans="1:19" x14ac:dyDescent="0.25">
      <c r="A225" s="14">
        <v>2</v>
      </c>
      <c r="B225" s="24">
        <v>46062</v>
      </c>
      <c r="C225">
        <v>22</v>
      </c>
      <c r="D225">
        <v>20</v>
      </c>
      <c r="E225">
        <v>14</v>
      </c>
      <c r="F225">
        <v>12</v>
      </c>
      <c r="G225">
        <v>19</v>
      </c>
      <c r="H225">
        <v>3</v>
      </c>
      <c r="I225">
        <v>12</v>
      </c>
      <c r="J225">
        <v>13</v>
      </c>
      <c r="K225">
        <v>25</v>
      </c>
      <c r="L225">
        <v>31</v>
      </c>
      <c r="M225">
        <v>31</v>
      </c>
      <c r="N225">
        <v>28</v>
      </c>
      <c r="O225" s="23">
        <f t="shared" si="13"/>
        <v>19</v>
      </c>
      <c r="P225" s="23">
        <f t="shared" si="14"/>
        <v>7.78</v>
      </c>
      <c r="Q225">
        <f t="shared" si="12"/>
        <v>17</v>
      </c>
      <c r="R225">
        <v>15</v>
      </c>
      <c r="S225">
        <v>18</v>
      </c>
    </row>
    <row r="226" spans="1:19" x14ac:dyDescent="0.25">
      <c r="A226" s="14">
        <v>19</v>
      </c>
      <c r="B226" s="24">
        <v>46063</v>
      </c>
      <c r="C226">
        <v>0</v>
      </c>
      <c r="D226">
        <v>7</v>
      </c>
      <c r="E226">
        <v>6</v>
      </c>
      <c r="F226">
        <v>5</v>
      </c>
      <c r="G226">
        <v>2</v>
      </c>
      <c r="H226">
        <v>1</v>
      </c>
      <c r="I226">
        <v>11</v>
      </c>
      <c r="J226">
        <v>6</v>
      </c>
      <c r="K226">
        <v>7</v>
      </c>
      <c r="L226">
        <v>6</v>
      </c>
      <c r="M226">
        <v>5</v>
      </c>
      <c r="N226">
        <v>7</v>
      </c>
      <c r="O226" s="23">
        <f t="shared" si="13"/>
        <v>5</v>
      </c>
      <c r="P226" s="23">
        <f t="shared" si="14"/>
        <v>3</v>
      </c>
      <c r="Q226">
        <f t="shared" si="12"/>
        <v>-14</v>
      </c>
      <c r="R226">
        <v>4</v>
      </c>
      <c r="S226">
        <v>0</v>
      </c>
    </row>
    <row r="227" spans="1:19" x14ac:dyDescent="0.25">
      <c r="A227" s="14">
        <v>5</v>
      </c>
      <c r="B227" s="24">
        <v>46064</v>
      </c>
      <c r="C227">
        <v>10</v>
      </c>
      <c r="D227">
        <v>7</v>
      </c>
      <c r="E227">
        <v>11</v>
      </c>
      <c r="F227">
        <v>7</v>
      </c>
      <c r="G227">
        <v>5</v>
      </c>
      <c r="H227">
        <v>7</v>
      </c>
      <c r="I227">
        <v>16</v>
      </c>
      <c r="J227">
        <v>6</v>
      </c>
      <c r="K227">
        <v>5</v>
      </c>
      <c r="L227">
        <v>4</v>
      </c>
      <c r="M227">
        <v>4</v>
      </c>
      <c r="N227">
        <v>7</v>
      </c>
      <c r="O227" s="23">
        <f t="shared" si="13"/>
        <v>8</v>
      </c>
      <c r="P227" s="23">
        <f t="shared" si="14"/>
        <v>3.15</v>
      </c>
      <c r="Q227">
        <f t="shared" si="12"/>
        <v>3</v>
      </c>
      <c r="R227">
        <v>9</v>
      </c>
      <c r="S227">
        <v>10</v>
      </c>
    </row>
    <row r="228" spans="1:19" x14ac:dyDescent="0.25">
      <c r="A228" s="14">
        <v>2</v>
      </c>
      <c r="B228" s="24">
        <v>46065</v>
      </c>
      <c r="C228">
        <v>18</v>
      </c>
      <c r="D228">
        <v>8</v>
      </c>
      <c r="E228">
        <v>11</v>
      </c>
      <c r="F228">
        <v>9</v>
      </c>
      <c r="G228">
        <v>10</v>
      </c>
      <c r="H228">
        <v>10</v>
      </c>
      <c r="I228">
        <v>13</v>
      </c>
      <c r="J228">
        <v>11</v>
      </c>
      <c r="K228">
        <v>7</v>
      </c>
      <c r="L228">
        <v>6</v>
      </c>
      <c r="M228">
        <v>10</v>
      </c>
      <c r="N228">
        <v>10</v>
      </c>
      <c r="O228" s="23">
        <f t="shared" si="13"/>
        <v>11</v>
      </c>
      <c r="P228" s="23">
        <f t="shared" si="14"/>
        <v>2.82</v>
      </c>
      <c r="Q228">
        <f t="shared" si="12"/>
        <v>9</v>
      </c>
      <c r="R228">
        <v>13</v>
      </c>
      <c r="S228">
        <v>11</v>
      </c>
    </row>
    <row r="229" spans="1:19" x14ac:dyDescent="0.25">
      <c r="A229" s="14">
        <v>31</v>
      </c>
      <c r="B229" s="24">
        <v>46066</v>
      </c>
      <c r="C229">
        <v>20</v>
      </c>
      <c r="D229">
        <v>11</v>
      </c>
      <c r="E229">
        <v>13</v>
      </c>
      <c r="F229">
        <v>9</v>
      </c>
      <c r="G229">
        <v>11</v>
      </c>
      <c r="H229">
        <v>8</v>
      </c>
      <c r="I229">
        <v>13</v>
      </c>
      <c r="J229">
        <v>12</v>
      </c>
      <c r="K229">
        <v>9</v>
      </c>
      <c r="L229">
        <v>11</v>
      </c>
      <c r="M229">
        <v>19</v>
      </c>
      <c r="N229">
        <v>12</v>
      </c>
      <c r="O229" s="23">
        <f t="shared" si="13"/>
        <v>12</v>
      </c>
      <c r="P229" s="23">
        <f t="shared" si="14"/>
        <v>3.34</v>
      </c>
      <c r="Q229">
        <f t="shared" si="12"/>
        <v>-19</v>
      </c>
      <c r="R229">
        <v>10</v>
      </c>
      <c r="S229">
        <v>12</v>
      </c>
    </row>
    <row r="230" spans="1:19" x14ac:dyDescent="0.25">
      <c r="A230" s="14">
        <v>78</v>
      </c>
      <c r="B230" s="24">
        <v>46067</v>
      </c>
      <c r="C230">
        <v>20</v>
      </c>
      <c r="D230">
        <v>32</v>
      </c>
      <c r="E230">
        <v>17</v>
      </c>
      <c r="F230">
        <v>11</v>
      </c>
      <c r="G230">
        <v>9</v>
      </c>
      <c r="H230">
        <v>2</v>
      </c>
      <c r="I230">
        <v>7</v>
      </c>
      <c r="J230">
        <v>9</v>
      </c>
      <c r="K230">
        <v>26</v>
      </c>
      <c r="L230">
        <v>24</v>
      </c>
      <c r="M230">
        <v>20</v>
      </c>
      <c r="N230">
        <v>26</v>
      </c>
      <c r="O230" s="23">
        <f t="shared" si="13"/>
        <v>17</v>
      </c>
      <c r="P230" s="23">
        <f t="shared" si="14"/>
        <v>8.51</v>
      </c>
      <c r="Q230">
        <f t="shared" si="12"/>
        <v>-61</v>
      </c>
      <c r="R230">
        <v>14</v>
      </c>
      <c r="S230">
        <v>25</v>
      </c>
    </row>
    <row r="231" spans="1:19" x14ac:dyDescent="0.25">
      <c r="A231" s="14">
        <v>43</v>
      </c>
      <c r="B231" s="24">
        <v>46068</v>
      </c>
      <c r="C231">
        <v>18</v>
      </c>
      <c r="D231">
        <v>26</v>
      </c>
      <c r="E231">
        <v>15</v>
      </c>
      <c r="F231">
        <v>14</v>
      </c>
      <c r="G231">
        <v>13</v>
      </c>
      <c r="H231">
        <v>5</v>
      </c>
      <c r="I231">
        <v>15</v>
      </c>
      <c r="J231">
        <v>11</v>
      </c>
      <c r="K231">
        <v>27</v>
      </c>
      <c r="L231">
        <v>27</v>
      </c>
      <c r="M231">
        <v>26</v>
      </c>
      <c r="N231">
        <v>30</v>
      </c>
      <c r="O231" s="23">
        <f t="shared" si="13"/>
        <v>19</v>
      </c>
      <c r="P231" s="23">
        <f t="shared" si="14"/>
        <v>7.09</v>
      </c>
      <c r="Q231">
        <f t="shared" si="12"/>
        <v>-24</v>
      </c>
      <c r="R231">
        <v>17</v>
      </c>
      <c r="S231">
        <v>19</v>
      </c>
    </row>
    <row r="232" spans="1:19" x14ac:dyDescent="0.25">
      <c r="A232" s="14">
        <v>20</v>
      </c>
      <c r="B232" s="24">
        <v>46069</v>
      </c>
      <c r="C232">
        <v>13</v>
      </c>
      <c r="D232">
        <v>6</v>
      </c>
      <c r="E232">
        <v>8</v>
      </c>
      <c r="F232">
        <v>19</v>
      </c>
      <c r="G232">
        <v>8</v>
      </c>
      <c r="H232">
        <v>20</v>
      </c>
      <c r="I232">
        <v>15</v>
      </c>
      <c r="J232">
        <v>19</v>
      </c>
      <c r="K232">
        <v>7</v>
      </c>
      <c r="L232">
        <v>2</v>
      </c>
      <c r="M232">
        <v>5</v>
      </c>
      <c r="N232">
        <v>5</v>
      </c>
      <c r="O232" s="23">
        <f t="shared" si="13"/>
        <v>10</v>
      </c>
      <c r="P232" s="23">
        <f t="shared" si="14"/>
        <v>5.74</v>
      </c>
      <c r="Q232">
        <f t="shared" si="12"/>
        <v>-10</v>
      </c>
      <c r="R232">
        <v>7</v>
      </c>
      <c r="S232">
        <v>7</v>
      </c>
    </row>
    <row r="233" spans="1:19" x14ac:dyDescent="0.25">
      <c r="A233" s="14">
        <v>12</v>
      </c>
      <c r="B233" s="24">
        <v>46070</v>
      </c>
      <c r="C233">
        <v>14</v>
      </c>
      <c r="D233">
        <v>10</v>
      </c>
      <c r="E233">
        <v>18</v>
      </c>
      <c r="F233">
        <v>16</v>
      </c>
      <c r="G233">
        <v>15</v>
      </c>
      <c r="H233">
        <v>15</v>
      </c>
      <c r="I233">
        <v>18</v>
      </c>
      <c r="J233">
        <v>8</v>
      </c>
      <c r="K233">
        <v>9</v>
      </c>
      <c r="L233">
        <v>13</v>
      </c>
      <c r="M233">
        <v>12</v>
      </c>
      <c r="N233">
        <v>12</v>
      </c>
      <c r="O233" s="23">
        <f t="shared" si="13"/>
        <v>13</v>
      </c>
      <c r="P233" s="23">
        <f t="shared" si="14"/>
        <v>3.21</v>
      </c>
      <c r="Q233">
        <f t="shared" si="12"/>
        <v>1</v>
      </c>
      <c r="R233">
        <v>16</v>
      </c>
      <c r="S233">
        <v>9</v>
      </c>
    </row>
    <row r="234" spans="1:19" x14ac:dyDescent="0.25">
      <c r="A234" s="14">
        <v>3</v>
      </c>
      <c r="B234" s="24">
        <v>46071</v>
      </c>
      <c r="C234">
        <v>23</v>
      </c>
      <c r="D234">
        <v>18</v>
      </c>
      <c r="E234">
        <v>20</v>
      </c>
      <c r="F234">
        <v>13</v>
      </c>
      <c r="G234">
        <v>19</v>
      </c>
      <c r="H234">
        <v>22</v>
      </c>
      <c r="I234">
        <v>16</v>
      </c>
      <c r="J234">
        <v>13</v>
      </c>
      <c r="K234">
        <v>13</v>
      </c>
      <c r="L234">
        <v>17</v>
      </c>
      <c r="M234">
        <v>23</v>
      </c>
      <c r="N234">
        <v>18</v>
      </c>
      <c r="O234" s="23">
        <f t="shared" si="13"/>
        <v>18</v>
      </c>
      <c r="P234" s="23">
        <f t="shared" si="14"/>
        <v>3.32</v>
      </c>
      <c r="Q234">
        <f t="shared" si="12"/>
        <v>15</v>
      </c>
      <c r="R234">
        <v>16</v>
      </c>
      <c r="S234">
        <v>18</v>
      </c>
    </row>
    <row r="235" spans="1:19" x14ac:dyDescent="0.25">
      <c r="A235" s="14">
        <v>10</v>
      </c>
      <c r="B235" s="24">
        <v>46072</v>
      </c>
      <c r="C235">
        <v>12</v>
      </c>
      <c r="D235">
        <v>17</v>
      </c>
      <c r="E235">
        <v>16</v>
      </c>
      <c r="F235">
        <v>12</v>
      </c>
      <c r="G235">
        <v>19</v>
      </c>
      <c r="H235">
        <v>7</v>
      </c>
      <c r="I235">
        <v>13</v>
      </c>
      <c r="J235">
        <v>13</v>
      </c>
      <c r="K235">
        <v>14</v>
      </c>
      <c r="L235">
        <v>19</v>
      </c>
      <c r="M235">
        <v>15</v>
      </c>
      <c r="N235">
        <v>16</v>
      </c>
      <c r="O235" s="23">
        <f t="shared" si="13"/>
        <v>15</v>
      </c>
      <c r="P235" s="23">
        <f t="shared" si="14"/>
        <v>3.18</v>
      </c>
      <c r="Q235">
        <f t="shared" si="12"/>
        <v>5</v>
      </c>
      <c r="R235">
        <v>18</v>
      </c>
      <c r="S235">
        <v>17</v>
      </c>
    </row>
    <row r="236" spans="1:19" x14ac:dyDescent="0.25">
      <c r="A236" s="14">
        <v>18</v>
      </c>
      <c r="B236" s="24">
        <v>46073</v>
      </c>
      <c r="C236">
        <v>10</v>
      </c>
      <c r="D236">
        <v>26</v>
      </c>
      <c r="E236">
        <v>17</v>
      </c>
      <c r="F236">
        <v>21</v>
      </c>
      <c r="G236">
        <v>19</v>
      </c>
      <c r="H236">
        <v>39</v>
      </c>
      <c r="I236">
        <v>12</v>
      </c>
      <c r="J236">
        <v>17</v>
      </c>
      <c r="K236">
        <v>12</v>
      </c>
      <c r="L236">
        <v>22</v>
      </c>
      <c r="M236">
        <v>13</v>
      </c>
      <c r="N236">
        <v>22</v>
      </c>
      <c r="O236" s="23">
        <f t="shared" si="13"/>
        <v>20</v>
      </c>
      <c r="P236" s="23">
        <f t="shared" si="14"/>
        <v>7.36</v>
      </c>
      <c r="Q236">
        <f t="shared" si="12"/>
        <v>2</v>
      </c>
      <c r="R236">
        <v>17</v>
      </c>
      <c r="S236">
        <v>27</v>
      </c>
    </row>
    <row r="237" spans="1:19" x14ac:dyDescent="0.25">
      <c r="A237" s="14">
        <v>19</v>
      </c>
      <c r="B237" s="24">
        <v>46074</v>
      </c>
      <c r="C237">
        <v>44</v>
      </c>
      <c r="D237">
        <v>27</v>
      </c>
      <c r="E237">
        <v>26</v>
      </c>
      <c r="F237">
        <v>15</v>
      </c>
      <c r="G237">
        <v>19</v>
      </c>
      <c r="H237">
        <v>11</v>
      </c>
      <c r="I237">
        <v>15</v>
      </c>
      <c r="J237">
        <v>30</v>
      </c>
      <c r="K237">
        <v>15</v>
      </c>
      <c r="L237">
        <v>24</v>
      </c>
      <c r="M237">
        <v>46</v>
      </c>
      <c r="N237">
        <v>24</v>
      </c>
      <c r="O237" s="23">
        <f t="shared" si="13"/>
        <v>24</v>
      </c>
      <c r="P237" s="23">
        <f t="shared" si="14"/>
        <v>10.19</v>
      </c>
      <c r="Q237">
        <f t="shared" si="12"/>
        <v>5</v>
      </c>
      <c r="R237">
        <v>18</v>
      </c>
      <c r="S237">
        <v>17</v>
      </c>
    </row>
    <row r="238" spans="1:19" x14ac:dyDescent="0.25">
      <c r="A238" s="14">
        <v>29</v>
      </c>
      <c r="B238" s="24">
        <v>46075</v>
      </c>
      <c r="C238">
        <v>39</v>
      </c>
      <c r="D238">
        <v>22</v>
      </c>
      <c r="E238">
        <v>23</v>
      </c>
      <c r="F238">
        <v>25</v>
      </c>
      <c r="G238">
        <v>19</v>
      </c>
      <c r="H238">
        <v>27</v>
      </c>
      <c r="I238">
        <v>43</v>
      </c>
      <c r="J238">
        <v>8</v>
      </c>
      <c r="K238">
        <v>16</v>
      </c>
      <c r="L238">
        <v>23</v>
      </c>
      <c r="M238">
        <v>26</v>
      </c>
      <c r="N238">
        <v>24</v>
      </c>
      <c r="O238" s="23">
        <f t="shared" si="13"/>
        <v>26</v>
      </c>
      <c r="P238" s="23">
        <f t="shared" si="14"/>
        <v>9.15</v>
      </c>
      <c r="Q238">
        <f t="shared" si="12"/>
        <v>-3</v>
      </c>
      <c r="R238">
        <v>40</v>
      </c>
      <c r="S238">
        <v>28</v>
      </c>
    </row>
    <row r="239" spans="1:19" x14ac:dyDescent="0.25">
      <c r="A239" s="14">
        <v>12</v>
      </c>
      <c r="B239" s="24">
        <v>46076</v>
      </c>
      <c r="C239">
        <v>10</v>
      </c>
      <c r="D239">
        <v>15</v>
      </c>
      <c r="E239">
        <v>16</v>
      </c>
      <c r="F239">
        <v>12</v>
      </c>
      <c r="G239">
        <v>19</v>
      </c>
      <c r="H239">
        <v>6</v>
      </c>
      <c r="I239">
        <v>12</v>
      </c>
      <c r="J239">
        <v>8</v>
      </c>
      <c r="K239">
        <v>18</v>
      </c>
      <c r="L239">
        <v>19</v>
      </c>
      <c r="M239">
        <v>11</v>
      </c>
      <c r="N239">
        <v>12</v>
      </c>
      <c r="O239" s="23">
        <f t="shared" si="13"/>
        <v>13</v>
      </c>
      <c r="P239" s="23">
        <f t="shared" si="14"/>
        <v>3.82</v>
      </c>
      <c r="Q239">
        <f t="shared" si="12"/>
        <v>1</v>
      </c>
      <c r="R239">
        <v>15</v>
      </c>
      <c r="S239">
        <v>12</v>
      </c>
    </row>
    <row r="240" spans="1:19" x14ac:dyDescent="0.25">
      <c r="A240" s="14">
        <v>8</v>
      </c>
      <c r="B240" s="24">
        <v>46077</v>
      </c>
      <c r="C240">
        <v>15</v>
      </c>
      <c r="D240">
        <v>14</v>
      </c>
      <c r="E240">
        <v>19</v>
      </c>
      <c r="F240">
        <v>10</v>
      </c>
      <c r="G240">
        <v>19</v>
      </c>
      <c r="H240">
        <v>12</v>
      </c>
      <c r="I240">
        <v>16</v>
      </c>
      <c r="J240">
        <v>7</v>
      </c>
      <c r="K240">
        <v>16</v>
      </c>
      <c r="L240">
        <v>13</v>
      </c>
      <c r="M240">
        <v>17</v>
      </c>
      <c r="N240">
        <v>12</v>
      </c>
      <c r="O240" s="23">
        <f t="shared" si="13"/>
        <v>14</v>
      </c>
      <c r="P240" s="23">
        <f t="shared" si="14"/>
        <v>4.05</v>
      </c>
      <c r="Q240">
        <f t="shared" si="12"/>
        <v>6</v>
      </c>
      <c r="R240">
        <v>22</v>
      </c>
      <c r="S240">
        <v>9</v>
      </c>
    </row>
    <row r="241" spans="1:19" x14ac:dyDescent="0.25">
      <c r="A241" s="14">
        <v>16</v>
      </c>
      <c r="B241" s="24">
        <v>46078</v>
      </c>
      <c r="C241">
        <v>17</v>
      </c>
      <c r="D241">
        <v>18</v>
      </c>
      <c r="E241">
        <v>13</v>
      </c>
      <c r="F241">
        <v>10</v>
      </c>
      <c r="G241">
        <v>19</v>
      </c>
      <c r="H241">
        <v>6</v>
      </c>
      <c r="I241">
        <v>12</v>
      </c>
      <c r="J241">
        <v>8</v>
      </c>
      <c r="K241">
        <v>11</v>
      </c>
      <c r="L241">
        <v>15</v>
      </c>
      <c r="M241">
        <v>17</v>
      </c>
      <c r="N241">
        <v>14</v>
      </c>
      <c r="O241" s="23">
        <f t="shared" si="13"/>
        <v>13</v>
      </c>
      <c r="P241" s="23">
        <f t="shared" si="14"/>
        <v>3.73</v>
      </c>
      <c r="Q241">
        <f t="shared" si="12"/>
        <v>-3</v>
      </c>
      <c r="R241">
        <v>13</v>
      </c>
      <c r="S241">
        <v>10</v>
      </c>
    </row>
    <row r="242" spans="1:19" x14ac:dyDescent="0.25">
      <c r="A242" s="14">
        <v>15</v>
      </c>
      <c r="B242" s="24">
        <v>46079</v>
      </c>
      <c r="C242">
        <v>25</v>
      </c>
      <c r="D242">
        <v>17</v>
      </c>
      <c r="E242">
        <v>21</v>
      </c>
      <c r="F242">
        <v>11</v>
      </c>
      <c r="G242">
        <v>22</v>
      </c>
      <c r="H242">
        <v>8</v>
      </c>
      <c r="I242">
        <v>14</v>
      </c>
      <c r="J242">
        <v>18</v>
      </c>
      <c r="K242">
        <v>12</v>
      </c>
      <c r="L242">
        <v>19</v>
      </c>
      <c r="M242">
        <v>25</v>
      </c>
      <c r="N242">
        <v>16</v>
      </c>
      <c r="O242" s="23">
        <f t="shared" si="13"/>
        <v>17</v>
      </c>
      <c r="P242" s="23">
        <f t="shared" si="14"/>
        <v>5</v>
      </c>
      <c r="Q242">
        <f t="shared" si="12"/>
        <v>2</v>
      </c>
      <c r="R242">
        <v>14</v>
      </c>
      <c r="S242">
        <v>13</v>
      </c>
    </row>
    <row r="243" spans="1:19" x14ac:dyDescent="0.25">
      <c r="A243" s="14">
        <v>28</v>
      </c>
      <c r="B243" s="24">
        <v>46080</v>
      </c>
      <c r="C243">
        <v>16</v>
      </c>
      <c r="D243">
        <v>24</v>
      </c>
      <c r="E243">
        <v>22</v>
      </c>
      <c r="F243">
        <v>18</v>
      </c>
      <c r="G243">
        <v>19</v>
      </c>
      <c r="H243">
        <v>15</v>
      </c>
      <c r="I243">
        <v>14</v>
      </c>
      <c r="J243">
        <v>23</v>
      </c>
      <c r="K243">
        <v>15</v>
      </c>
      <c r="L243">
        <v>24</v>
      </c>
      <c r="M243">
        <v>20</v>
      </c>
      <c r="N243">
        <v>29</v>
      </c>
      <c r="O243" s="23">
        <f t="shared" si="13"/>
        <v>20</v>
      </c>
      <c r="P243" s="23">
        <f t="shared" si="14"/>
        <v>4.0999999999999996</v>
      </c>
      <c r="Q243">
        <f t="shared" si="12"/>
        <v>-8</v>
      </c>
      <c r="R243">
        <v>19</v>
      </c>
      <c r="S243">
        <v>21</v>
      </c>
    </row>
    <row r="244" spans="1:19" x14ac:dyDescent="0.25">
      <c r="A244" s="14">
        <v>17</v>
      </c>
      <c r="B244" s="24">
        <v>46081</v>
      </c>
      <c r="C244">
        <v>17</v>
      </c>
      <c r="D244">
        <v>28</v>
      </c>
      <c r="E244">
        <v>23</v>
      </c>
      <c r="F244">
        <v>19</v>
      </c>
      <c r="G244">
        <v>21</v>
      </c>
      <c r="H244">
        <v>30</v>
      </c>
      <c r="I244">
        <v>20</v>
      </c>
      <c r="J244">
        <v>34</v>
      </c>
      <c r="K244">
        <v>15</v>
      </c>
      <c r="L244">
        <v>33</v>
      </c>
      <c r="M244">
        <v>16</v>
      </c>
      <c r="N244">
        <v>27</v>
      </c>
      <c r="O244" s="23">
        <f t="shared" si="13"/>
        <v>24</v>
      </c>
      <c r="P244" s="23">
        <f t="shared" si="14"/>
        <v>6</v>
      </c>
      <c r="Q244">
        <f t="shared" si="12"/>
        <v>7</v>
      </c>
      <c r="R244">
        <v>23</v>
      </c>
      <c r="S244">
        <v>28</v>
      </c>
    </row>
    <row r="245" spans="1:19" x14ac:dyDescent="0.25">
      <c r="A245" s="14">
        <v>70</v>
      </c>
      <c r="B245" s="24">
        <v>46082</v>
      </c>
      <c r="C245">
        <v>17</v>
      </c>
      <c r="D245">
        <v>27</v>
      </c>
      <c r="E245">
        <v>19</v>
      </c>
      <c r="F245">
        <v>25</v>
      </c>
      <c r="G245">
        <v>22</v>
      </c>
      <c r="H245">
        <v>20</v>
      </c>
      <c r="I245">
        <v>18</v>
      </c>
      <c r="J245">
        <v>12</v>
      </c>
      <c r="K245">
        <v>17</v>
      </c>
      <c r="L245">
        <v>26</v>
      </c>
      <c r="M245">
        <v>14</v>
      </c>
      <c r="N245">
        <v>25</v>
      </c>
      <c r="O245" s="23">
        <f t="shared" si="13"/>
        <v>22</v>
      </c>
      <c r="P245" s="23">
        <f t="shared" si="14"/>
        <v>6.93</v>
      </c>
      <c r="Q245">
        <f t="shared" si="12"/>
        <v>-48</v>
      </c>
      <c r="R245">
        <v>41</v>
      </c>
      <c r="S245">
        <v>25</v>
      </c>
    </row>
    <row r="246" spans="1:19" x14ac:dyDescent="0.25">
      <c r="A246" s="14">
        <v>21</v>
      </c>
      <c r="B246" s="24">
        <v>46083</v>
      </c>
      <c r="C246">
        <v>30</v>
      </c>
      <c r="D246">
        <v>25</v>
      </c>
      <c r="E246">
        <v>18</v>
      </c>
      <c r="F246">
        <v>16</v>
      </c>
      <c r="G246">
        <v>20</v>
      </c>
      <c r="H246">
        <v>8</v>
      </c>
      <c r="I246">
        <v>13</v>
      </c>
      <c r="J246">
        <v>28</v>
      </c>
      <c r="K246">
        <v>23</v>
      </c>
      <c r="L246">
        <v>28</v>
      </c>
      <c r="M246">
        <v>35</v>
      </c>
      <c r="N246">
        <v>23</v>
      </c>
      <c r="O246" s="23">
        <f t="shared" si="13"/>
        <v>22</v>
      </c>
      <c r="P246" s="23">
        <f t="shared" si="14"/>
        <v>7.12</v>
      </c>
      <c r="Q246">
        <f t="shared" si="12"/>
        <v>1</v>
      </c>
      <c r="R246">
        <v>28</v>
      </c>
      <c r="S246">
        <v>17</v>
      </c>
    </row>
    <row r="247" spans="1:19" x14ac:dyDescent="0.25">
      <c r="A247" s="14">
        <v>9</v>
      </c>
      <c r="B247" s="24">
        <v>46084</v>
      </c>
      <c r="C247">
        <v>15</v>
      </c>
      <c r="D247">
        <v>14</v>
      </c>
      <c r="E247">
        <v>18</v>
      </c>
      <c r="F247">
        <v>10</v>
      </c>
      <c r="G247">
        <v>19</v>
      </c>
      <c r="H247">
        <v>6</v>
      </c>
      <c r="I247">
        <v>12</v>
      </c>
      <c r="J247">
        <v>13</v>
      </c>
      <c r="K247">
        <v>13</v>
      </c>
      <c r="L247">
        <v>14</v>
      </c>
      <c r="M247">
        <v>12</v>
      </c>
      <c r="N247">
        <v>13</v>
      </c>
      <c r="O247" s="23">
        <f t="shared" si="13"/>
        <v>13</v>
      </c>
      <c r="P247" s="23">
        <f t="shared" si="14"/>
        <v>3.13</v>
      </c>
      <c r="Q247">
        <f t="shared" si="12"/>
        <v>4</v>
      </c>
      <c r="R247">
        <v>14</v>
      </c>
      <c r="S247">
        <v>10</v>
      </c>
    </row>
    <row r="248" spans="1:19" x14ac:dyDescent="0.25">
      <c r="A248" s="14">
        <v>18</v>
      </c>
      <c r="B248" s="24">
        <v>46085</v>
      </c>
      <c r="C248">
        <v>11</v>
      </c>
      <c r="D248">
        <v>15</v>
      </c>
      <c r="E248">
        <v>18</v>
      </c>
      <c r="F248">
        <v>10</v>
      </c>
      <c r="G248">
        <v>21</v>
      </c>
      <c r="H248">
        <v>6</v>
      </c>
      <c r="I248">
        <v>12</v>
      </c>
      <c r="J248">
        <v>9</v>
      </c>
      <c r="K248">
        <v>20</v>
      </c>
      <c r="L248">
        <v>14</v>
      </c>
      <c r="M248">
        <v>10</v>
      </c>
      <c r="N248">
        <v>15</v>
      </c>
      <c r="O248" s="23">
        <f t="shared" si="13"/>
        <v>14</v>
      </c>
      <c r="P248" s="23">
        <f t="shared" si="14"/>
        <v>4.59</v>
      </c>
      <c r="Q248">
        <f t="shared" si="12"/>
        <v>-4</v>
      </c>
      <c r="R248">
        <v>21</v>
      </c>
      <c r="S248">
        <v>11</v>
      </c>
    </row>
    <row r="249" spans="1:19" x14ac:dyDescent="0.25">
      <c r="A249" s="14">
        <v>7</v>
      </c>
      <c r="B249" s="24">
        <v>46086</v>
      </c>
      <c r="C249">
        <v>19</v>
      </c>
      <c r="D249">
        <v>17</v>
      </c>
      <c r="E249">
        <v>17</v>
      </c>
      <c r="F249">
        <v>11</v>
      </c>
      <c r="G249">
        <v>25</v>
      </c>
      <c r="H249">
        <v>11</v>
      </c>
      <c r="I249">
        <v>14</v>
      </c>
      <c r="J249">
        <v>19</v>
      </c>
      <c r="K249">
        <v>14</v>
      </c>
      <c r="L249">
        <v>18</v>
      </c>
      <c r="M249">
        <v>25</v>
      </c>
      <c r="N249">
        <v>16</v>
      </c>
      <c r="O249" s="23">
        <f t="shared" si="13"/>
        <v>18</v>
      </c>
      <c r="P249" s="23">
        <f t="shared" si="14"/>
        <v>4.1500000000000004</v>
      </c>
      <c r="Q249">
        <f t="shared" si="12"/>
        <v>11</v>
      </c>
      <c r="R249">
        <v>20</v>
      </c>
      <c r="S249">
        <v>20</v>
      </c>
    </row>
    <row r="250" spans="1:19" x14ac:dyDescent="0.25">
      <c r="A250" s="14">
        <v>6</v>
      </c>
      <c r="B250" s="24">
        <v>46087</v>
      </c>
      <c r="C250">
        <v>10</v>
      </c>
      <c r="D250">
        <v>14</v>
      </c>
      <c r="E250">
        <v>22</v>
      </c>
      <c r="F250">
        <v>16</v>
      </c>
      <c r="G250">
        <v>19</v>
      </c>
      <c r="H250">
        <v>17</v>
      </c>
      <c r="I250">
        <v>18</v>
      </c>
      <c r="J250">
        <v>20</v>
      </c>
      <c r="K250">
        <v>20</v>
      </c>
      <c r="L250">
        <v>12</v>
      </c>
      <c r="M250">
        <v>11</v>
      </c>
      <c r="N250">
        <v>12</v>
      </c>
      <c r="O250" s="23">
        <f t="shared" si="13"/>
        <v>16</v>
      </c>
      <c r="P250" s="23">
        <f t="shared" si="14"/>
        <v>3.66</v>
      </c>
      <c r="Q250">
        <f t="shared" si="12"/>
        <v>10</v>
      </c>
      <c r="R250">
        <v>13</v>
      </c>
      <c r="S250">
        <v>15</v>
      </c>
    </row>
    <row r="251" spans="1:19" x14ac:dyDescent="0.25">
      <c r="A251" s="14">
        <v>13</v>
      </c>
      <c r="B251" s="24">
        <v>46088</v>
      </c>
      <c r="C251">
        <v>34</v>
      </c>
      <c r="D251">
        <v>19</v>
      </c>
      <c r="E251">
        <v>27</v>
      </c>
      <c r="F251">
        <v>22</v>
      </c>
      <c r="G251">
        <v>26</v>
      </c>
      <c r="H251">
        <v>35</v>
      </c>
      <c r="I251">
        <v>18</v>
      </c>
      <c r="J251">
        <v>34</v>
      </c>
      <c r="K251">
        <v>30</v>
      </c>
      <c r="L251">
        <v>26</v>
      </c>
      <c r="M251">
        <v>32</v>
      </c>
      <c r="N251">
        <v>28</v>
      </c>
      <c r="O251" s="23">
        <f t="shared" si="13"/>
        <v>28</v>
      </c>
      <c r="P251" s="23">
        <f t="shared" si="14"/>
        <v>5.24</v>
      </c>
      <c r="Q251">
        <f t="shared" si="12"/>
        <v>15</v>
      </c>
      <c r="R251">
        <v>32</v>
      </c>
      <c r="S251">
        <v>29</v>
      </c>
    </row>
    <row r="252" spans="1:19" x14ac:dyDescent="0.25">
      <c r="A252" s="14">
        <v>73</v>
      </c>
      <c r="B252" s="24">
        <v>46089</v>
      </c>
      <c r="D252">
        <v>22</v>
      </c>
      <c r="F252">
        <v>48</v>
      </c>
      <c r="H252">
        <v>82</v>
      </c>
      <c r="J252">
        <v>19</v>
      </c>
      <c r="L252">
        <v>19</v>
      </c>
      <c r="N252">
        <v>27</v>
      </c>
      <c r="O252" s="23">
        <f t="shared" ref="O252:O292" si="15">ROUND(AVERAGE(C252:N252,R252,S252),0)</f>
        <v>38</v>
      </c>
      <c r="P252" s="23">
        <f t="shared" ref="P252:P292" si="16">ROUND(_xlfn.STDEV.P(C252:N252,R252,S252),2)</f>
        <v>21.64</v>
      </c>
      <c r="Q252">
        <f t="shared" si="12"/>
        <v>-35</v>
      </c>
      <c r="S252">
        <v>50</v>
      </c>
    </row>
    <row r="253" spans="1:19" x14ac:dyDescent="0.25">
      <c r="A253" s="14">
        <v>12</v>
      </c>
      <c r="B253" s="24">
        <v>46090</v>
      </c>
      <c r="D253">
        <v>14</v>
      </c>
      <c r="F253">
        <v>11</v>
      </c>
      <c r="H253">
        <v>15</v>
      </c>
      <c r="J253">
        <v>11</v>
      </c>
      <c r="L253">
        <v>15</v>
      </c>
      <c r="N253">
        <v>12</v>
      </c>
      <c r="O253" s="23">
        <f t="shared" si="15"/>
        <v>13</v>
      </c>
      <c r="P253" s="23">
        <f t="shared" si="16"/>
        <v>1.64</v>
      </c>
      <c r="Q253">
        <f t="shared" si="12"/>
        <v>1</v>
      </c>
      <c r="S253">
        <v>14</v>
      </c>
    </row>
    <row r="254" spans="1:19" x14ac:dyDescent="0.25">
      <c r="A254" s="14">
        <v>27</v>
      </c>
      <c r="B254" s="24">
        <v>46091</v>
      </c>
      <c r="D254">
        <v>17</v>
      </c>
      <c r="F254">
        <v>19</v>
      </c>
      <c r="H254">
        <v>9</v>
      </c>
      <c r="J254">
        <v>16</v>
      </c>
      <c r="L254">
        <v>13</v>
      </c>
      <c r="N254">
        <v>12</v>
      </c>
      <c r="O254" s="23">
        <f t="shared" si="15"/>
        <v>15</v>
      </c>
      <c r="P254" s="23">
        <f t="shared" si="16"/>
        <v>3.16</v>
      </c>
      <c r="Q254">
        <f t="shared" si="12"/>
        <v>-12</v>
      </c>
      <c r="S254">
        <v>16</v>
      </c>
    </row>
    <row r="255" spans="1:19" x14ac:dyDescent="0.25">
      <c r="A255" s="14">
        <v>24</v>
      </c>
      <c r="B255" s="24">
        <v>46092</v>
      </c>
      <c r="D255">
        <v>13</v>
      </c>
      <c r="F255">
        <v>11</v>
      </c>
      <c r="H255">
        <v>22</v>
      </c>
      <c r="J255">
        <v>13</v>
      </c>
      <c r="L255">
        <v>12</v>
      </c>
      <c r="N255">
        <v>11</v>
      </c>
      <c r="O255" s="23">
        <f t="shared" si="15"/>
        <v>13</v>
      </c>
      <c r="P255" s="23">
        <f t="shared" si="16"/>
        <v>3.89</v>
      </c>
      <c r="Q255">
        <f t="shared" si="12"/>
        <v>-11</v>
      </c>
      <c r="S255">
        <v>9</v>
      </c>
    </row>
    <row r="256" spans="1:19" x14ac:dyDescent="0.25">
      <c r="A256" s="14">
        <v>4</v>
      </c>
      <c r="B256" s="24">
        <v>46093</v>
      </c>
      <c r="D256">
        <v>14</v>
      </c>
      <c r="F256">
        <v>11</v>
      </c>
      <c r="H256">
        <v>7</v>
      </c>
      <c r="J256">
        <v>13</v>
      </c>
      <c r="L256">
        <v>13</v>
      </c>
      <c r="N256">
        <v>13</v>
      </c>
      <c r="O256" s="23">
        <f t="shared" si="15"/>
        <v>12</v>
      </c>
      <c r="P256" s="23">
        <f t="shared" si="16"/>
        <v>2.19</v>
      </c>
      <c r="Q256">
        <f t="shared" si="12"/>
        <v>8</v>
      </c>
      <c r="S256">
        <v>11</v>
      </c>
    </row>
    <row r="257" spans="1:19" x14ac:dyDescent="0.25">
      <c r="A257" s="14">
        <v>28</v>
      </c>
      <c r="B257" s="24">
        <v>46094</v>
      </c>
      <c r="D257">
        <v>23</v>
      </c>
      <c r="F257">
        <v>21</v>
      </c>
      <c r="H257">
        <v>39</v>
      </c>
      <c r="J257">
        <v>20</v>
      </c>
      <c r="L257">
        <v>25</v>
      </c>
      <c r="N257">
        <v>25</v>
      </c>
      <c r="O257" s="23">
        <f t="shared" si="15"/>
        <v>26</v>
      </c>
      <c r="P257" s="23">
        <f t="shared" si="16"/>
        <v>6.16</v>
      </c>
      <c r="Q257">
        <f t="shared" si="12"/>
        <v>-2</v>
      </c>
      <c r="S257">
        <v>31</v>
      </c>
    </row>
    <row r="258" spans="1:19" x14ac:dyDescent="0.25">
      <c r="A258" s="14">
        <v>17</v>
      </c>
      <c r="B258" s="24">
        <v>46095</v>
      </c>
      <c r="D258">
        <v>23</v>
      </c>
      <c r="F258">
        <v>14</v>
      </c>
      <c r="H258">
        <v>14</v>
      </c>
      <c r="J258">
        <v>30</v>
      </c>
      <c r="L258">
        <v>24</v>
      </c>
      <c r="N258">
        <v>20</v>
      </c>
      <c r="O258" s="23">
        <f t="shared" si="15"/>
        <v>21</v>
      </c>
      <c r="P258" s="23">
        <f t="shared" si="16"/>
        <v>5.29</v>
      </c>
      <c r="Q258">
        <f t="shared" si="12"/>
        <v>4</v>
      </c>
      <c r="S258">
        <v>19</v>
      </c>
    </row>
    <row r="259" spans="1:19" x14ac:dyDescent="0.25">
      <c r="A259" s="14">
        <v>66</v>
      </c>
      <c r="B259" s="24">
        <v>46096</v>
      </c>
      <c r="D259">
        <v>22</v>
      </c>
      <c r="F259">
        <v>49</v>
      </c>
      <c r="H259">
        <v>72</v>
      </c>
      <c r="J259">
        <v>15</v>
      </c>
      <c r="L259">
        <v>17</v>
      </c>
      <c r="N259">
        <v>27</v>
      </c>
      <c r="O259" s="23">
        <f t="shared" si="15"/>
        <v>34</v>
      </c>
      <c r="P259" s="23">
        <f t="shared" si="16"/>
        <v>18.940000000000001</v>
      </c>
      <c r="Q259">
        <f t="shared" ref="Q259:Q260" si="17">O259-A259</f>
        <v>-32</v>
      </c>
      <c r="S259">
        <v>33</v>
      </c>
    </row>
    <row r="260" spans="1:19" x14ac:dyDescent="0.25">
      <c r="A260" s="14">
        <v>7</v>
      </c>
      <c r="B260" s="24">
        <v>46097</v>
      </c>
      <c r="D260">
        <v>14</v>
      </c>
      <c r="F260">
        <v>10</v>
      </c>
      <c r="H260">
        <v>11</v>
      </c>
      <c r="J260">
        <v>7</v>
      </c>
      <c r="L260">
        <v>13</v>
      </c>
      <c r="N260">
        <v>13</v>
      </c>
      <c r="O260" s="23">
        <f t="shared" si="15"/>
        <v>11</v>
      </c>
      <c r="P260" s="23">
        <f t="shared" si="16"/>
        <v>2.23</v>
      </c>
      <c r="Q260">
        <f t="shared" si="17"/>
        <v>4</v>
      </c>
      <c r="S260">
        <v>10</v>
      </c>
    </row>
    <row r="261" spans="1:19" x14ac:dyDescent="0.25">
      <c r="A261" s="26"/>
      <c r="B261" s="27">
        <v>46098</v>
      </c>
      <c r="C261" s="26">
        <v>11</v>
      </c>
      <c r="D261" s="26">
        <v>16</v>
      </c>
      <c r="E261" s="26">
        <v>14</v>
      </c>
      <c r="F261" s="26">
        <v>11</v>
      </c>
      <c r="G261" s="26">
        <v>13</v>
      </c>
      <c r="H261" s="26">
        <v>7</v>
      </c>
      <c r="I261" s="26">
        <v>14</v>
      </c>
      <c r="J261" s="26">
        <v>8</v>
      </c>
      <c r="K261" s="26">
        <v>11</v>
      </c>
      <c r="L261" s="26">
        <v>14</v>
      </c>
      <c r="M261" s="26">
        <v>15</v>
      </c>
      <c r="N261" s="26">
        <v>12</v>
      </c>
      <c r="O261" s="28">
        <f t="shared" si="15"/>
        <v>12</v>
      </c>
      <c r="P261" s="28">
        <f t="shared" si="16"/>
        <v>2.4300000000000002</v>
      </c>
      <c r="Q261" s="26"/>
      <c r="R261" s="26">
        <v>13</v>
      </c>
      <c r="S261" s="26">
        <v>12</v>
      </c>
    </row>
    <row r="262" spans="1:19" x14ac:dyDescent="0.25">
      <c r="B262" s="24">
        <v>46099</v>
      </c>
      <c r="C262">
        <v>20</v>
      </c>
      <c r="D262">
        <v>14</v>
      </c>
      <c r="E262">
        <v>13</v>
      </c>
      <c r="F262">
        <v>12</v>
      </c>
      <c r="G262">
        <v>11</v>
      </c>
      <c r="H262">
        <v>7</v>
      </c>
      <c r="I262">
        <v>14</v>
      </c>
      <c r="J262">
        <v>9</v>
      </c>
      <c r="K262">
        <v>21</v>
      </c>
      <c r="L262">
        <v>14</v>
      </c>
      <c r="M262">
        <v>16</v>
      </c>
      <c r="N262">
        <v>14</v>
      </c>
      <c r="O262" s="23">
        <f t="shared" si="15"/>
        <v>14</v>
      </c>
      <c r="P262" s="23">
        <f t="shared" si="16"/>
        <v>3.58</v>
      </c>
      <c r="R262">
        <v>12</v>
      </c>
      <c r="S262">
        <v>13</v>
      </c>
    </row>
    <row r="263" spans="1:19" x14ac:dyDescent="0.25">
      <c r="B263" s="24">
        <v>46100</v>
      </c>
      <c r="C263">
        <v>12</v>
      </c>
      <c r="D263">
        <v>11</v>
      </c>
      <c r="E263">
        <v>13</v>
      </c>
      <c r="F263">
        <v>11</v>
      </c>
      <c r="G263">
        <v>10</v>
      </c>
      <c r="H263">
        <v>4</v>
      </c>
      <c r="I263">
        <v>14</v>
      </c>
      <c r="J263">
        <v>11</v>
      </c>
      <c r="K263">
        <v>14</v>
      </c>
      <c r="L263">
        <v>14</v>
      </c>
      <c r="M263">
        <v>15</v>
      </c>
      <c r="N263">
        <v>12</v>
      </c>
      <c r="O263" s="23">
        <f t="shared" si="15"/>
        <v>12</v>
      </c>
      <c r="P263" s="23">
        <f t="shared" si="16"/>
        <v>2.58</v>
      </c>
      <c r="R263">
        <v>12</v>
      </c>
      <c r="S263">
        <v>11</v>
      </c>
    </row>
    <row r="264" spans="1:19" x14ac:dyDescent="0.25">
      <c r="B264" s="24">
        <v>46101</v>
      </c>
      <c r="C264">
        <v>23</v>
      </c>
      <c r="D264">
        <v>17</v>
      </c>
      <c r="E264">
        <v>27</v>
      </c>
      <c r="F264">
        <v>19</v>
      </c>
      <c r="G264">
        <v>17</v>
      </c>
      <c r="H264">
        <v>19</v>
      </c>
      <c r="I264">
        <v>18</v>
      </c>
      <c r="J264">
        <v>13</v>
      </c>
      <c r="K264">
        <v>30</v>
      </c>
      <c r="L264">
        <v>18</v>
      </c>
      <c r="M264">
        <v>17</v>
      </c>
      <c r="N264">
        <v>16</v>
      </c>
      <c r="O264" s="23">
        <f t="shared" si="15"/>
        <v>21</v>
      </c>
      <c r="P264" s="23">
        <f t="shared" si="16"/>
        <v>6.67</v>
      </c>
      <c r="R264">
        <v>39</v>
      </c>
      <c r="S264">
        <v>17</v>
      </c>
    </row>
    <row r="265" spans="1:19" x14ac:dyDescent="0.25">
      <c r="B265" s="24">
        <v>46102</v>
      </c>
      <c r="C265">
        <v>43</v>
      </c>
      <c r="D265">
        <v>29</v>
      </c>
      <c r="E265">
        <v>49</v>
      </c>
      <c r="F265">
        <v>22</v>
      </c>
      <c r="G265">
        <v>31</v>
      </c>
      <c r="H265">
        <v>17</v>
      </c>
      <c r="I265">
        <v>26</v>
      </c>
      <c r="J265">
        <v>14</v>
      </c>
      <c r="K265">
        <v>62</v>
      </c>
      <c r="L265">
        <v>24</v>
      </c>
      <c r="M265">
        <v>36</v>
      </c>
      <c r="N265">
        <v>24</v>
      </c>
      <c r="O265" s="23">
        <f t="shared" si="15"/>
        <v>33</v>
      </c>
      <c r="P265" s="23">
        <f t="shared" si="16"/>
        <v>14.49</v>
      </c>
      <c r="R265">
        <v>60</v>
      </c>
      <c r="S265">
        <v>27</v>
      </c>
    </row>
    <row r="266" spans="1:19" x14ac:dyDescent="0.25">
      <c r="B266" s="24">
        <v>46103</v>
      </c>
      <c r="C266">
        <v>34</v>
      </c>
      <c r="D266">
        <v>26</v>
      </c>
      <c r="E266">
        <v>35</v>
      </c>
      <c r="F266">
        <v>17</v>
      </c>
      <c r="G266">
        <v>17</v>
      </c>
      <c r="H266">
        <v>16</v>
      </c>
      <c r="I266">
        <v>29</v>
      </c>
      <c r="J266">
        <v>19</v>
      </c>
      <c r="K266">
        <v>27</v>
      </c>
      <c r="L266">
        <v>24</v>
      </c>
      <c r="M266">
        <v>43</v>
      </c>
      <c r="N266">
        <v>26</v>
      </c>
      <c r="O266" s="23">
        <f t="shared" si="15"/>
        <v>26</v>
      </c>
      <c r="P266" s="23">
        <f t="shared" si="16"/>
        <v>7.49</v>
      </c>
      <c r="R266">
        <v>21</v>
      </c>
      <c r="S266">
        <v>24</v>
      </c>
    </row>
    <row r="267" spans="1:19" x14ac:dyDescent="0.25">
      <c r="B267" s="24">
        <v>46104</v>
      </c>
      <c r="C267">
        <v>17</v>
      </c>
      <c r="D267">
        <v>19</v>
      </c>
      <c r="E267">
        <v>27</v>
      </c>
      <c r="F267">
        <v>15</v>
      </c>
      <c r="G267">
        <v>20</v>
      </c>
      <c r="H267">
        <v>4</v>
      </c>
      <c r="I267">
        <v>18</v>
      </c>
      <c r="J267">
        <v>8</v>
      </c>
      <c r="K267">
        <v>12</v>
      </c>
      <c r="L267">
        <v>20</v>
      </c>
      <c r="M267">
        <v>28</v>
      </c>
      <c r="N267">
        <v>24</v>
      </c>
      <c r="O267" s="23">
        <f t="shared" si="15"/>
        <v>18</v>
      </c>
      <c r="P267" s="23">
        <f t="shared" si="16"/>
        <v>6.92</v>
      </c>
      <c r="R267">
        <v>28</v>
      </c>
      <c r="S267">
        <v>16</v>
      </c>
    </row>
    <row r="268" spans="1:19" x14ac:dyDescent="0.25">
      <c r="B268" s="24">
        <v>46105</v>
      </c>
      <c r="C268">
        <v>16</v>
      </c>
      <c r="D268">
        <v>16</v>
      </c>
      <c r="E268">
        <v>16</v>
      </c>
      <c r="F268">
        <v>15</v>
      </c>
      <c r="G268">
        <v>15</v>
      </c>
      <c r="H268">
        <v>5</v>
      </c>
      <c r="I268">
        <v>14</v>
      </c>
      <c r="J268">
        <v>21</v>
      </c>
      <c r="K268">
        <v>16</v>
      </c>
      <c r="L268">
        <v>15</v>
      </c>
      <c r="M268">
        <v>16</v>
      </c>
      <c r="N268">
        <v>17</v>
      </c>
      <c r="O268" s="23">
        <f t="shared" si="15"/>
        <v>15</v>
      </c>
      <c r="P268" s="23">
        <f t="shared" si="16"/>
        <v>3.33</v>
      </c>
      <c r="R268">
        <v>18</v>
      </c>
      <c r="S268">
        <v>14</v>
      </c>
    </row>
    <row r="269" spans="1:19" x14ac:dyDescent="0.25">
      <c r="B269" s="24">
        <v>46106</v>
      </c>
      <c r="C269">
        <v>20</v>
      </c>
      <c r="D269">
        <v>20</v>
      </c>
      <c r="E269">
        <v>14</v>
      </c>
      <c r="F269">
        <v>13</v>
      </c>
      <c r="G269">
        <v>13</v>
      </c>
      <c r="H269">
        <v>4</v>
      </c>
      <c r="I269">
        <v>20</v>
      </c>
      <c r="J269">
        <v>15</v>
      </c>
      <c r="K269">
        <v>20</v>
      </c>
      <c r="L269">
        <v>18</v>
      </c>
      <c r="M269">
        <v>25</v>
      </c>
      <c r="N269">
        <v>21</v>
      </c>
      <c r="O269" s="23">
        <f t="shared" si="15"/>
        <v>17</v>
      </c>
      <c r="P269" s="23">
        <f t="shared" si="16"/>
        <v>4.9000000000000004</v>
      </c>
      <c r="R269">
        <v>15</v>
      </c>
      <c r="S269">
        <v>18</v>
      </c>
    </row>
    <row r="270" spans="1:19" x14ac:dyDescent="0.25">
      <c r="B270" s="24">
        <v>46107</v>
      </c>
      <c r="C270">
        <v>29</v>
      </c>
      <c r="D270">
        <v>17</v>
      </c>
      <c r="E270">
        <v>18</v>
      </c>
      <c r="F270">
        <v>14</v>
      </c>
      <c r="G270">
        <v>14</v>
      </c>
      <c r="H270">
        <v>16</v>
      </c>
      <c r="I270">
        <v>19</v>
      </c>
      <c r="J270">
        <v>13</v>
      </c>
      <c r="K270">
        <v>28</v>
      </c>
      <c r="L270">
        <v>17</v>
      </c>
      <c r="M270">
        <v>27</v>
      </c>
      <c r="N270">
        <v>23</v>
      </c>
      <c r="O270" s="23">
        <f t="shared" si="15"/>
        <v>19</v>
      </c>
      <c r="P270" s="23">
        <f t="shared" si="16"/>
        <v>5.0999999999999996</v>
      </c>
      <c r="R270">
        <v>19</v>
      </c>
      <c r="S270">
        <v>18</v>
      </c>
    </row>
    <row r="271" spans="1:19" x14ac:dyDescent="0.25">
      <c r="B271" s="24">
        <v>46108</v>
      </c>
      <c r="C271">
        <v>26</v>
      </c>
      <c r="D271">
        <v>18</v>
      </c>
      <c r="E271">
        <v>20</v>
      </c>
      <c r="F271">
        <v>22</v>
      </c>
      <c r="G271">
        <v>22</v>
      </c>
      <c r="H271">
        <v>18</v>
      </c>
      <c r="I271">
        <v>17</v>
      </c>
      <c r="J271">
        <v>18</v>
      </c>
      <c r="K271">
        <v>23</v>
      </c>
      <c r="L271">
        <v>24</v>
      </c>
      <c r="M271">
        <v>24</v>
      </c>
      <c r="N271">
        <v>20</v>
      </c>
      <c r="O271" s="23">
        <f t="shared" si="15"/>
        <v>21</v>
      </c>
      <c r="P271" s="23">
        <f t="shared" si="16"/>
        <v>2.64</v>
      </c>
      <c r="R271">
        <v>23</v>
      </c>
      <c r="S271">
        <v>21</v>
      </c>
    </row>
    <row r="272" spans="1:19" x14ac:dyDescent="0.25">
      <c r="B272" s="24">
        <v>46109</v>
      </c>
      <c r="C272">
        <v>15</v>
      </c>
      <c r="D272">
        <v>24</v>
      </c>
      <c r="E272">
        <v>31</v>
      </c>
      <c r="F272">
        <v>20</v>
      </c>
      <c r="G272">
        <v>24</v>
      </c>
      <c r="H272">
        <v>4</v>
      </c>
      <c r="I272">
        <v>15</v>
      </c>
      <c r="J272">
        <v>26</v>
      </c>
      <c r="K272">
        <v>11</v>
      </c>
      <c r="L272">
        <v>24</v>
      </c>
      <c r="M272">
        <v>16</v>
      </c>
      <c r="N272">
        <v>18</v>
      </c>
      <c r="O272" s="23">
        <f t="shared" si="15"/>
        <v>20</v>
      </c>
      <c r="P272" s="23">
        <f t="shared" si="16"/>
        <v>6.85</v>
      </c>
      <c r="R272">
        <v>26</v>
      </c>
      <c r="S272">
        <v>23</v>
      </c>
    </row>
    <row r="273" spans="2:19" x14ac:dyDescent="0.25">
      <c r="B273" s="24">
        <v>46110</v>
      </c>
      <c r="C273">
        <v>44</v>
      </c>
      <c r="D273">
        <v>45</v>
      </c>
      <c r="E273">
        <v>31</v>
      </c>
      <c r="F273">
        <v>38</v>
      </c>
      <c r="G273">
        <v>23</v>
      </c>
      <c r="H273">
        <v>37</v>
      </c>
      <c r="I273">
        <v>20</v>
      </c>
      <c r="J273">
        <v>33</v>
      </c>
      <c r="K273">
        <v>37</v>
      </c>
      <c r="L273">
        <v>40</v>
      </c>
      <c r="M273">
        <v>43</v>
      </c>
      <c r="N273">
        <v>41</v>
      </c>
      <c r="O273" s="23">
        <f t="shared" si="15"/>
        <v>36</v>
      </c>
      <c r="P273" s="23">
        <f t="shared" si="16"/>
        <v>7.15</v>
      </c>
      <c r="R273">
        <v>33</v>
      </c>
      <c r="S273">
        <v>33</v>
      </c>
    </row>
    <row r="274" spans="2:19" x14ac:dyDescent="0.25">
      <c r="B274" s="24">
        <v>46111</v>
      </c>
      <c r="C274">
        <v>12</v>
      </c>
      <c r="D274">
        <v>14</v>
      </c>
      <c r="E274">
        <v>22</v>
      </c>
      <c r="F274">
        <v>13</v>
      </c>
      <c r="G274">
        <v>11</v>
      </c>
      <c r="H274">
        <v>9</v>
      </c>
      <c r="I274">
        <v>14</v>
      </c>
      <c r="J274">
        <v>13</v>
      </c>
      <c r="K274">
        <v>12</v>
      </c>
      <c r="L274">
        <v>13</v>
      </c>
      <c r="M274">
        <v>15</v>
      </c>
      <c r="N274">
        <v>15</v>
      </c>
      <c r="O274" s="23">
        <f t="shared" si="15"/>
        <v>14</v>
      </c>
      <c r="P274" s="23">
        <f t="shared" si="16"/>
        <v>2.87</v>
      </c>
      <c r="R274">
        <v>16</v>
      </c>
      <c r="S274">
        <v>15</v>
      </c>
    </row>
    <row r="275" spans="2:19" x14ac:dyDescent="0.25">
      <c r="B275" s="24">
        <v>46112</v>
      </c>
      <c r="C275">
        <v>11</v>
      </c>
      <c r="D275">
        <v>11</v>
      </c>
      <c r="E275">
        <v>14</v>
      </c>
      <c r="F275">
        <v>12</v>
      </c>
      <c r="G275">
        <v>10</v>
      </c>
      <c r="H275">
        <v>11</v>
      </c>
      <c r="I275">
        <v>12</v>
      </c>
      <c r="J275">
        <v>6</v>
      </c>
      <c r="K275">
        <v>12</v>
      </c>
      <c r="L275">
        <v>12</v>
      </c>
      <c r="M275">
        <v>15</v>
      </c>
      <c r="N275">
        <v>11</v>
      </c>
      <c r="O275" s="23">
        <f t="shared" si="15"/>
        <v>11</v>
      </c>
      <c r="P275" s="23">
        <f t="shared" si="16"/>
        <v>2.0499999999999998</v>
      </c>
      <c r="R275">
        <v>12</v>
      </c>
      <c r="S275">
        <v>9</v>
      </c>
    </row>
    <row r="276" spans="2:19" x14ac:dyDescent="0.25">
      <c r="B276" s="24">
        <v>46113</v>
      </c>
      <c r="C276">
        <v>26</v>
      </c>
      <c r="D276">
        <v>15</v>
      </c>
      <c r="E276">
        <v>19</v>
      </c>
      <c r="F276">
        <v>11</v>
      </c>
      <c r="G276">
        <v>15</v>
      </c>
      <c r="H276">
        <v>4</v>
      </c>
      <c r="I276">
        <v>14</v>
      </c>
      <c r="J276">
        <v>10</v>
      </c>
      <c r="K276">
        <v>24</v>
      </c>
      <c r="L276">
        <v>15</v>
      </c>
      <c r="M276">
        <v>16</v>
      </c>
      <c r="N276">
        <v>17</v>
      </c>
      <c r="O276" s="23">
        <f t="shared" si="15"/>
        <v>15</v>
      </c>
      <c r="P276" s="23">
        <f t="shared" si="16"/>
        <v>5.36</v>
      </c>
      <c r="R276">
        <v>15</v>
      </c>
      <c r="S276">
        <v>11</v>
      </c>
    </row>
    <row r="277" spans="2:19" x14ac:dyDescent="0.25">
      <c r="B277" s="24">
        <v>46114</v>
      </c>
      <c r="C277">
        <v>11</v>
      </c>
      <c r="D277">
        <v>11</v>
      </c>
      <c r="E277">
        <v>13</v>
      </c>
      <c r="F277">
        <v>15</v>
      </c>
      <c r="G277">
        <v>12</v>
      </c>
      <c r="H277">
        <v>33</v>
      </c>
      <c r="I277">
        <v>9</v>
      </c>
      <c r="J277">
        <v>18</v>
      </c>
      <c r="K277">
        <v>14</v>
      </c>
      <c r="L277">
        <v>12</v>
      </c>
      <c r="M277">
        <v>6</v>
      </c>
      <c r="N277">
        <v>11</v>
      </c>
      <c r="O277" s="23">
        <f t="shared" si="15"/>
        <v>14</v>
      </c>
      <c r="P277" s="23">
        <f t="shared" si="16"/>
        <v>6.01</v>
      </c>
      <c r="R277">
        <v>12</v>
      </c>
      <c r="S277">
        <v>14</v>
      </c>
    </row>
    <row r="278" spans="2:19" x14ac:dyDescent="0.25">
      <c r="B278" s="24">
        <v>46115</v>
      </c>
      <c r="C278">
        <v>12</v>
      </c>
      <c r="D278">
        <v>13</v>
      </c>
      <c r="E278">
        <v>16</v>
      </c>
      <c r="F278">
        <v>9</v>
      </c>
      <c r="G278">
        <v>13</v>
      </c>
      <c r="H278">
        <v>4</v>
      </c>
      <c r="I278">
        <v>14</v>
      </c>
      <c r="J278">
        <v>6</v>
      </c>
      <c r="K278">
        <v>13</v>
      </c>
      <c r="L278">
        <v>14</v>
      </c>
      <c r="M278">
        <v>22</v>
      </c>
      <c r="N278">
        <v>18</v>
      </c>
      <c r="O278" s="23">
        <f t="shared" si="15"/>
        <v>13</v>
      </c>
      <c r="P278" s="23">
        <f t="shared" si="16"/>
        <v>4.5</v>
      </c>
      <c r="R278">
        <v>17</v>
      </c>
      <c r="S278">
        <v>11</v>
      </c>
    </row>
    <row r="279" spans="2:19" x14ac:dyDescent="0.25">
      <c r="B279" s="24">
        <v>46116</v>
      </c>
      <c r="C279">
        <v>16</v>
      </c>
      <c r="D279">
        <v>11</v>
      </c>
      <c r="E279">
        <v>20</v>
      </c>
      <c r="F279">
        <v>13</v>
      </c>
      <c r="G279">
        <v>26</v>
      </c>
      <c r="H279">
        <v>6</v>
      </c>
      <c r="I279">
        <v>15</v>
      </c>
      <c r="J279">
        <v>13</v>
      </c>
      <c r="K279">
        <v>13</v>
      </c>
      <c r="L279">
        <v>16</v>
      </c>
      <c r="M279">
        <v>19</v>
      </c>
      <c r="N279">
        <v>13</v>
      </c>
      <c r="O279" s="23">
        <f t="shared" si="15"/>
        <v>16</v>
      </c>
      <c r="P279" s="23">
        <f t="shared" si="16"/>
        <v>5.87</v>
      </c>
      <c r="R279">
        <v>30</v>
      </c>
      <c r="S279">
        <v>17</v>
      </c>
    </row>
    <row r="280" spans="2:19" x14ac:dyDescent="0.25">
      <c r="B280" s="24">
        <v>46117</v>
      </c>
      <c r="C280">
        <v>102</v>
      </c>
      <c r="D280">
        <v>95</v>
      </c>
      <c r="E280">
        <v>61</v>
      </c>
      <c r="F280">
        <v>67</v>
      </c>
      <c r="G280">
        <v>34</v>
      </c>
      <c r="H280">
        <v>47</v>
      </c>
      <c r="I280">
        <v>50</v>
      </c>
      <c r="J280">
        <v>50</v>
      </c>
      <c r="K280">
        <v>108</v>
      </c>
      <c r="L280">
        <v>94</v>
      </c>
      <c r="M280">
        <v>95</v>
      </c>
      <c r="N280">
        <v>91</v>
      </c>
      <c r="O280" s="23">
        <f t="shared" si="15"/>
        <v>73</v>
      </c>
      <c r="P280" s="23">
        <f t="shared" si="16"/>
        <v>22.99</v>
      </c>
      <c r="R280">
        <v>63</v>
      </c>
      <c r="S280">
        <v>65</v>
      </c>
    </row>
    <row r="281" spans="2:19" x14ac:dyDescent="0.25">
      <c r="B281" s="24">
        <v>46118</v>
      </c>
      <c r="C281">
        <v>13</v>
      </c>
      <c r="D281">
        <v>13</v>
      </c>
      <c r="E281">
        <v>15</v>
      </c>
      <c r="F281">
        <v>9</v>
      </c>
      <c r="G281">
        <v>10</v>
      </c>
      <c r="H281">
        <v>4</v>
      </c>
      <c r="I281">
        <v>14</v>
      </c>
      <c r="J281">
        <v>7</v>
      </c>
      <c r="K281">
        <v>14</v>
      </c>
      <c r="L281">
        <v>15</v>
      </c>
      <c r="M281">
        <v>14</v>
      </c>
      <c r="N281">
        <v>15</v>
      </c>
      <c r="O281" s="23">
        <f t="shared" si="15"/>
        <v>12</v>
      </c>
      <c r="P281" s="23">
        <f t="shared" si="16"/>
        <v>3.25</v>
      </c>
      <c r="R281">
        <v>14</v>
      </c>
      <c r="S281">
        <v>11</v>
      </c>
    </row>
    <row r="282" spans="2:19" x14ac:dyDescent="0.25">
      <c r="B282" s="24">
        <v>46119</v>
      </c>
      <c r="C282">
        <v>14</v>
      </c>
      <c r="D282">
        <v>14</v>
      </c>
      <c r="E282">
        <v>13</v>
      </c>
      <c r="F282">
        <v>12</v>
      </c>
      <c r="G282">
        <v>10</v>
      </c>
      <c r="H282">
        <v>7</v>
      </c>
      <c r="I282">
        <v>12</v>
      </c>
      <c r="J282">
        <v>8</v>
      </c>
      <c r="K282">
        <v>12</v>
      </c>
      <c r="L282">
        <v>14</v>
      </c>
      <c r="M282">
        <v>12</v>
      </c>
      <c r="N282">
        <v>12</v>
      </c>
      <c r="O282" s="23">
        <f t="shared" si="15"/>
        <v>12</v>
      </c>
      <c r="P282" s="23">
        <f t="shared" si="16"/>
        <v>2.04</v>
      </c>
      <c r="R282">
        <v>13</v>
      </c>
      <c r="S282">
        <v>12</v>
      </c>
    </row>
    <row r="283" spans="2:19" x14ac:dyDescent="0.25">
      <c r="B283" s="24">
        <v>46120</v>
      </c>
      <c r="C283">
        <v>19</v>
      </c>
      <c r="D283">
        <v>22</v>
      </c>
      <c r="E283">
        <v>22</v>
      </c>
      <c r="F283">
        <v>15</v>
      </c>
      <c r="G283">
        <v>23</v>
      </c>
      <c r="H283">
        <v>4</v>
      </c>
      <c r="I283">
        <v>18</v>
      </c>
      <c r="J283">
        <v>20</v>
      </c>
      <c r="K283">
        <v>12</v>
      </c>
      <c r="L283">
        <v>13</v>
      </c>
      <c r="M283">
        <v>22</v>
      </c>
      <c r="N283">
        <v>19</v>
      </c>
      <c r="O283" s="23">
        <f t="shared" si="15"/>
        <v>17</v>
      </c>
      <c r="P283" s="23">
        <f t="shared" si="16"/>
        <v>5.03</v>
      </c>
      <c r="R283">
        <v>19</v>
      </c>
      <c r="S283">
        <v>14</v>
      </c>
    </row>
    <row r="284" spans="2:19" x14ac:dyDescent="0.25">
      <c r="B284" s="24">
        <v>46121</v>
      </c>
      <c r="C284">
        <v>12</v>
      </c>
      <c r="D284">
        <v>14</v>
      </c>
      <c r="E284">
        <v>16</v>
      </c>
      <c r="F284">
        <v>17</v>
      </c>
      <c r="G284">
        <v>13</v>
      </c>
      <c r="H284">
        <v>4</v>
      </c>
      <c r="I284">
        <v>15</v>
      </c>
      <c r="J284">
        <v>19</v>
      </c>
      <c r="K284">
        <v>12</v>
      </c>
      <c r="L284">
        <v>14</v>
      </c>
      <c r="M284">
        <v>17</v>
      </c>
      <c r="N284">
        <v>14</v>
      </c>
      <c r="O284" s="23">
        <f t="shared" si="15"/>
        <v>15</v>
      </c>
      <c r="P284" s="23">
        <f t="shared" si="16"/>
        <v>3.76</v>
      </c>
      <c r="R284">
        <v>20</v>
      </c>
      <c r="S284">
        <v>17</v>
      </c>
    </row>
    <row r="285" spans="2:19" x14ac:dyDescent="0.25">
      <c r="B285" s="24">
        <v>46122</v>
      </c>
      <c r="C285">
        <v>16</v>
      </c>
      <c r="D285">
        <v>16</v>
      </c>
      <c r="E285">
        <v>14</v>
      </c>
      <c r="F285">
        <v>13</v>
      </c>
      <c r="G285">
        <v>20</v>
      </c>
      <c r="H285">
        <v>5</v>
      </c>
      <c r="I285">
        <v>13</v>
      </c>
      <c r="J285">
        <v>10</v>
      </c>
      <c r="K285">
        <v>19</v>
      </c>
      <c r="L285">
        <v>14</v>
      </c>
      <c r="M285">
        <v>14</v>
      </c>
      <c r="N285">
        <v>12</v>
      </c>
      <c r="O285" s="23">
        <f t="shared" si="15"/>
        <v>14</v>
      </c>
      <c r="P285" s="23">
        <f t="shared" si="16"/>
        <v>3.53</v>
      </c>
      <c r="R285">
        <v>14</v>
      </c>
      <c r="S285">
        <v>12</v>
      </c>
    </row>
    <row r="286" spans="2:19" x14ac:dyDescent="0.25">
      <c r="B286" s="24">
        <v>46123</v>
      </c>
      <c r="C286">
        <v>27</v>
      </c>
      <c r="D286">
        <v>34</v>
      </c>
      <c r="E286">
        <v>20</v>
      </c>
      <c r="F286">
        <v>20</v>
      </c>
      <c r="G286">
        <v>21</v>
      </c>
      <c r="H286">
        <v>5</v>
      </c>
      <c r="I286">
        <v>15</v>
      </c>
      <c r="J286">
        <v>37</v>
      </c>
      <c r="K286">
        <v>22</v>
      </c>
      <c r="L286">
        <v>27</v>
      </c>
      <c r="M286">
        <v>25</v>
      </c>
      <c r="N286">
        <v>35</v>
      </c>
      <c r="O286" s="23">
        <f t="shared" si="15"/>
        <v>24</v>
      </c>
      <c r="P286" s="23">
        <f t="shared" si="16"/>
        <v>8</v>
      </c>
      <c r="R286">
        <v>23</v>
      </c>
      <c r="S286">
        <v>24</v>
      </c>
    </row>
    <row r="287" spans="2:19" x14ac:dyDescent="0.25">
      <c r="B287" s="24">
        <v>46124</v>
      </c>
      <c r="C287">
        <v>32</v>
      </c>
      <c r="D287">
        <v>35</v>
      </c>
      <c r="E287">
        <v>24</v>
      </c>
      <c r="F287">
        <v>21</v>
      </c>
      <c r="G287">
        <v>18</v>
      </c>
      <c r="H287">
        <v>4</v>
      </c>
      <c r="I287">
        <v>20</v>
      </c>
      <c r="J287">
        <v>18</v>
      </c>
      <c r="K287">
        <v>33</v>
      </c>
      <c r="L287">
        <v>35</v>
      </c>
      <c r="M287">
        <v>29</v>
      </c>
      <c r="N287">
        <v>38</v>
      </c>
      <c r="O287" s="23">
        <f t="shared" si="15"/>
        <v>26</v>
      </c>
      <c r="P287" s="23">
        <f t="shared" si="16"/>
        <v>8.7799999999999994</v>
      </c>
      <c r="R287">
        <v>28</v>
      </c>
      <c r="S287">
        <v>26</v>
      </c>
    </row>
    <row r="288" spans="2:19" x14ac:dyDescent="0.25">
      <c r="B288" s="24">
        <v>46125</v>
      </c>
      <c r="C288">
        <v>40</v>
      </c>
      <c r="D288">
        <v>25</v>
      </c>
      <c r="E288">
        <v>21</v>
      </c>
      <c r="F288">
        <v>28</v>
      </c>
      <c r="G288">
        <v>17</v>
      </c>
      <c r="H288">
        <v>4</v>
      </c>
      <c r="I288">
        <v>14</v>
      </c>
      <c r="J288">
        <v>45</v>
      </c>
      <c r="K288">
        <v>40</v>
      </c>
      <c r="L288">
        <v>25</v>
      </c>
      <c r="M288">
        <v>21</v>
      </c>
      <c r="N288">
        <v>24</v>
      </c>
      <c r="O288" s="23">
        <f t="shared" si="15"/>
        <v>25</v>
      </c>
      <c r="P288" s="23">
        <f t="shared" si="16"/>
        <v>10.55</v>
      </c>
      <c r="R288">
        <v>20</v>
      </c>
      <c r="S288">
        <v>21</v>
      </c>
    </row>
    <row r="289" spans="2:19" x14ac:dyDescent="0.25">
      <c r="B289" s="24">
        <v>46126</v>
      </c>
      <c r="C289">
        <v>11</v>
      </c>
      <c r="D289">
        <v>10</v>
      </c>
      <c r="E289">
        <v>13</v>
      </c>
      <c r="F289">
        <v>13</v>
      </c>
      <c r="G289">
        <v>10</v>
      </c>
      <c r="H289">
        <v>4</v>
      </c>
      <c r="I289">
        <v>10</v>
      </c>
      <c r="J289">
        <v>7</v>
      </c>
      <c r="K289">
        <v>12</v>
      </c>
      <c r="L289">
        <v>12</v>
      </c>
      <c r="M289">
        <v>7</v>
      </c>
      <c r="N289">
        <v>11</v>
      </c>
      <c r="O289" s="23">
        <f t="shared" si="15"/>
        <v>10</v>
      </c>
      <c r="P289" s="23">
        <f t="shared" si="16"/>
        <v>2.4900000000000002</v>
      </c>
      <c r="R289">
        <v>12</v>
      </c>
      <c r="S289">
        <v>9</v>
      </c>
    </row>
    <row r="290" spans="2:19" x14ac:dyDescent="0.25">
      <c r="B290" s="24">
        <v>46127</v>
      </c>
      <c r="C290">
        <v>17</v>
      </c>
      <c r="D290">
        <v>20</v>
      </c>
      <c r="E290">
        <v>14</v>
      </c>
      <c r="F290">
        <v>12</v>
      </c>
      <c r="G290">
        <v>12</v>
      </c>
      <c r="H290">
        <v>12</v>
      </c>
      <c r="I290">
        <v>13</v>
      </c>
      <c r="J290">
        <v>10</v>
      </c>
      <c r="K290">
        <v>15</v>
      </c>
      <c r="L290">
        <v>16</v>
      </c>
      <c r="M290">
        <v>15</v>
      </c>
      <c r="N290">
        <v>20</v>
      </c>
      <c r="O290" s="23">
        <f t="shared" si="15"/>
        <v>15</v>
      </c>
      <c r="P290" s="23">
        <f t="shared" si="16"/>
        <v>2.82</v>
      </c>
      <c r="R290">
        <v>14</v>
      </c>
      <c r="S290">
        <v>15</v>
      </c>
    </row>
    <row r="291" spans="2:19" x14ac:dyDescent="0.25">
      <c r="B291" s="24">
        <v>46128</v>
      </c>
      <c r="C291">
        <v>11</v>
      </c>
      <c r="D291">
        <v>13</v>
      </c>
      <c r="E291">
        <v>14</v>
      </c>
      <c r="F291">
        <v>14</v>
      </c>
      <c r="G291">
        <v>11</v>
      </c>
      <c r="H291">
        <v>17</v>
      </c>
      <c r="I291">
        <v>15</v>
      </c>
      <c r="J291">
        <v>13</v>
      </c>
      <c r="K291">
        <v>12</v>
      </c>
      <c r="L291">
        <v>13</v>
      </c>
      <c r="M291">
        <v>15</v>
      </c>
      <c r="N291">
        <v>12</v>
      </c>
      <c r="O291" s="23">
        <f t="shared" si="15"/>
        <v>14</v>
      </c>
      <c r="P291" s="23">
        <f t="shared" si="16"/>
        <v>1.72</v>
      </c>
      <c r="R291">
        <v>14</v>
      </c>
      <c r="S291">
        <v>16</v>
      </c>
    </row>
    <row r="292" spans="2:19" x14ac:dyDescent="0.25">
      <c r="B292" s="24">
        <v>46129</v>
      </c>
      <c r="C292">
        <v>17</v>
      </c>
      <c r="D292">
        <v>13</v>
      </c>
      <c r="E292">
        <v>19</v>
      </c>
      <c r="F292">
        <v>17</v>
      </c>
      <c r="G292">
        <v>14</v>
      </c>
      <c r="H292">
        <v>15</v>
      </c>
      <c r="I292">
        <v>16</v>
      </c>
      <c r="J292">
        <v>15</v>
      </c>
      <c r="K292">
        <v>20</v>
      </c>
      <c r="L292">
        <v>16</v>
      </c>
      <c r="M292">
        <v>16</v>
      </c>
      <c r="N292">
        <v>14</v>
      </c>
      <c r="O292" s="23">
        <f t="shared" si="15"/>
        <v>16</v>
      </c>
      <c r="P292" s="23">
        <f t="shared" si="16"/>
        <v>2.09</v>
      </c>
      <c r="R292">
        <v>20</v>
      </c>
      <c r="S292">
        <v>17</v>
      </c>
    </row>
    <row r="293" spans="2:19" x14ac:dyDescent="0.25">
      <c r="B293" s="32"/>
      <c r="C293" s="46" t="s">
        <v>46</v>
      </c>
      <c r="D293" s="42"/>
      <c r="E293" s="41" t="s">
        <v>47</v>
      </c>
      <c r="F293" s="41"/>
      <c r="G293" s="46" t="s">
        <v>48</v>
      </c>
      <c r="H293" s="42"/>
      <c r="I293" s="41" t="s">
        <v>49</v>
      </c>
      <c r="J293" s="41"/>
      <c r="K293" s="46" t="s">
        <v>50</v>
      </c>
      <c r="L293" s="42"/>
      <c r="M293" s="41" t="s">
        <v>51</v>
      </c>
      <c r="N293" s="41"/>
      <c r="O293" s="40"/>
      <c r="P293" s="40"/>
      <c r="Q293" s="40"/>
      <c r="R293" s="41" t="s">
        <v>54</v>
      </c>
      <c r="S293" s="42"/>
    </row>
  </sheetData>
  <mergeCells count="8">
    <mergeCell ref="R293:S293"/>
    <mergeCell ref="M293:N293"/>
    <mergeCell ref="C1:N1"/>
    <mergeCell ref="C293:D293"/>
    <mergeCell ref="E293:F293"/>
    <mergeCell ref="G293:H293"/>
    <mergeCell ref="I293:J293"/>
    <mergeCell ref="K293:L293"/>
  </mergeCells>
  <conditionalFormatting sqref="C81">
    <cfRule type="duplicateValues" dxfId="3" priority="2"/>
  </conditionalFormatting>
  <conditionalFormatting sqref="C116:O121">
    <cfRule type="expression" dxfId="2" priority="1">
      <formula>ABS(C116-$A116)&lt;=10</formula>
    </cfRule>
  </conditionalFormatting>
  <conditionalFormatting sqref="Q1:Q260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avg</vt:lpstr>
      <vt:lpstr>weighted</vt:lpstr>
      <vt:lpstr>day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cardiel</cp:lastModifiedBy>
  <dcterms:created xsi:type="dcterms:W3CDTF">2025-05-30T19:00:22Z</dcterms:created>
  <dcterms:modified xsi:type="dcterms:W3CDTF">2026-03-20T05:51:52Z</dcterms:modified>
</cp:coreProperties>
</file>